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guyen\Desktop\Alex Nguyen\Reports\Shortage Report\Manual Files\"/>
    </mc:Choice>
  </mc:AlternateContent>
  <xr:revisionPtr revIDLastSave="0" documentId="13_ncr:1_{88C07FEE-1B52-4A60-89AE-7E4410759B18}" xr6:coauthVersionLast="47" xr6:coauthVersionMax="47" xr10:uidLastSave="{00000000-0000-0000-0000-000000000000}"/>
  <bookViews>
    <workbookView xWindow="-120" yWindow="-120" windowWidth="29040" windowHeight="15720" tabRatio="548" firstSheet="2" activeTab="2" xr2:uid="{CAACDFA8-0B31-44F1-8B54-B2C6F27F0311}"/>
  </bookViews>
  <sheets>
    <sheet name="FY27 PN FCST - Special" sheetId="1" r:id="rId1"/>
    <sheet name="FY27 PN FCST - MS" sheetId="2" state="hidden" r:id="rId2"/>
    <sheet name="OPDO + OPSR" sheetId="8" r:id="rId3"/>
  </sheets>
  <externalReferences>
    <externalReference r:id="rId4"/>
  </externalReferences>
  <definedNames>
    <definedName name="_xlnm._FilterDatabase" localSheetId="1" hidden="1">'FY27 PN FCST - MS'!$A$1:$T$113</definedName>
    <definedName name="_xlnm._FilterDatabase" localSheetId="0" hidden="1">'FY27 PN FCST - Special'!$A$1:$AP$569</definedName>
    <definedName name="ExternalData_1" localSheetId="2" hidden="1">'OPDO + OPSR'!$A$1:$AA$2234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1" l="1"/>
  <c r="AD13" i="1"/>
  <c r="AD16" i="1"/>
  <c r="AD41" i="1"/>
  <c r="AD44" i="1"/>
  <c r="AD58" i="1"/>
  <c r="AD59" i="1"/>
  <c r="AD62" i="1"/>
  <c r="AD249" i="1"/>
  <c r="AD390" i="1"/>
  <c r="AD405" i="1"/>
  <c r="AD411" i="1"/>
  <c r="V130" i="2" l="1"/>
  <c r="Y105" i="1" l="1"/>
  <c r="Y267" i="1"/>
  <c r="Y268" i="1"/>
  <c r="Y297" i="1"/>
  <c r="Y230" i="1"/>
  <c r="Y52" i="1"/>
  <c r="Y242" i="1"/>
  <c r="Y142" i="1"/>
  <c r="AC276" i="1" l="1"/>
  <c r="AC347" i="1"/>
  <c r="AC188" i="1"/>
  <c r="AC203" i="1"/>
  <c r="AA276" i="1"/>
  <c r="AA347" i="1"/>
  <c r="AA188" i="1"/>
  <c r="AA203" i="1"/>
  <c r="AP203" i="1" l="1"/>
  <c r="AD203" i="1"/>
  <c r="AE203" i="1" s="1"/>
  <c r="AD188" i="1"/>
  <c r="AE188" i="1" s="1"/>
  <c r="AP347" i="1"/>
  <c r="AD347" i="1"/>
  <c r="AD276" i="1"/>
  <c r="AE276" i="1" s="1"/>
  <c r="AP276" i="1"/>
  <c r="AP188" i="1"/>
  <c r="AE347" i="1"/>
  <c r="X581" i="1" l="1"/>
  <c r="AE44" i="1" l="1"/>
  <c r="AA44" i="1"/>
  <c r="AE411" i="1"/>
  <c r="AA411" i="1"/>
  <c r="AE58" i="1"/>
  <c r="AA58" i="1"/>
  <c r="AE390" i="1"/>
  <c r="AA390" i="1"/>
  <c r="AE249" i="1"/>
  <c r="AA249" i="1"/>
  <c r="AE405" i="1"/>
  <c r="AA405" i="1"/>
  <c r="AE59" i="1"/>
  <c r="AA59" i="1"/>
  <c r="AA398" i="1"/>
  <c r="AA145" i="1"/>
  <c r="AA140" i="1"/>
  <c r="AA429" i="1"/>
  <c r="AA186" i="1"/>
  <c r="AA387" i="1"/>
  <c r="AA372" i="1"/>
  <c r="AA357" i="1"/>
  <c r="AA305" i="1"/>
  <c r="AA235" i="1"/>
  <c r="AA317" i="1"/>
  <c r="AA152" i="1"/>
  <c r="AA295" i="1"/>
  <c r="AA270" i="1"/>
  <c r="AA263" i="1"/>
  <c r="AA195" i="1"/>
  <c r="AA132" i="1"/>
  <c r="AA253" i="1"/>
  <c r="AA241" i="1"/>
  <c r="AA289" i="1"/>
  <c r="AA246" i="1"/>
  <c r="AA82" i="1"/>
  <c r="AA231" i="1"/>
  <c r="AA245" i="1"/>
  <c r="AA225" i="1"/>
  <c r="AA133" i="1"/>
  <c r="AA54" i="1"/>
  <c r="AA211" i="1"/>
  <c r="AA205" i="1"/>
  <c r="AA184" i="1"/>
  <c r="AA407" i="1"/>
  <c r="AA255" i="1"/>
  <c r="AA53" i="1"/>
  <c r="AA163" i="1"/>
  <c r="AA60" i="1"/>
  <c r="AA104" i="1"/>
  <c r="AA137" i="1"/>
  <c r="AA113" i="1"/>
  <c r="AA139" i="1"/>
  <c r="AA167" i="1"/>
  <c r="AA224" i="1"/>
  <c r="AA406" i="1"/>
  <c r="AA114" i="1"/>
  <c r="AA135" i="1"/>
  <c r="AA70" i="1"/>
  <c r="AA141" i="1"/>
  <c r="AA78" i="1"/>
  <c r="AA45" i="1"/>
  <c r="AA61" i="1"/>
  <c r="AA19" i="1"/>
  <c r="AA34" i="1"/>
  <c r="AA25" i="1"/>
  <c r="AA64" i="1"/>
  <c r="AA22" i="1"/>
  <c r="AA17" i="1"/>
  <c r="AA38" i="1"/>
  <c r="AA73" i="1"/>
  <c r="AA24" i="1"/>
  <c r="AA30" i="1"/>
  <c r="AA28" i="1"/>
  <c r="AA36" i="1"/>
  <c r="AA40" i="1"/>
  <c r="AA18" i="1"/>
  <c r="AA35" i="1"/>
  <c r="AA7" i="1"/>
  <c r="AA10" i="1"/>
  <c r="AA6" i="1"/>
  <c r="AA9" i="1"/>
  <c r="Y103" i="2"/>
  <c r="Y12" i="2"/>
  <c r="Y13" i="2"/>
  <c r="Y59" i="2"/>
  <c r="Y58" i="2"/>
  <c r="Y101" i="2"/>
  <c r="Y82" i="2"/>
  <c r="Y88" i="2"/>
  <c r="Y84" i="2"/>
  <c r="Y73" i="2"/>
  <c r="Y128" i="2"/>
  <c r="Y127" i="2"/>
  <c r="Y111" i="2"/>
  <c r="Y126" i="2"/>
  <c r="Y125" i="2"/>
  <c r="Y110" i="2"/>
  <c r="Y124" i="2"/>
  <c r="Y57" i="2"/>
  <c r="Y123" i="2"/>
  <c r="Y108" i="2"/>
  <c r="Y109" i="2"/>
  <c r="Y122" i="2"/>
  <c r="Y106" i="2"/>
  <c r="Y104" i="2"/>
  <c r="Y90" i="2"/>
  <c r="Y93" i="2"/>
  <c r="Y107" i="2"/>
  <c r="Y35" i="2"/>
  <c r="Y25" i="2"/>
  <c r="Y92" i="2"/>
  <c r="Y95" i="2"/>
  <c r="Y102" i="2"/>
  <c r="Y97" i="2"/>
  <c r="Y76" i="2"/>
  <c r="Y91" i="2"/>
  <c r="Y94" i="2"/>
  <c r="Y98" i="2"/>
  <c r="Y121" i="2"/>
  <c r="Y120" i="2"/>
  <c r="Y56" i="2"/>
  <c r="Y119" i="2"/>
  <c r="Y89" i="2"/>
  <c r="Y85" i="2"/>
  <c r="Y86" i="2"/>
  <c r="Y81" i="2"/>
  <c r="Y66" i="2"/>
  <c r="Y26" i="2"/>
  <c r="Y118" i="2"/>
  <c r="Y34" i="2"/>
  <c r="Y117" i="2"/>
  <c r="Y71" i="2"/>
  <c r="Y77" i="2"/>
  <c r="Y60" i="2"/>
  <c r="Y79" i="2"/>
  <c r="Y78" i="2"/>
  <c r="Y70" i="2"/>
  <c r="Y68" i="2"/>
  <c r="Y67" i="2"/>
  <c r="Y61" i="2"/>
  <c r="Y55" i="2"/>
  <c r="Y100" i="2"/>
  <c r="Y105" i="2"/>
  <c r="Y83" i="2"/>
  <c r="Y116" i="2"/>
  <c r="Y96" i="2"/>
  <c r="Y52" i="2"/>
  <c r="Y72" i="2"/>
  <c r="Y74" i="2"/>
  <c r="Y87" i="2"/>
  <c r="Y115" i="2"/>
  <c r="Y65" i="2"/>
  <c r="Y49" i="2"/>
  <c r="Y50" i="2"/>
  <c r="Y69" i="2"/>
  <c r="Y80" i="2"/>
  <c r="Y99" i="2"/>
  <c r="Y64" i="2"/>
  <c r="Y40" i="2"/>
  <c r="Y48" i="2"/>
  <c r="Y19" i="2"/>
  <c r="Y39" i="2"/>
  <c r="Y32" i="2"/>
  <c r="Y114" i="2"/>
  <c r="Y113" i="2"/>
  <c r="Y38" i="2"/>
  <c r="Y43" i="2"/>
  <c r="Y112" i="2"/>
  <c r="Y41" i="2"/>
  <c r="Y63" i="2"/>
  <c r="Y53" i="2"/>
  <c r="Y24" i="2"/>
  <c r="Y15" i="2"/>
  <c r="Y44" i="2"/>
  <c r="Y23" i="2"/>
  <c r="Y37" i="2"/>
  <c r="Y54" i="2"/>
  <c r="Y45" i="2"/>
  <c r="Y42" i="2"/>
  <c r="Y29" i="2"/>
  <c r="Y46" i="2"/>
  <c r="Y28" i="2"/>
  <c r="Y36" i="2"/>
  <c r="Y62" i="2"/>
  <c r="Y33" i="2"/>
  <c r="Y47" i="2"/>
  <c r="Y21" i="2"/>
  <c r="Y27" i="2"/>
  <c r="Y20" i="2"/>
  <c r="Y51" i="2"/>
  <c r="Y75" i="2"/>
  <c r="Y31" i="2"/>
  <c r="Y18" i="2"/>
  <c r="Y5" i="2"/>
  <c r="Y22" i="2"/>
  <c r="Y16" i="2"/>
  <c r="Y30" i="2"/>
  <c r="Y17" i="2"/>
  <c r="Y14" i="2"/>
  <c r="Y8" i="2"/>
  <c r="Y3" i="2"/>
  <c r="Y9" i="2"/>
  <c r="Y11" i="2"/>
  <c r="Y7" i="2"/>
  <c r="Y10" i="2"/>
  <c r="Y6" i="2"/>
  <c r="Y4" i="2"/>
  <c r="Y2" i="2"/>
  <c r="AA331" i="1"/>
  <c r="AA569" i="1"/>
  <c r="AA568" i="1"/>
  <c r="AA567" i="1"/>
  <c r="AA566" i="1"/>
  <c r="AA565" i="1"/>
  <c r="AA564" i="1"/>
  <c r="AA563" i="1"/>
  <c r="AA562" i="1"/>
  <c r="AA561" i="1"/>
  <c r="AA315" i="1"/>
  <c r="AA560" i="1"/>
  <c r="AA559" i="1"/>
  <c r="AA558" i="1"/>
  <c r="AA557" i="1"/>
  <c r="AA556" i="1"/>
  <c r="AA555" i="1"/>
  <c r="AA291" i="1"/>
  <c r="AA554" i="1"/>
  <c r="AA553" i="1"/>
  <c r="AA552" i="1"/>
  <c r="AA551" i="1"/>
  <c r="AA550" i="1"/>
  <c r="AA292" i="1"/>
  <c r="AA234" i="1"/>
  <c r="AA209" i="1"/>
  <c r="AA240" i="1"/>
  <c r="AA182" i="1"/>
  <c r="AA393" i="1"/>
  <c r="AA549" i="1"/>
  <c r="AA117" i="1"/>
  <c r="AA548" i="1"/>
  <c r="AA146" i="1"/>
  <c r="AA191" i="1"/>
  <c r="AA364" i="1"/>
  <c r="AA547" i="1"/>
  <c r="AA546" i="1"/>
  <c r="AA545" i="1"/>
  <c r="AA544" i="1"/>
  <c r="AA543" i="1"/>
  <c r="AA542" i="1"/>
  <c r="AA400" i="1"/>
  <c r="AA541" i="1"/>
  <c r="AA540" i="1"/>
  <c r="AA539" i="1"/>
  <c r="AA538" i="1"/>
  <c r="AA360" i="1"/>
  <c r="AA537" i="1"/>
  <c r="AA536" i="1"/>
  <c r="AA535" i="1"/>
  <c r="AA534" i="1"/>
  <c r="AA533" i="1"/>
  <c r="AA532" i="1"/>
  <c r="AA267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327" i="1"/>
  <c r="AA515" i="1"/>
  <c r="AA514" i="1"/>
  <c r="AA337" i="1"/>
  <c r="AA368" i="1"/>
  <c r="AA373" i="1"/>
  <c r="AA513" i="1"/>
  <c r="AA512" i="1"/>
  <c r="AA511" i="1"/>
  <c r="AA328" i="1"/>
  <c r="AA510" i="1"/>
  <c r="AA509" i="1"/>
  <c r="AA508" i="1"/>
  <c r="AA507" i="1"/>
  <c r="AA506" i="1"/>
  <c r="AA329" i="1"/>
  <c r="AA355" i="1"/>
  <c r="AA505" i="1"/>
  <c r="AA143" i="1"/>
  <c r="AA381" i="1"/>
  <c r="AA504" i="1"/>
  <c r="AA503" i="1"/>
  <c r="AA348" i="1"/>
  <c r="AA359" i="1"/>
  <c r="AA502" i="1"/>
  <c r="AA385" i="1"/>
  <c r="AA501" i="1"/>
  <c r="AA500" i="1"/>
  <c r="AA369" i="1"/>
  <c r="AA262" i="1"/>
  <c r="AA499" i="1"/>
  <c r="AA498" i="1"/>
  <c r="AA497" i="1"/>
  <c r="AA361" i="1"/>
  <c r="AA496" i="1"/>
  <c r="AA268" i="1"/>
  <c r="AA284" i="1"/>
  <c r="AA495" i="1"/>
  <c r="AA494" i="1"/>
  <c r="AA493" i="1"/>
  <c r="AA492" i="1"/>
  <c r="AA130" i="1"/>
  <c r="AA491" i="1"/>
  <c r="AA490" i="1"/>
  <c r="AA489" i="1"/>
  <c r="AA297" i="1"/>
  <c r="AA488" i="1"/>
  <c r="AA340" i="1"/>
  <c r="AA339" i="1"/>
  <c r="AA487" i="1"/>
  <c r="AA486" i="1"/>
  <c r="AA370" i="1"/>
  <c r="AA485" i="1"/>
  <c r="AA484" i="1"/>
  <c r="AA483" i="1"/>
  <c r="AA482" i="1"/>
  <c r="AA481" i="1"/>
  <c r="AA238" i="1"/>
  <c r="AA294" i="1"/>
  <c r="AA480" i="1"/>
  <c r="AA479" i="1"/>
  <c r="AA366" i="1"/>
  <c r="AA478" i="1"/>
  <c r="AA335" i="1"/>
  <c r="AA202" i="1"/>
  <c r="AA477" i="1"/>
  <c r="AA476" i="1"/>
  <c r="AA475" i="1"/>
  <c r="AA474" i="1"/>
  <c r="AA473" i="1"/>
  <c r="AA290" i="1"/>
  <c r="AA472" i="1"/>
  <c r="AA471" i="1"/>
  <c r="AA470" i="1"/>
  <c r="AA469" i="1"/>
  <c r="AA105" i="1"/>
  <c r="AA242" i="1"/>
  <c r="AA468" i="1"/>
  <c r="AA467" i="1"/>
  <c r="AA333" i="1"/>
  <c r="AA201" i="1"/>
  <c r="AA230" i="1"/>
  <c r="AA466" i="1"/>
  <c r="AA465" i="1"/>
  <c r="AA464" i="1"/>
  <c r="AA399" i="1"/>
  <c r="AA463" i="1"/>
  <c r="AA462" i="1"/>
  <c r="AA461" i="1"/>
  <c r="AA460" i="1"/>
  <c r="AA459" i="1"/>
  <c r="AA316" i="1"/>
  <c r="AA259" i="1"/>
  <c r="AA168" i="1"/>
  <c r="AA371" i="1"/>
  <c r="AA458" i="1"/>
  <c r="AA457" i="1"/>
  <c r="AA309" i="1"/>
  <c r="AA456" i="1"/>
  <c r="AA325" i="1"/>
  <c r="AA454" i="1"/>
  <c r="AA319" i="1"/>
  <c r="AA311" i="1"/>
  <c r="AA451" i="1"/>
  <c r="AA310" i="1"/>
  <c r="AA450" i="1"/>
  <c r="AA397" i="1"/>
  <c r="AA448" i="1"/>
  <c r="AA447" i="1"/>
  <c r="AA446" i="1"/>
  <c r="AA166" i="1"/>
  <c r="AA444" i="1"/>
  <c r="AA288" i="1"/>
  <c r="AA118" i="1"/>
  <c r="AA214" i="1"/>
  <c r="AA283" i="1"/>
  <c r="AA396" i="1"/>
  <c r="AA441" i="1"/>
  <c r="AA440" i="1"/>
  <c r="AA439" i="1"/>
  <c r="AA100" i="1"/>
  <c r="AA207" i="1"/>
  <c r="AA271" i="1"/>
  <c r="AA83" i="1"/>
  <c r="AA436" i="1"/>
  <c r="AA435" i="1"/>
  <c r="AA216" i="1"/>
  <c r="AA172" i="1"/>
  <c r="AA434" i="1"/>
  <c r="AA403" i="1"/>
  <c r="AA110" i="1"/>
  <c r="AA142" i="1"/>
  <c r="AA431" i="1"/>
  <c r="AA298" i="1"/>
  <c r="AA430" i="1"/>
  <c r="AA233" i="1"/>
  <c r="AA394" i="1"/>
  <c r="AA428" i="1"/>
  <c r="AA427" i="1"/>
  <c r="AA121" i="1"/>
  <c r="AA425" i="1"/>
  <c r="AA424" i="1"/>
  <c r="AA189" i="1"/>
  <c r="AA422" i="1"/>
  <c r="AA220" i="1"/>
  <c r="AA421" i="1"/>
  <c r="AA171" i="1"/>
  <c r="AA401" i="1"/>
  <c r="AA29" i="1"/>
  <c r="AA91" i="1"/>
  <c r="AA419" i="1"/>
  <c r="AA69" i="1"/>
  <c r="AA418" i="1"/>
  <c r="AA81" i="1"/>
  <c r="AA77" i="1"/>
  <c r="AA106" i="1"/>
  <c r="AA47" i="1"/>
  <c r="AA175" i="1"/>
  <c r="AA414" i="1"/>
  <c r="AA277" i="1"/>
  <c r="AA269" i="1"/>
  <c r="AA378" i="1"/>
  <c r="AA379" i="1"/>
  <c r="AA374" i="1"/>
  <c r="AA187" i="1"/>
  <c r="AA367" i="1"/>
  <c r="AA391" i="1"/>
  <c r="AA23" i="1"/>
  <c r="AA324" i="1"/>
  <c r="AA363" i="1"/>
  <c r="AA362" i="1"/>
  <c r="AA320" i="1"/>
  <c r="AA354" i="1"/>
  <c r="AA358" i="1"/>
  <c r="AA389" i="1"/>
  <c r="AA386" i="1"/>
  <c r="AA306" i="1"/>
  <c r="AA71" i="1"/>
  <c r="AA303" i="1"/>
  <c r="AA332" i="1"/>
  <c r="AA346" i="1"/>
  <c r="AA384" i="1"/>
  <c r="AA338" i="1"/>
  <c r="AA239" i="1"/>
  <c r="AA125" i="1"/>
  <c r="AA266" i="1"/>
  <c r="AA375" i="1"/>
  <c r="AA301" i="1"/>
  <c r="AA416" i="1"/>
  <c r="AA136" i="1"/>
  <c r="AA334" i="1"/>
  <c r="AA261" i="1"/>
  <c r="AA251" i="1"/>
  <c r="AA151" i="1"/>
  <c r="AA150" i="1"/>
  <c r="AA228" i="1"/>
  <c r="AA243" i="1"/>
  <c r="AA179" i="1"/>
  <c r="AA314" i="1"/>
  <c r="AA313" i="1"/>
  <c r="AA352" i="1"/>
  <c r="AA250" i="1"/>
  <c r="AA307" i="1"/>
  <c r="AA343" i="1"/>
  <c r="AA304" i="1"/>
  <c r="AA264" i="1"/>
  <c r="AA344" i="1"/>
  <c r="AA321" i="1"/>
  <c r="AA247" i="1"/>
  <c r="AA229" i="1"/>
  <c r="AA293" i="1"/>
  <c r="AA256" i="1"/>
  <c r="AA287" i="1"/>
  <c r="AA286" i="1"/>
  <c r="AA281" i="1"/>
  <c r="AA280" i="1"/>
  <c r="AA237" i="1"/>
  <c r="AA258" i="1"/>
  <c r="AA302" i="1"/>
  <c r="AA410" i="1"/>
  <c r="AA192" i="1"/>
  <c r="AA260" i="1"/>
  <c r="AA257" i="1"/>
  <c r="AA254" i="1"/>
  <c r="AA177" i="1"/>
  <c r="AA173" i="1"/>
  <c r="AA409" i="1"/>
  <c r="AA248" i="1"/>
  <c r="AA308" i="1"/>
  <c r="AA98" i="1"/>
  <c r="AA217" i="1"/>
  <c r="AA156" i="1"/>
  <c r="AA88" i="1"/>
  <c r="AA161" i="1"/>
  <c r="AA126" i="1"/>
  <c r="AA232" i="1"/>
  <c r="AA227" i="1"/>
  <c r="AA215" i="1"/>
  <c r="AA57" i="1"/>
  <c r="AA119" i="1"/>
  <c r="AA94" i="1"/>
  <c r="AA116" i="1"/>
  <c r="AA129" i="1"/>
  <c r="AA210" i="1"/>
  <c r="AA208" i="1"/>
  <c r="AA165" i="1"/>
  <c r="AA147" i="1"/>
  <c r="AA204" i="1"/>
  <c r="AA312" i="1"/>
  <c r="AA95" i="1"/>
  <c r="AA198" i="1"/>
  <c r="AA199" i="1"/>
  <c r="AA197" i="1"/>
  <c r="AA154" i="1"/>
  <c r="AA185" i="1"/>
  <c r="AA144" i="1"/>
  <c r="AA190" i="1"/>
  <c r="AA99" i="1"/>
  <c r="AA169" i="1"/>
  <c r="AA157" i="1"/>
  <c r="AA155" i="1"/>
  <c r="AA158" i="1"/>
  <c r="AA221" i="1"/>
  <c r="AA33" i="1"/>
  <c r="AA131" i="1"/>
  <c r="AA174" i="1"/>
  <c r="AA160" i="1"/>
  <c r="AA67" i="1"/>
  <c r="AA159" i="1"/>
  <c r="AA153" i="1"/>
  <c r="AA89" i="1"/>
  <c r="AA170" i="1"/>
  <c r="AA212" i="1"/>
  <c r="AA124" i="1"/>
  <c r="AA122" i="1"/>
  <c r="AA96" i="1"/>
  <c r="AA138" i="1"/>
  <c r="AA43" i="1"/>
  <c r="AA148" i="1"/>
  <c r="AA92" i="1"/>
  <c r="AA115" i="1"/>
  <c r="AA112" i="1"/>
  <c r="AA68" i="1"/>
  <c r="AA101" i="1"/>
  <c r="AA120" i="1"/>
  <c r="AA90" i="1"/>
  <c r="AA79" i="1"/>
  <c r="AA63" i="1"/>
  <c r="AA56" i="1"/>
  <c r="AA103" i="1"/>
  <c r="AA111" i="1"/>
  <c r="AA176" i="1"/>
  <c r="AA97" i="1"/>
  <c r="AA32" i="1"/>
  <c r="AA74" i="1"/>
  <c r="AA39" i="1"/>
  <c r="AA72" i="1"/>
  <c r="AA66" i="1"/>
  <c r="AA65" i="1"/>
  <c r="AA55" i="1"/>
  <c r="AA21" i="1"/>
  <c r="AA80" i="1"/>
  <c r="AA404" i="1"/>
  <c r="AA50" i="1"/>
  <c r="AA84" i="1"/>
  <c r="AA48" i="1"/>
  <c r="AA51" i="1"/>
  <c r="AA37" i="1"/>
  <c r="AA49" i="1"/>
  <c r="AA46" i="1"/>
  <c r="AA41" i="1"/>
  <c r="AA27" i="1"/>
  <c r="AA26" i="1"/>
  <c r="AA31" i="1"/>
  <c r="AA93" i="1"/>
  <c r="AA20" i="1"/>
  <c r="AA13" i="1"/>
  <c r="AA4" i="1"/>
  <c r="AA12" i="1"/>
  <c r="AA8" i="1"/>
  <c r="AA3" i="1"/>
  <c r="AA412" i="1" l="1"/>
  <c r="AA285" i="1"/>
  <c r="AA252" i="1"/>
  <c r="AA75" i="1"/>
  <c r="AA437" i="1"/>
  <c r="AA433" i="1"/>
  <c r="AA244" i="1"/>
  <c r="AA356" i="1"/>
  <c r="AA318" i="1"/>
  <c r="AA349" i="1"/>
  <c r="AA42" i="1"/>
  <c r="AA52" i="1"/>
  <c r="AA274" i="1"/>
  <c r="AA181" i="1"/>
  <c r="AA273" i="1"/>
  <c r="AA445" i="1"/>
  <c r="AA452" i="1"/>
  <c r="AA236" i="1"/>
  <c r="AA336" i="1"/>
  <c r="AA341" i="1"/>
  <c r="AA353" i="1"/>
  <c r="AA392" i="1"/>
  <c r="AA107" i="1"/>
  <c r="AA423" i="1"/>
  <c r="AA108" i="1"/>
  <c r="AA275" i="1"/>
  <c r="AA453" i="1"/>
  <c r="AA193" i="1"/>
  <c r="AA342" i="1"/>
  <c r="AA323" i="1"/>
  <c r="AA388" i="1"/>
  <c r="AA127" i="1"/>
  <c r="AA279" i="1"/>
  <c r="AA432" i="1"/>
  <c r="AA272" i="1"/>
  <c r="AA265" i="1"/>
  <c r="AA345" i="1"/>
  <c r="AA322" i="1"/>
  <c r="AA377" i="1"/>
  <c r="AA350" i="1"/>
  <c r="AA383" i="1"/>
  <c r="AA128" i="1"/>
  <c r="AA196" i="1"/>
  <c r="AA226" i="1"/>
  <c r="AA442" i="1"/>
  <c r="AA213" i="1"/>
  <c r="AA278" i="1"/>
  <c r="AA330" i="1"/>
  <c r="AA413" i="1"/>
  <c r="AA326" i="1"/>
  <c r="AA380" i="1"/>
  <c r="AA417" i="1"/>
  <c r="AA11" i="1"/>
  <c r="AA134" i="1"/>
  <c r="AA395" i="1"/>
  <c r="AA183" i="1"/>
  <c r="AA443" i="1"/>
  <c r="AA455" i="1"/>
  <c r="AA365" i="1"/>
  <c r="AA85" i="1"/>
  <c r="AA382" i="1"/>
  <c r="AA102" i="1"/>
  <c r="AA62" i="1"/>
  <c r="AA109" i="1"/>
  <c r="AA438" i="1"/>
  <c r="AA300" i="1"/>
  <c r="AA123" i="1"/>
  <c r="AA164" i="1"/>
  <c r="AA299" i="1"/>
  <c r="AA402" i="1"/>
  <c r="AA449" i="1"/>
  <c r="AA87" i="1"/>
  <c r="AA420" i="1"/>
  <c r="AA376" i="1"/>
  <c r="AA426" i="1"/>
  <c r="AA200" i="1"/>
  <c r="AA206" i="1"/>
  <c r="AA218" i="1"/>
  <c r="AA219" i="1"/>
  <c r="AA222" i="1"/>
  <c r="AA282" i="1"/>
  <c r="AA149" i="1"/>
  <c r="AA223" i="1"/>
  <c r="AA162" i="1"/>
  <c r="AA180" i="1"/>
  <c r="AA415" i="1"/>
  <c r="AA296" i="1"/>
  <c r="AA351" i="1"/>
  <c r="AA194" i="1"/>
  <c r="AA178" i="1"/>
  <c r="AA408" i="1"/>
  <c r="AA76" i="1"/>
  <c r="AA86" i="1"/>
  <c r="AA14" i="1"/>
  <c r="AA5" i="1"/>
  <c r="AA16" i="1"/>
  <c r="AA15" i="1"/>
  <c r="AA2" i="1"/>
  <c r="AO331" i="1" l="1"/>
  <c r="AC331" i="1" s="1"/>
  <c r="AD331" i="1" s="1"/>
  <c r="AO569" i="1"/>
  <c r="AC569" i="1" s="1"/>
  <c r="AD569" i="1" s="1"/>
  <c r="AO568" i="1"/>
  <c r="AC568" i="1" s="1"/>
  <c r="AD568" i="1" s="1"/>
  <c r="AO567" i="1"/>
  <c r="AC567" i="1" s="1"/>
  <c r="AD567" i="1" s="1"/>
  <c r="AO566" i="1"/>
  <c r="AC566" i="1" s="1"/>
  <c r="AO565" i="1"/>
  <c r="AC565" i="1" s="1"/>
  <c r="AO564" i="1"/>
  <c r="AC564" i="1" s="1"/>
  <c r="AO563" i="1"/>
  <c r="AC563" i="1" s="1"/>
  <c r="AO562" i="1"/>
  <c r="AC562" i="1" s="1"/>
  <c r="AO561" i="1"/>
  <c r="AC561" i="1" s="1"/>
  <c r="AO315" i="1"/>
  <c r="AC315" i="1" s="1"/>
  <c r="AD315" i="1" s="1"/>
  <c r="AO560" i="1"/>
  <c r="AC560" i="1" s="1"/>
  <c r="AO559" i="1"/>
  <c r="AC559" i="1" s="1"/>
  <c r="AO558" i="1"/>
  <c r="AC558" i="1" s="1"/>
  <c r="AO557" i="1"/>
  <c r="AC557" i="1" s="1"/>
  <c r="AO556" i="1"/>
  <c r="AC556" i="1" s="1"/>
  <c r="AD556" i="1" s="1"/>
  <c r="AO555" i="1"/>
  <c r="AC555" i="1" s="1"/>
  <c r="AD555" i="1" s="1"/>
  <c r="AO291" i="1"/>
  <c r="AC291" i="1" s="1"/>
  <c r="AD291" i="1" s="1"/>
  <c r="AO554" i="1"/>
  <c r="AC554" i="1" s="1"/>
  <c r="AD554" i="1" s="1"/>
  <c r="AO553" i="1"/>
  <c r="AC553" i="1" s="1"/>
  <c r="AD553" i="1" s="1"/>
  <c r="AO552" i="1"/>
  <c r="AC552" i="1" s="1"/>
  <c r="AD552" i="1" s="1"/>
  <c r="AO551" i="1"/>
  <c r="AC551" i="1" s="1"/>
  <c r="AD551" i="1" s="1"/>
  <c r="AO550" i="1"/>
  <c r="AC550" i="1" s="1"/>
  <c r="AD550" i="1" s="1"/>
  <c r="AO292" i="1"/>
  <c r="AC292" i="1" s="1"/>
  <c r="AD292" i="1" s="1"/>
  <c r="AO234" i="1"/>
  <c r="AC234" i="1" s="1"/>
  <c r="AD234" i="1" s="1"/>
  <c r="AO209" i="1"/>
  <c r="AC209" i="1" s="1"/>
  <c r="AD209" i="1" s="1"/>
  <c r="AO240" i="1"/>
  <c r="AC240" i="1" s="1"/>
  <c r="AD240" i="1" s="1"/>
  <c r="AO182" i="1"/>
  <c r="AC182" i="1" s="1"/>
  <c r="AD182" i="1" s="1"/>
  <c r="AO393" i="1"/>
  <c r="AC393" i="1" s="1"/>
  <c r="AD393" i="1" s="1"/>
  <c r="AO549" i="1"/>
  <c r="AC549" i="1" s="1"/>
  <c r="AD549" i="1" s="1"/>
  <c r="AO117" i="1"/>
  <c r="AC117" i="1" s="1"/>
  <c r="AD117" i="1" s="1"/>
  <c r="AO548" i="1"/>
  <c r="AC548" i="1" s="1"/>
  <c r="AD548" i="1" s="1"/>
  <c r="AO146" i="1"/>
  <c r="AC146" i="1" s="1"/>
  <c r="AD146" i="1" s="1"/>
  <c r="AO191" i="1"/>
  <c r="AC191" i="1" s="1"/>
  <c r="AD191" i="1" s="1"/>
  <c r="AO364" i="1"/>
  <c r="AC364" i="1" s="1"/>
  <c r="AD364" i="1" s="1"/>
  <c r="AO547" i="1"/>
  <c r="AC547" i="1" s="1"/>
  <c r="AD547" i="1" s="1"/>
  <c r="AO546" i="1"/>
  <c r="AC546" i="1" s="1"/>
  <c r="AD546" i="1" s="1"/>
  <c r="AO545" i="1"/>
  <c r="AC545" i="1" s="1"/>
  <c r="AD545" i="1" s="1"/>
  <c r="AO544" i="1"/>
  <c r="AC544" i="1" s="1"/>
  <c r="AD544" i="1" s="1"/>
  <c r="AO543" i="1"/>
  <c r="AC543" i="1" s="1"/>
  <c r="AD543" i="1" s="1"/>
  <c r="AO542" i="1"/>
  <c r="AC542" i="1" s="1"/>
  <c r="AD542" i="1" s="1"/>
  <c r="AO400" i="1"/>
  <c r="AC400" i="1" s="1"/>
  <c r="AD400" i="1" s="1"/>
  <c r="AO541" i="1"/>
  <c r="AC541" i="1" s="1"/>
  <c r="AD541" i="1" s="1"/>
  <c r="AO540" i="1"/>
  <c r="AC540" i="1" s="1"/>
  <c r="AD540" i="1" s="1"/>
  <c r="AO539" i="1"/>
  <c r="AC539" i="1" s="1"/>
  <c r="AD539" i="1" s="1"/>
  <c r="AO538" i="1"/>
  <c r="AC538" i="1" s="1"/>
  <c r="AD538" i="1" s="1"/>
  <c r="AO360" i="1"/>
  <c r="AC360" i="1" s="1"/>
  <c r="AD360" i="1" s="1"/>
  <c r="AO537" i="1"/>
  <c r="AC537" i="1" s="1"/>
  <c r="AD537" i="1" s="1"/>
  <c r="AO536" i="1"/>
  <c r="AC536" i="1" s="1"/>
  <c r="AD536" i="1" s="1"/>
  <c r="AO535" i="1"/>
  <c r="AC535" i="1" s="1"/>
  <c r="AD535" i="1" s="1"/>
  <c r="AO534" i="1"/>
  <c r="AC534" i="1" s="1"/>
  <c r="AD534" i="1" s="1"/>
  <c r="AO533" i="1"/>
  <c r="AC533" i="1" s="1"/>
  <c r="AD533" i="1" s="1"/>
  <c r="AO532" i="1"/>
  <c r="AC532" i="1" s="1"/>
  <c r="AD532" i="1" s="1"/>
  <c r="AO267" i="1"/>
  <c r="AC267" i="1" s="1"/>
  <c r="AD267" i="1" s="1"/>
  <c r="AO531" i="1"/>
  <c r="AC531" i="1" s="1"/>
  <c r="AD531" i="1" s="1"/>
  <c r="AO530" i="1"/>
  <c r="AC530" i="1" s="1"/>
  <c r="AD530" i="1" s="1"/>
  <c r="AO529" i="1"/>
  <c r="AC529" i="1" s="1"/>
  <c r="AD529" i="1" s="1"/>
  <c r="AO528" i="1"/>
  <c r="AC528" i="1" s="1"/>
  <c r="AD528" i="1" s="1"/>
  <c r="AO527" i="1"/>
  <c r="AC527" i="1" s="1"/>
  <c r="AD527" i="1" s="1"/>
  <c r="AO526" i="1"/>
  <c r="AC526" i="1" s="1"/>
  <c r="AD526" i="1" s="1"/>
  <c r="AO525" i="1"/>
  <c r="AC525" i="1" s="1"/>
  <c r="AD525" i="1" s="1"/>
  <c r="AO524" i="1"/>
  <c r="AC524" i="1" s="1"/>
  <c r="AD524" i="1" s="1"/>
  <c r="AO523" i="1"/>
  <c r="AC523" i="1" s="1"/>
  <c r="AD523" i="1" s="1"/>
  <c r="AO522" i="1"/>
  <c r="AC522" i="1" s="1"/>
  <c r="AD522" i="1" s="1"/>
  <c r="AO521" i="1"/>
  <c r="AC521" i="1" s="1"/>
  <c r="AD521" i="1" s="1"/>
  <c r="AO520" i="1"/>
  <c r="AC520" i="1" s="1"/>
  <c r="AD520" i="1" s="1"/>
  <c r="AO519" i="1"/>
  <c r="AC519" i="1" s="1"/>
  <c r="AD519" i="1" s="1"/>
  <c r="AO518" i="1"/>
  <c r="AC518" i="1" s="1"/>
  <c r="AD518" i="1" s="1"/>
  <c r="AO517" i="1"/>
  <c r="AC517" i="1" s="1"/>
  <c r="AD517" i="1" s="1"/>
  <c r="AO516" i="1"/>
  <c r="AC516" i="1" s="1"/>
  <c r="AD516" i="1" s="1"/>
  <c r="AO327" i="1"/>
  <c r="AC327" i="1" s="1"/>
  <c r="AD327" i="1" s="1"/>
  <c r="AO515" i="1"/>
  <c r="AC515" i="1" s="1"/>
  <c r="AD515" i="1" s="1"/>
  <c r="AO514" i="1"/>
  <c r="AC514" i="1" s="1"/>
  <c r="AD514" i="1" s="1"/>
  <c r="AO337" i="1"/>
  <c r="AC337" i="1" s="1"/>
  <c r="AD337" i="1" s="1"/>
  <c r="AO368" i="1"/>
  <c r="AC368" i="1" s="1"/>
  <c r="AD368" i="1" s="1"/>
  <c r="AO373" i="1"/>
  <c r="AC373" i="1" s="1"/>
  <c r="AD373" i="1" s="1"/>
  <c r="AO513" i="1"/>
  <c r="AC513" i="1" s="1"/>
  <c r="AD513" i="1" s="1"/>
  <c r="AO512" i="1"/>
  <c r="AC512" i="1" s="1"/>
  <c r="AD512" i="1" s="1"/>
  <c r="AO511" i="1"/>
  <c r="AC511" i="1" s="1"/>
  <c r="AD511" i="1" s="1"/>
  <c r="AO328" i="1"/>
  <c r="AC328" i="1" s="1"/>
  <c r="AD328" i="1" s="1"/>
  <c r="AO510" i="1"/>
  <c r="AC510" i="1" s="1"/>
  <c r="AD510" i="1" s="1"/>
  <c r="AO509" i="1"/>
  <c r="AC509" i="1" s="1"/>
  <c r="AD509" i="1" s="1"/>
  <c r="AO508" i="1"/>
  <c r="AC508" i="1" s="1"/>
  <c r="AD508" i="1" s="1"/>
  <c r="AO507" i="1"/>
  <c r="AC507" i="1" s="1"/>
  <c r="AD507" i="1" s="1"/>
  <c r="AO506" i="1"/>
  <c r="AC506" i="1" s="1"/>
  <c r="AD506" i="1" s="1"/>
  <c r="AO329" i="1"/>
  <c r="AC329" i="1" s="1"/>
  <c r="AD329" i="1" s="1"/>
  <c r="AO355" i="1"/>
  <c r="AC355" i="1" s="1"/>
  <c r="AD355" i="1" s="1"/>
  <c r="AO505" i="1"/>
  <c r="AC505" i="1" s="1"/>
  <c r="AD505" i="1" s="1"/>
  <c r="AO143" i="1"/>
  <c r="AC143" i="1" s="1"/>
  <c r="AD143" i="1" s="1"/>
  <c r="AO381" i="1"/>
  <c r="AC381" i="1" s="1"/>
  <c r="AD381" i="1" s="1"/>
  <c r="AO504" i="1"/>
  <c r="AC504" i="1" s="1"/>
  <c r="AD504" i="1" s="1"/>
  <c r="AO503" i="1"/>
  <c r="AC503" i="1" s="1"/>
  <c r="AD503" i="1" s="1"/>
  <c r="AO348" i="1"/>
  <c r="AC348" i="1" s="1"/>
  <c r="AD348" i="1" s="1"/>
  <c r="AO359" i="1"/>
  <c r="AC359" i="1" s="1"/>
  <c r="AD359" i="1" s="1"/>
  <c r="AO502" i="1"/>
  <c r="AC502" i="1" s="1"/>
  <c r="AD502" i="1" s="1"/>
  <c r="AO385" i="1"/>
  <c r="AC385" i="1" s="1"/>
  <c r="AD385" i="1" s="1"/>
  <c r="AO501" i="1"/>
  <c r="AC501" i="1" s="1"/>
  <c r="AD501" i="1" s="1"/>
  <c r="AO500" i="1"/>
  <c r="AC500" i="1" s="1"/>
  <c r="AD500" i="1" s="1"/>
  <c r="AO369" i="1"/>
  <c r="AC369" i="1" s="1"/>
  <c r="AD369" i="1" s="1"/>
  <c r="AO262" i="1"/>
  <c r="AC262" i="1" s="1"/>
  <c r="AD262" i="1" s="1"/>
  <c r="AO499" i="1"/>
  <c r="AC499" i="1" s="1"/>
  <c r="AD499" i="1" s="1"/>
  <c r="AO498" i="1"/>
  <c r="AC498" i="1" s="1"/>
  <c r="AD498" i="1" s="1"/>
  <c r="AO497" i="1"/>
  <c r="AC497" i="1" s="1"/>
  <c r="AD497" i="1" s="1"/>
  <c r="AO361" i="1"/>
  <c r="AC361" i="1" s="1"/>
  <c r="AD361" i="1" s="1"/>
  <c r="AO496" i="1"/>
  <c r="AC496" i="1" s="1"/>
  <c r="AD496" i="1" s="1"/>
  <c r="AO268" i="1"/>
  <c r="AC268" i="1" s="1"/>
  <c r="AD268" i="1" s="1"/>
  <c r="AO284" i="1"/>
  <c r="AC284" i="1" s="1"/>
  <c r="AD284" i="1" s="1"/>
  <c r="AO495" i="1"/>
  <c r="AC495" i="1" s="1"/>
  <c r="AD495" i="1" s="1"/>
  <c r="AO494" i="1"/>
  <c r="AC494" i="1" s="1"/>
  <c r="AD494" i="1" s="1"/>
  <c r="AO493" i="1"/>
  <c r="AC493" i="1" s="1"/>
  <c r="AD493" i="1" s="1"/>
  <c r="AO492" i="1"/>
  <c r="AC492" i="1" s="1"/>
  <c r="AD492" i="1" s="1"/>
  <c r="AO130" i="1"/>
  <c r="AC130" i="1" s="1"/>
  <c r="AD130" i="1" s="1"/>
  <c r="AO491" i="1"/>
  <c r="AC491" i="1" s="1"/>
  <c r="AD491" i="1" s="1"/>
  <c r="AO490" i="1"/>
  <c r="AC490" i="1" s="1"/>
  <c r="AD490" i="1" s="1"/>
  <c r="AO489" i="1"/>
  <c r="AC489" i="1" s="1"/>
  <c r="AD489" i="1" s="1"/>
  <c r="AO297" i="1"/>
  <c r="AC297" i="1" s="1"/>
  <c r="AD297" i="1" s="1"/>
  <c r="AO488" i="1"/>
  <c r="AC488" i="1" s="1"/>
  <c r="AD488" i="1" s="1"/>
  <c r="AO340" i="1"/>
  <c r="AC340" i="1" s="1"/>
  <c r="AD340" i="1" s="1"/>
  <c r="AO339" i="1"/>
  <c r="AC339" i="1" s="1"/>
  <c r="AD339" i="1" s="1"/>
  <c r="AO487" i="1"/>
  <c r="AC487" i="1" s="1"/>
  <c r="AD487" i="1" s="1"/>
  <c r="AO486" i="1"/>
  <c r="AC486" i="1" s="1"/>
  <c r="AD486" i="1" s="1"/>
  <c r="AO370" i="1"/>
  <c r="AC370" i="1" s="1"/>
  <c r="AD370" i="1" s="1"/>
  <c r="AO485" i="1"/>
  <c r="AC485" i="1" s="1"/>
  <c r="AD485" i="1" s="1"/>
  <c r="AO484" i="1"/>
  <c r="AC484" i="1" s="1"/>
  <c r="AD484" i="1" s="1"/>
  <c r="AO483" i="1"/>
  <c r="AC483" i="1" s="1"/>
  <c r="AD483" i="1" s="1"/>
  <c r="AO482" i="1"/>
  <c r="AC482" i="1" s="1"/>
  <c r="AD482" i="1" s="1"/>
  <c r="AO481" i="1"/>
  <c r="AC481" i="1" s="1"/>
  <c r="AD481" i="1" s="1"/>
  <c r="AO238" i="1"/>
  <c r="AC238" i="1" s="1"/>
  <c r="AD238" i="1" s="1"/>
  <c r="AO294" i="1"/>
  <c r="AC294" i="1" s="1"/>
  <c r="AD294" i="1" s="1"/>
  <c r="AO480" i="1"/>
  <c r="AC480" i="1" s="1"/>
  <c r="AD480" i="1" s="1"/>
  <c r="AO479" i="1"/>
  <c r="AC479" i="1" s="1"/>
  <c r="AD479" i="1" s="1"/>
  <c r="AO366" i="1"/>
  <c r="AC366" i="1" s="1"/>
  <c r="AD366" i="1" s="1"/>
  <c r="AO478" i="1"/>
  <c r="AC478" i="1" s="1"/>
  <c r="AD478" i="1" s="1"/>
  <c r="AO335" i="1"/>
  <c r="AC335" i="1" s="1"/>
  <c r="AD335" i="1" s="1"/>
  <c r="AO202" i="1"/>
  <c r="AC202" i="1" s="1"/>
  <c r="AD202" i="1" s="1"/>
  <c r="AO477" i="1"/>
  <c r="AC477" i="1" s="1"/>
  <c r="AD477" i="1" s="1"/>
  <c r="AO476" i="1"/>
  <c r="AC476" i="1" s="1"/>
  <c r="AD476" i="1" s="1"/>
  <c r="AO475" i="1"/>
  <c r="AC475" i="1" s="1"/>
  <c r="AD475" i="1" s="1"/>
  <c r="AO474" i="1"/>
  <c r="AC474" i="1" s="1"/>
  <c r="AD474" i="1" s="1"/>
  <c r="AO473" i="1"/>
  <c r="AC473" i="1" s="1"/>
  <c r="AD473" i="1" s="1"/>
  <c r="AO290" i="1"/>
  <c r="AC290" i="1" s="1"/>
  <c r="AD290" i="1" s="1"/>
  <c r="AO472" i="1"/>
  <c r="AC472" i="1" s="1"/>
  <c r="AD472" i="1" s="1"/>
  <c r="AO471" i="1"/>
  <c r="AC471" i="1" s="1"/>
  <c r="AD471" i="1" s="1"/>
  <c r="AO470" i="1"/>
  <c r="AC470" i="1" s="1"/>
  <c r="AD470" i="1" s="1"/>
  <c r="AO469" i="1"/>
  <c r="AC469" i="1" s="1"/>
  <c r="AD469" i="1" s="1"/>
  <c r="AO105" i="1"/>
  <c r="AC105" i="1" s="1"/>
  <c r="AD105" i="1" s="1"/>
  <c r="AO242" i="1"/>
  <c r="AC242" i="1" s="1"/>
  <c r="AD242" i="1" s="1"/>
  <c r="AO468" i="1"/>
  <c r="AC468" i="1" s="1"/>
  <c r="AD468" i="1" s="1"/>
  <c r="AO467" i="1"/>
  <c r="AC467" i="1" s="1"/>
  <c r="AD467" i="1" s="1"/>
  <c r="AO333" i="1"/>
  <c r="AC333" i="1" s="1"/>
  <c r="AD333" i="1" s="1"/>
  <c r="AO201" i="1"/>
  <c r="AC201" i="1" s="1"/>
  <c r="AD201" i="1" s="1"/>
  <c r="AO230" i="1"/>
  <c r="AC230" i="1" s="1"/>
  <c r="AD230" i="1" s="1"/>
  <c r="AO466" i="1"/>
  <c r="AC466" i="1" s="1"/>
  <c r="AD466" i="1" s="1"/>
  <c r="AO465" i="1"/>
  <c r="AC465" i="1" s="1"/>
  <c r="AD465" i="1" s="1"/>
  <c r="AO464" i="1"/>
  <c r="AC464" i="1" s="1"/>
  <c r="AD464" i="1" s="1"/>
  <c r="AO399" i="1"/>
  <c r="AC399" i="1" s="1"/>
  <c r="AD399" i="1" s="1"/>
  <c r="AO463" i="1"/>
  <c r="AC463" i="1" s="1"/>
  <c r="AD463" i="1" s="1"/>
  <c r="AO462" i="1"/>
  <c r="AC462" i="1" s="1"/>
  <c r="AD462" i="1" s="1"/>
  <c r="AO461" i="1"/>
  <c r="AC461" i="1" s="1"/>
  <c r="AD461" i="1" s="1"/>
  <c r="AO460" i="1"/>
  <c r="AC460" i="1" s="1"/>
  <c r="AD460" i="1" s="1"/>
  <c r="AO459" i="1"/>
  <c r="AC459" i="1" s="1"/>
  <c r="AD459" i="1" s="1"/>
  <c r="AO316" i="1"/>
  <c r="AC316" i="1" s="1"/>
  <c r="AD316" i="1" s="1"/>
  <c r="AO259" i="1"/>
  <c r="AC259" i="1" s="1"/>
  <c r="AD259" i="1" s="1"/>
  <c r="AO398" i="1"/>
  <c r="AC398" i="1" s="1"/>
  <c r="AD398" i="1" s="1"/>
  <c r="AO168" i="1"/>
  <c r="AC168" i="1" s="1"/>
  <c r="AD168" i="1" s="1"/>
  <c r="AO371" i="1"/>
  <c r="AC371" i="1" s="1"/>
  <c r="AD371" i="1" s="1"/>
  <c r="AO193" i="1"/>
  <c r="AC193" i="1" s="1"/>
  <c r="AD193" i="1" s="1"/>
  <c r="AO236" i="1"/>
  <c r="AC236" i="1" s="1"/>
  <c r="AD236" i="1" s="1"/>
  <c r="AO458" i="1"/>
  <c r="AC458" i="1" s="1"/>
  <c r="AD458" i="1" s="1"/>
  <c r="AO457" i="1"/>
  <c r="AC457" i="1" s="1"/>
  <c r="AD457" i="1" s="1"/>
  <c r="AO309" i="1"/>
  <c r="AC309" i="1" s="1"/>
  <c r="AD309" i="1" s="1"/>
  <c r="AO456" i="1"/>
  <c r="AC456" i="1" s="1"/>
  <c r="AD456" i="1" s="1"/>
  <c r="AO300" i="1"/>
  <c r="AC300" i="1" s="1"/>
  <c r="AD300" i="1" s="1"/>
  <c r="AO455" i="1"/>
  <c r="AC455" i="1" s="1"/>
  <c r="AD455" i="1" s="1"/>
  <c r="AO278" i="1"/>
  <c r="AC278" i="1" s="1"/>
  <c r="AD278" i="1" s="1"/>
  <c r="AO265" i="1"/>
  <c r="AC265" i="1" s="1"/>
  <c r="AD265" i="1" s="1"/>
  <c r="AO325" i="1"/>
  <c r="AC325" i="1" s="1"/>
  <c r="AD325" i="1" s="1"/>
  <c r="AO454" i="1"/>
  <c r="AC454" i="1" s="1"/>
  <c r="AD454" i="1" s="1"/>
  <c r="AO319" i="1"/>
  <c r="AC319" i="1" s="1"/>
  <c r="AD319" i="1" s="1"/>
  <c r="AO311" i="1"/>
  <c r="AC311" i="1" s="1"/>
  <c r="AD311" i="1" s="1"/>
  <c r="AO453" i="1"/>
  <c r="AC453" i="1" s="1"/>
  <c r="AD453" i="1" s="1"/>
  <c r="AO452" i="1"/>
  <c r="AC452" i="1" s="1"/>
  <c r="AD452" i="1" s="1"/>
  <c r="AO451" i="1"/>
  <c r="AC451" i="1" s="1"/>
  <c r="AD451" i="1" s="1"/>
  <c r="AO310" i="1"/>
  <c r="AC310" i="1" s="1"/>
  <c r="AD310" i="1" s="1"/>
  <c r="AO450" i="1"/>
  <c r="AC450" i="1" s="1"/>
  <c r="AD450" i="1" s="1"/>
  <c r="AO397" i="1"/>
  <c r="AC397" i="1" s="1"/>
  <c r="AD397" i="1" s="1"/>
  <c r="AO145" i="1"/>
  <c r="AC145" i="1" s="1"/>
  <c r="AD145" i="1" s="1"/>
  <c r="AO244" i="1"/>
  <c r="AC244" i="1" s="1"/>
  <c r="AD244" i="1" s="1"/>
  <c r="AO213" i="1"/>
  <c r="AC213" i="1" s="1"/>
  <c r="AD213" i="1" s="1"/>
  <c r="AO449" i="1"/>
  <c r="AC449" i="1" s="1"/>
  <c r="AD449" i="1" s="1"/>
  <c r="AO448" i="1"/>
  <c r="AC448" i="1" s="1"/>
  <c r="AD448" i="1" s="1"/>
  <c r="AO447" i="1"/>
  <c r="AC447" i="1" s="1"/>
  <c r="AD447" i="1" s="1"/>
  <c r="AO446" i="1"/>
  <c r="AC446" i="1" s="1"/>
  <c r="AD446" i="1" s="1"/>
  <c r="AO166" i="1"/>
  <c r="AC166" i="1" s="1"/>
  <c r="AD166" i="1" s="1"/>
  <c r="AO140" i="1"/>
  <c r="AC140" i="1" s="1"/>
  <c r="AD140" i="1" s="1"/>
  <c r="AO445" i="1"/>
  <c r="AC445" i="1" s="1"/>
  <c r="AD445" i="1" s="1"/>
  <c r="AO444" i="1"/>
  <c r="AC444" i="1" s="1"/>
  <c r="AD444" i="1" s="1"/>
  <c r="AO288" i="1"/>
  <c r="AC288" i="1" s="1"/>
  <c r="AD288" i="1" s="1"/>
  <c r="AO118" i="1"/>
  <c r="AC118" i="1" s="1"/>
  <c r="AD118" i="1" s="1"/>
  <c r="AO214" i="1"/>
  <c r="AC214" i="1" s="1"/>
  <c r="AD214" i="1" s="1"/>
  <c r="AO443" i="1"/>
  <c r="AC443" i="1" s="1"/>
  <c r="AD443" i="1" s="1"/>
  <c r="AO442" i="1"/>
  <c r="AC442" i="1" s="1"/>
  <c r="AD442" i="1" s="1"/>
  <c r="AO272" i="1"/>
  <c r="AC272" i="1" s="1"/>
  <c r="AD272" i="1" s="1"/>
  <c r="AO283" i="1"/>
  <c r="AC283" i="1" s="1"/>
  <c r="AD283" i="1" s="1"/>
  <c r="AO396" i="1"/>
  <c r="AC396" i="1" s="1"/>
  <c r="AD396" i="1" s="1"/>
  <c r="AO441" i="1"/>
  <c r="AC441" i="1" s="1"/>
  <c r="AD441" i="1" s="1"/>
  <c r="AO440" i="1"/>
  <c r="AC440" i="1" s="1"/>
  <c r="AD440" i="1" s="1"/>
  <c r="AO275" i="1"/>
  <c r="AC275" i="1" s="1"/>
  <c r="AD275" i="1" s="1"/>
  <c r="AO273" i="1"/>
  <c r="AC273" i="1" s="1"/>
  <c r="AD273" i="1" s="1"/>
  <c r="AO439" i="1"/>
  <c r="AC439" i="1" s="1"/>
  <c r="AD439" i="1" s="1"/>
  <c r="AO100" i="1"/>
  <c r="AC100" i="1" s="1"/>
  <c r="AD100" i="1" s="1"/>
  <c r="AO207" i="1"/>
  <c r="AC207" i="1" s="1"/>
  <c r="AD207" i="1" s="1"/>
  <c r="AO271" i="1"/>
  <c r="AC271" i="1" s="1"/>
  <c r="AD271" i="1" s="1"/>
  <c r="AO438" i="1"/>
  <c r="AC438" i="1" s="1"/>
  <c r="AD438" i="1" s="1"/>
  <c r="AO183" i="1"/>
  <c r="AC183" i="1" s="1"/>
  <c r="AD183" i="1" s="1"/>
  <c r="AO226" i="1"/>
  <c r="AC226" i="1" s="1"/>
  <c r="AD226" i="1" s="1"/>
  <c r="AO437" i="1"/>
  <c r="AC437" i="1" s="1"/>
  <c r="AD437" i="1" s="1"/>
  <c r="AO83" i="1"/>
  <c r="AC83" i="1" s="1"/>
  <c r="AD83" i="1" s="1"/>
  <c r="AO436" i="1"/>
  <c r="AC436" i="1" s="1"/>
  <c r="AD436" i="1" s="1"/>
  <c r="AO435" i="1"/>
  <c r="AC435" i="1" s="1"/>
  <c r="AD435" i="1" s="1"/>
  <c r="AO216" i="1"/>
  <c r="AC216" i="1" s="1"/>
  <c r="AD216" i="1" s="1"/>
  <c r="AO108" i="1"/>
  <c r="AC108" i="1" s="1"/>
  <c r="AD108" i="1" s="1"/>
  <c r="AO181" i="1"/>
  <c r="AC181" i="1" s="1"/>
  <c r="AD181" i="1" s="1"/>
  <c r="AO172" i="1"/>
  <c r="AC172" i="1" s="1"/>
  <c r="AD172" i="1" s="1"/>
  <c r="AO434" i="1"/>
  <c r="AC434" i="1" s="1"/>
  <c r="AD434" i="1" s="1"/>
  <c r="AO403" i="1"/>
  <c r="AC403" i="1" s="1"/>
  <c r="AD403" i="1" s="1"/>
  <c r="AO110" i="1"/>
  <c r="AC110" i="1" s="1"/>
  <c r="AD110" i="1" s="1"/>
  <c r="AO109" i="1"/>
  <c r="AC109" i="1" s="1"/>
  <c r="AD109" i="1" s="1"/>
  <c r="AO395" i="1"/>
  <c r="AC395" i="1" s="1"/>
  <c r="AD395" i="1" s="1"/>
  <c r="AO433" i="1"/>
  <c r="AC433" i="1" s="1"/>
  <c r="AD433" i="1" s="1"/>
  <c r="AO432" i="1"/>
  <c r="AC432" i="1" s="1"/>
  <c r="AD432" i="1" s="1"/>
  <c r="AO142" i="1"/>
  <c r="AC142" i="1" s="1"/>
  <c r="AD142" i="1" s="1"/>
  <c r="AO431" i="1"/>
  <c r="AC431" i="1" s="1"/>
  <c r="AD431" i="1" s="1"/>
  <c r="AO298" i="1"/>
  <c r="AC298" i="1" s="1"/>
  <c r="AD298" i="1" s="1"/>
  <c r="AO430" i="1"/>
  <c r="AC430" i="1" s="1"/>
  <c r="AD430" i="1" s="1"/>
  <c r="AO429" i="1"/>
  <c r="AC429" i="1" s="1"/>
  <c r="AD429" i="1" s="1"/>
  <c r="AO274" i="1"/>
  <c r="AC274" i="1" s="1"/>
  <c r="AD274" i="1" s="1"/>
  <c r="AO233" i="1"/>
  <c r="AC233" i="1" s="1"/>
  <c r="AD233" i="1" s="1"/>
  <c r="AO394" i="1"/>
  <c r="AC394" i="1" s="1"/>
  <c r="AD394" i="1" s="1"/>
  <c r="AO428" i="1"/>
  <c r="AC428" i="1" s="1"/>
  <c r="AD428" i="1" s="1"/>
  <c r="AO427" i="1"/>
  <c r="AC427" i="1" s="1"/>
  <c r="AD427" i="1" s="1"/>
  <c r="AO426" i="1"/>
  <c r="AC426" i="1" s="1"/>
  <c r="AD426" i="1" s="1"/>
  <c r="AO134" i="1"/>
  <c r="AC134" i="1" s="1"/>
  <c r="AD134" i="1" s="1"/>
  <c r="AO196" i="1"/>
  <c r="AC196" i="1" s="1"/>
  <c r="AD196" i="1" s="1"/>
  <c r="AO279" i="1"/>
  <c r="AC279" i="1" s="1"/>
  <c r="AD279" i="1" s="1"/>
  <c r="AO121" i="1"/>
  <c r="AC121" i="1" s="1"/>
  <c r="AD121" i="1" s="1"/>
  <c r="AO425" i="1"/>
  <c r="AC425" i="1" s="1"/>
  <c r="AD425" i="1" s="1"/>
  <c r="AO424" i="1"/>
  <c r="AC424" i="1" s="1"/>
  <c r="AD424" i="1" s="1"/>
  <c r="AO189" i="1"/>
  <c r="AC189" i="1" s="1"/>
  <c r="AD189" i="1" s="1"/>
  <c r="AO423" i="1"/>
  <c r="AC423" i="1" s="1"/>
  <c r="AD423" i="1" s="1"/>
  <c r="AO164" i="1"/>
  <c r="AC164" i="1" s="1"/>
  <c r="AD164" i="1" s="1"/>
  <c r="AO422" i="1"/>
  <c r="AC422" i="1" s="1"/>
  <c r="AD422" i="1" s="1"/>
  <c r="AO220" i="1"/>
  <c r="AC220" i="1" s="1"/>
  <c r="AD220" i="1" s="1"/>
  <c r="AO421" i="1"/>
  <c r="AC421" i="1" s="1"/>
  <c r="AD421" i="1" s="1"/>
  <c r="AO171" i="1"/>
  <c r="AC171" i="1" s="1"/>
  <c r="AD171" i="1" s="1"/>
  <c r="AO62" i="1"/>
  <c r="AO420" i="1"/>
  <c r="AC420" i="1" s="1"/>
  <c r="AD420" i="1" s="1"/>
  <c r="AO87" i="1"/>
  <c r="AC87" i="1" s="1"/>
  <c r="AD87" i="1" s="1"/>
  <c r="AO402" i="1"/>
  <c r="AC402" i="1" s="1"/>
  <c r="AD402" i="1" s="1"/>
  <c r="AO401" i="1"/>
  <c r="AC401" i="1" s="1"/>
  <c r="AD401" i="1" s="1"/>
  <c r="AO29" i="1"/>
  <c r="AC29" i="1" s="1"/>
  <c r="AD29" i="1" s="1"/>
  <c r="AO91" i="1"/>
  <c r="AC91" i="1" s="1"/>
  <c r="AD91" i="1" s="1"/>
  <c r="AO419" i="1"/>
  <c r="AC419" i="1" s="1"/>
  <c r="AD419" i="1" s="1"/>
  <c r="AO107" i="1"/>
  <c r="AC107" i="1" s="1"/>
  <c r="AD107" i="1" s="1"/>
  <c r="AO52" i="1"/>
  <c r="AC52" i="1" s="1"/>
  <c r="AD52" i="1" s="1"/>
  <c r="AO69" i="1"/>
  <c r="AC69" i="1" s="1"/>
  <c r="AD69" i="1" s="1"/>
  <c r="AO418" i="1"/>
  <c r="AC418" i="1" s="1"/>
  <c r="AD418" i="1" s="1"/>
  <c r="AO81" i="1"/>
  <c r="AC81" i="1" s="1"/>
  <c r="AD81" i="1" s="1"/>
  <c r="AO186" i="1"/>
  <c r="AC186" i="1" s="1"/>
  <c r="AD186" i="1" s="1"/>
  <c r="AO102" i="1"/>
  <c r="AC102" i="1" s="1"/>
  <c r="AD102" i="1" s="1"/>
  <c r="AO11" i="1"/>
  <c r="AC11" i="1" s="1"/>
  <c r="AD11" i="1" s="1"/>
  <c r="AO128" i="1"/>
  <c r="AC128" i="1" s="1"/>
  <c r="AD128" i="1" s="1"/>
  <c r="AO127" i="1"/>
  <c r="AC127" i="1" s="1"/>
  <c r="AD127" i="1" s="1"/>
  <c r="AO77" i="1"/>
  <c r="AC77" i="1" s="1"/>
  <c r="AD77" i="1" s="1"/>
  <c r="AO106" i="1"/>
  <c r="AC106" i="1" s="1"/>
  <c r="AD106" i="1" s="1"/>
  <c r="AO47" i="1"/>
  <c r="AC47" i="1" s="1"/>
  <c r="AD47" i="1" s="1"/>
  <c r="AO175" i="1"/>
  <c r="AC175" i="1" s="1"/>
  <c r="AD175" i="1" s="1"/>
  <c r="AO392" i="1"/>
  <c r="AC392" i="1" s="1"/>
  <c r="AD392" i="1" s="1"/>
  <c r="AO285" i="1"/>
  <c r="AC285" i="1" s="1"/>
  <c r="AD285" i="1" s="1"/>
  <c r="AO414" i="1"/>
  <c r="AC414" i="1" s="1"/>
  <c r="AD414" i="1" s="1"/>
  <c r="AO277" i="1"/>
  <c r="AC277" i="1" s="1"/>
  <c r="AD277" i="1" s="1"/>
  <c r="AO269" i="1"/>
  <c r="AC269" i="1" s="1"/>
  <c r="AD269" i="1" s="1"/>
  <c r="AO387" i="1"/>
  <c r="AC387" i="1" s="1"/>
  <c r="AD387" i="1" s="1"/>
  <c r="AO372" i="1"/>
  <c r="AC372" i="1" s="1"/>
  <c r="AD372" i="1" s="1"/>
  <c r="AO417" i="1"/>
  <c r="AC417" i="1" s="1"/>
  <c r="AD417" i="1" s="1"/>
  <c r="AO383" i="1"/>
  <c r="AC383" i="1" s="1"/>
  <c r="AD383" i="1" s="1"/>
  <c r="AO388" i="1"/>
  <c r="AC388" i="1" s="1"/>
  <c r="AD388" i="1" s="1"/>
  <c r="AO378" i="1"/>
  <c r="AC378" i="1" s="1"/>
  <c r="AD378" i="1" s="1"/>
  <c r="AO379" i="1"/>
  <c r="AC379" i="1" s="1"/>
  <c r="AD379" i="1" s="1"/>
  <c r="AO374" i="1"/>
  <c r="AC374" i="1" s="1"/>
  <c r="AD374" i="1" s="1"/>
  <c r="AO187" i="1"/>
  <c r="AC187" i="1" s="1"/>
  <c r="AD187" i="1" s="1"/>
  <c r="AO252" i="1"/>
  <c r="AC252" i="1" s="1"/>
  <c r="AD252" i="1" s="1"/>
  <c r="AO42" i="1"/>
  <c r="AC42" i="1" s="1"/>
  <c r="AD42" i="1" s="1"/>
  <c r="AO367" i="1"/>
  <c r="AC367" i="1" s="1"/>
  <c r="AD367" i="1" s="1"/>
  <c r="AO391" i="1"/>
  <c r="AC391" i="1" s="1"/>
  <c r="AD391" i="1" s="1"/>
  <c r="AO23" i="1"/>
  <c r="AC23" i="1" s="1"/>
  <c r="AD23" i="1" s="1"/>
  <c r="AO123" i="1"/>
  <c r="AC123" i="1" s="1"/>
  <c r="AD123" i="1" s="1"/>
  <c r="AO376" i="1"/>
  <c r="AC376" i="1" s="1"/>
  <c r="AD376" i="1" s="1"/>
  <c r="AO380" i="1"/>
  <c r="AC380" i="1" s="1"/>
  <c r="AD380" i="1" s="1"/>
  <c r="AO350" i="1"/>
  <c r="AC350" i="1" s="1"/>
  <c r="AD350" i="1" s="1"/>
  <c r="AO323" i="1"/>
  <c r="AC323" i="1" s="1"/>
  <c r="AD323" i="1" s="1"/>
  <c r="AO324" i="1"/>
  <c r="AC324" i="1" s="1"/>
  <c r="AD324" i="1" s="1"/>
  <c r="AO363" i="1"/>
  <c r="AC363" i="1" s="1"/>
  <c r="AD363" i="1" s="1"/>
  <c r="AO362" i="1"/>
  <c r="AC362" i="1" s="1"/>
  <c r="AD362" i="1" s="1"/>
  <c r="AO320" i="1"/>
  <c r="AC320" i="1" s="1"/>
  <c r="AD320" i="1" s="1"/>
  <c r="AO353" i="1"/>
  <c r="AC353" i="1" s="1"/>
  <c r="AD353" i="1" s="1"/>
  <c r="AO349" i="1"/>
  <c r="AC349" i="1" s="1"/>
  <c r="AD349" i="1" s="1"/>
  <c r="AO354" i="1"/>
  <c r="AC354" i="1" s="1"/>
  <c r="AD354" i="1" s="1"/>
  <c r="AO358" i="1"/>
  <c r="AC358" i="1" s="1"/>
  <c r="AD358" i="1" s="1"/>
  <c r="AO389" i="1"/>
  <c r="AC389" i="1" s="1"/>
  <c r="AD389" i="1" s="1"/>
  <c r="AO357" i="1"/>
  <c r="AC357" i="1" s="1"/>
  <c r="AD357" i="1" s="1"/>
  <c r="AO382" i="1"/>
  <c r="AC382" i="1" s="1"/>
  <c r="AD382" i="1" s="1"/>
  <c r="AO326" i="1"/>
  <c r="AC326" i="1" s="1"/>
  <c r="AD326" i="1" s="1"/>
  <c r="AO377" i="1"/>
  <c r="AC377" i="1" s="1"/>
  <c r="AD377" i="1" s="1"/>
  <c r="AO75" i="1"/>
  <c r="AC75" i="1" s="1"/>
  <c r="AD75" i="1" s="1"/>
  <c r="AO386" i="1"/>
  <c r="AC386" i="1" s="1"/>
  <c r="AD386" i="1" s="1"/>
  <c r="AO306" i="1"/>
  <c r="AC306" i="1" s="1"/>
  <c r="AD306" i="1" s="1"/>
  <c r="AO71" i="1"/>
  <c r="AC71" i="1" s="1"/>
  <c r="AD71" i="1" s="1"/>
  <c r="AO303" i="1"/>
  <c r="AC303" i="1" s="1"/>
  <c r="AD303" i="1" s="1"/>
  <c r="AO341" i="1"/>
  <c r="AC341" i="1" s="1"/>
  <c r="AD341" i="1" s="1"/>
  <c r="AO318" i="1"/>
  <c r="AC318" i="1" s="1"/>
  <c r="AD318" i="1" s="1"/>
  <c r="AO332" i="1"/>
  <c r="AC332" i="1" s="1"/>
  <c r="AD332" i="1" s="1"/>
  <c r="AO346" i="1"/>
  <c r="AC346" i="1" s="1"/>
  <c r="AD346" i="1" s="1"/>
  <c r="AO384" i="1"/>
  <c r="AC384" i="1" s="1"/>
  <c r="AD384" i="1" s="1"/>
  <c r="AO305" i="1"/>
  <c r="AC305" i="1" s="1"/>
  <c r="AD305" i="1" s="1"/>
  <c r="AO85" i="1"/>
  <c r="AC85" i="1" s="1"/>
  <c r="AD85" i="1" s="1"/>
  <c r="AO413" i="1"/>
  <c r="AC413" i="1" s="1"/>
  <c r="AD413" i="1" s="1"/>
  <c r="AO322" i="1"/>
  <c r="AC322" i="1" s="1"/>
  <c r="AD322" i="1" s="1"/>
  <c r="AO342" i="1"/>
  <c r="AC342" i="1" s="1"/>
  <c r="AD342" i="1" s="1"/>
  <c r="AO338" i="1"/>
  <c r="AC338" i="1" s="1"/>
  <c r="AD338" i="1" s="1"/>
  <c r="AO239" i="1"/>
  <c r="AC239" i="1" s="1"/>
  <c r="AD239" i="1" s="1"/>
  <c r="AO125" i="1"/>
  <c r="AC125" i="1" s="1"/>
  <c r="AD125" i="1" s="1"/>
  <c r="AO266" i="1"/>
  <c r="AC266" i="1" s="1"/>
  <c r="AD266" i="1" s="1"/>
  <c r="AO336" i="1"/>
  <c r="AC336" i="1" s="1"/>
  <c r="AD336" i="1" s="1"/>
  <c r="AO356" i="1"/>
  <c r="AC356" i="1" s="1"/>
  <c r="AD356" i="1" s="1"/>
  <c r="AO375" i="1"/>
  <c r="AC375" i="1" s="1"/>
  <c r="AD375" i="1" s="1"/>
  <c r="AO301" i="1"/>
  <c r="AC301" i="1" s="1"/>
  <c r="AD301" i="1" s="1"/>
  <c r="AO416" i="1"/>
  <c r="AC416" i="1" s="1"/>
  <c r="AD416" i="1" s="1"/>
  <c r="AO235" i="1"/>
  <c r="AC235" i="1" s="1"/>
  <c r="AD235" i="1" s="1"/>
  <c r="AO365" i="1"/>
  <c r="AC365" i="1" s="1"/>
  <c r="AD365" i="1" s="1"/>
  <c r="AO330" i="1"/>
  <c r="AC330" i="1" s="1"/>
  <c r="AD330" i="1" s="1"/>
  <c r="AO345" i="1"/>
  <c r="AC345" i="1" s="1"/>
  <c r="AD345" i="1" s="1"/>
  <c r="AO299" i="1"/>
  <c r="AC299" i="1" s="1"/>
  <c r="AD299" i="1" s="1"/>
  <c r="AO136" i="1"/>
  <c r="AC136" i="1" s="1"/>
  <c r="AD136" i="1" s="1"/>
  <c r="AO334" i="1"/>
  <c r="AC334" i="1" s="1"/>
  <c r="AD334" i="1" s="1"/>
  <c r="AO261" i="1"/>
  <c r="AC261" i="1" s="1"/>
  <c r="AD261" i="1" s="1"/>
  <c r="AO251" i="1"/>
  <c r="AC251" i="1" s="1"/>
  <c r="AD251" i="1" s="1"/>
  <c r="AO151" i="1"/>
  <c r="AC151" i="1" s="1"/>
  <c r="AD151" i="1" s="1"/>
  <c r="AO150" i="1"/>
  <c r="AC150" i="1" s="1"/>
  <c r="AD150" i="1" s="1"/>
  <c r="AO412" i="1"/>
  <c r="AC412" i="1" s="1"/>
  <c r="AD412" i="1" s="1"/>
  <c r="AO317" i="1"/>
  <c r="AC317" i="1" s="1"/>
  <c r="AD317" i="1" s="1"/>
  <c r="AO228" i="1"/>
  <c r="AC228" i="1" s="1"/>
  <c r="AD228" i="1" s="1"/>
  <c r="AO243" i="1"/>
  <c r="AC243" i="1" s="1"/>
  <c r="AD243" i="1" s="1"/>
  <c r="AO200" i="1"/>
  <c r="AC200" i="1" s="1"/>
  <c r="AD200" i="1" s="1"/>
  <c r="AO179" i="1"/>
  <c r="AC179" i="1" s="1"/>
  <c r="AD179" i="1" s="1"/>
  <c r="AO314" i="1"/>
  <c r="AC314" i="1" s="1"/>
  <c r="AD314" i="1" s="1"/>
  <c r="AO313" i="1"/>
  <c r="AC313" i="1" s="1"/>
  <c r="AD313" i="1" s="1"/>
  <c r="AO352" i="1"/>
  <c r="AC352" i="1" s="1"/>
  <c r="AD352" i="1" s="1"/>
  <c r="AO250" i="1"/>
  <c r="AC250" i="1" s="1"/>
  <c r="AD250" i="1" s="1"/>
  <c r="AO307" i="1"/>
  <c r="AC307" i="1" s="1"/>
  <c r="AD307" i="1" s="1"/>
  <c r="AO343" i="1"/>
  <c r="AC343" i="1" s="1"/>
  <c r="AD343" i="1" s="1"/>
  <c r="AO351" i="1"/>
  <c r="AC351" i="1" s="1"/>
  <c r="AD351" i="1" s="1"/>
  <c r="AO296" i="1"/>
  <c r="AC296" i="1" s="1"/>
  <c r="AD296" i="1" s="1"/>
  <c r="AO304" i="1"/>
  <c r="AC304" i="1" s="1"/>
  <c r="AD304" i="1" s="1"/>
  <c r="AO264" i="1"/>
  <c r="AC264" i="1" s="1"/>
  <c r="AD264" i="1" s="1"/>
  <c r="AO344" i="1"/>
  <c r="AC344" i="1" s="1"/>
  <c r="AD344" i="1" s="1"/>
  <c r="AO321" i="1"/>
  <c r="AC321" i="1" s="1"/>
  <c r="AD321" i="1" s="1"/>
  <c r="AO247" i="1"/>
  <c r="AC247" i="1" s="1"/>
  <c r="AD247" i="1" s="1"/>
  <c r="AO152" i="1"/>
  <c r="AC152" i="1" s="1"/>
  <c r="AD152" i="1" s="1"/>
  <c r="AO295" i="1"/>
  <c r="AC295" i="1" s="1"/>
  <c r="AD295" i="1" s="1"/>
  <c r="AO229" i="1"/>
  <c r="AC229" i="1" s="1"/>
  <c r="AD229" i="1" s="1"/>
  <c r="AO293" i="1"/>
  <c r="AC293" i="1" s="1"/>
  <c r="AD293" i="1" s="1"/>
  <c r="AO256" i="1"/>
  <c r="AC256" i="1" s="1"/>
  <c r="AD256" i="1" s="1"/>
  <c r="AO287" i="1"/>
  <c r="AC287" i="1" s="1"/>
  <c r="AD287" i="1" s="1"/>
  <c r="AO286" i="1"/>
  <c r="AC286" i="1" s="1"/>
  <c r="AD286" i="1" s="1"/>
  <c r="AO270" i="1"/>
  <c r="AC270" i="1" s="1"/>
  <c r="AD270" i="1" s="1"/>
  <c r="AO415" i="1"/>
  <c r="AC415" i="1" s="1"/>
  <c r="AD415" i="1" s="1"/>
  <c r="AO282" i="1"/>
  <c r="AC282" i="1" s="1"/>
  <c r="AD282" i="1" s="1"/>
  <c r="AO281" i="1"/>
  <c r="AC281" i="1" s="1"/>
  <c r="AD281" i="1" s="1"/>
  <c r="AO280" i="1"/>
  <c r="AC280" i="1" s="1"/>
  <c r="AD280" i="1" s="1"/>
  <c r="AO237" i="1"/>
  <c r="AC237" i="1" s="1"/>
  <c r="AD237" i="1" s="1"/>
  <c r="AO263" i="1"/>
  <c r="AC263" i="1" s="1"/>
  <c r="AD263" i="1" s="1"/>
  <c r="AO195" i="1"/>
  <c r="AC195" i="1" s="1"/>
  <c r="AD195" i="1" s="1"/>
  <c r="AO194" i="1"/>
  <c r="AC194" i="1" s="1"/>
  <c r="AD194" i="1" s="1"/>
  <c r="AO258" i="1"/>
  <c r="AC258" i="1" s="1"/>
  <c r="AD258" i="1" s="1"/>
  <c r="AO302" i="1"/>
  <c r="AC302" i="1" s="1"/>
  <c r="AD302" i="1" s="1"/>
  <c r="AO410" i="1"/>
  <c r="AC410" i="1" s="1"/>
  <c r="AD410" i="1" s="1"/>
  <c r="AO192" i="1"/>
  <c r="AC192" i="1" s="1"/>
  <c r="AD192" i="1" s="1"/>
  <c r="AO260" i="1"/>
  <c r="AC260" i="1" s="1"/>
  <c r="AD260" i="1" s="1"/>
  <c r="AO132" i="1"/>
  <c r="AC132" i="1" s="1"/>
  <c r="AD132" i="1" s="1"/>
  <c r="AO180" i="1"/>
  <c r="AC180" i="1" s="1"/>
  <c r="AD180" i="1" s="1"/>
  <c r="AO222" i="1"/>
  <c r="AC222" i="1" s="1"/>
  <c r="AD222" i="1" s="1"/>
  <c r="AO257" i="1"/>
  <c r="AC257" i="1" s="1"/>
  <c r="AD257" i="1" s="1"/>
  <c r="AO254" i="1"/>
  <c r="AC254" i="1" s="1"/>
  <c r="AD254" i="1" s="1"/>
  <c r="AO177" i="1"/>
  <c r="AC177" i="1" s="1"/>
  <c r="AD177" i="1" s="1"/>
  <c r="AO253" i="1"/>
  <c r="AC253" i="1" s="1"/>
  <c r="AD253" i="1" s="1"/>
  <c r="AO241" i="1"/>
  <c r="AC241" i="1" s="1"/>
  <c r="AD241" i="1" s="1"/>
  <c r="AO289" i="1"/>
  <c r="AC289" i="1" s="1"/>
  <c r="AD289" i="1" s="1"/>
  <c r="AO173" i="1"/>
  <c r="AC173" i="1" s="1"/>
  <c r="AD173" i="1" s="1"/>
  <c r="AO409" i="1"/>
  <c r="AC409" i="1" s="1"/>
  <c r="AD409" i="1" s="1"/>
  <c r="AO248" i="1"/>
  <c r="AC248" i="1" s="1"/>
  <c r="AD248" i="1" s="1"/>
  <c r="AO308" i="1"/>
  <c r="AC308" i="1" s="1"/>
  <c r="AD308" i="1" s="1"/>
  <c r="AO98" i="1"/>
  <c r="AC98" i="1" s="1"/>
  <c r="AD98" i="1" s="1"/>
  <c r="AO246" i="1"/>
  <c r="AC246" i="1" s="1"/>
  <c r="AD246" i="1" s="1"/>
  <c r="AO162" i="1"/>
  <c r="AC162" i="1" s="1"/>
  <c r="AD162" i="1" s="1"/>
  <c r="AO219" i="1"/>
  <c r="AC219" i="1" s="1"/>
  <c r="AD219" i="1" s="1"/>
  <c r="AO217" i="1"/>
  <c r="AC217" i="1" s="1"/>
  <c r="AD217" i="1" s="1"/>
  <c r="AO156" i="1"/>
  <c r="AC156" i="1" s="1"/>
  <c r="AD156" i="1" s="1"/>
  <c r="AO88" i="1"/>
  <c r="AC88" i="1" s="1"/>
  <c r="AD88" i="1" s="1"/>
  <c r="AO82" i="1"/>
  <c r="AC82" i="1" s="1"/>
  <c r="AD82" i="1" s="1"/>
  <c r="AO231" i="1"/>
  <c r="AC231" i="1" s="1"/>
  <c r="AD231" i="1" s="1"/>
  <c r="AO245" i="1"/>
  <c r="AC245" i="1" s="1"/>
  <c r="AD245" i="1" s="1"/>
  <c r="AO161" i="1"/>
  <c r="AC161" i="1" s="1"/>
  <c r="AD161" i="1" s="1"/>
  <c r="AO126" i="1"/>
  <c r="AC126" i="1" s="1"/>
  <c r="AD126" i="1" s="1"/>
  <c r="AO232" i="1"/>
  <c r="AC232" i="1" s="1"/>
  <c r="AD232" i="1" s="1"/>
  <c r="AO227" i="1"/>
  <c r="AC227" i="1" s="1"/>
  <c r="AD227" i="1" s="1"/>
  <c r="AO215" i="1"/>
  <c r="AC215" i="1" s="1"/>
  <c r="AD215" i="1" s="1"/>
  <c r="AO225" i="1"/>
  <c r="AC225" i="1" s="1"/>
  <c r="AD225" i="1" s="1"/>
  <c r="AO223" i="1"/>
  <c r="AC223" i="1" s="1"/>
  <c r="AD223" i="1" s="1"/>
  <c r="AO218" i="1"/>
  <c r="AC218" i="1" s="1"/>
  <c r="AD218" i="1" s="1"/>
  <c r="AO57" i="1"/>
  <c r="AC57" i="1" s="1"/>
  <c r="AD57" i="1" s="1"/>
  <c r="AO119" i="1"/>
  <c r="AC119" i="1" s="1"/>
  <c r="AD119" i="1" s="1"/>
  <c r="AO94" i="1"/>
  <c r="AC94" i="1" s="1"/>
  <c r="AD94" i="1" s="1"/>
  <c r="AO133" i="1"/>
  <c r="AC133" i="1" s="1"/>
  <c r="AD133" i="1" s="1"/>
  <c r="AO54" i="1"/>
  <c r="AC54" i="1" s="1"/>
  <c r="AD54" i="1" s="1"/>
  <c r="AO211" i="1"/>
  <c r="AC211" i="1" s="1"/>
  <c r="AD211" i="1" s="1"/>
  <c r="AO116" i="1"/>
  <c r="AC116" i="1" s="1"/>
  <c r="AD116" i="1" s="1"/>
  <c r="AO129" i="1"/>
  <c r="AC129" i="1" s="1"/>
  <c r="AD129" i="1" s="1"/>
  <c r="AO210" i="1"/>
  <c r="AC210" i="1" s="1"/>
  <c r="AD210" i="1" s="1"/>
  <c r="AO208" i="1"/>
  <c r="AC208" i="1" s="1"/>
  <c r="AD208" i="1" s="1"/>
  <c r="AO165" i="1"/>
  <c r="AC165" i="1" s="1"/>
  <c r="AD165" i="1" s="1"/>
  <c r="AO205" i="1"/>
  <c r="AC205" i="1" s="1"/>
  <c r="AD205" i="1" s="1"/>
  <c r="AO149" i="1"/>
  <c r="AC149" i="1" s="1"/>
  <c r="AD149" i="1" s="1"/>
  <c r="AO206" i="1"/>
  <c r="AC206" i="1" s="1"/>
  <c r="AD206" i="1" s="1"/>
  <c r="AO147" i="1"/>
  <c r="AC147" i="1" s="1"/>
  <c r="AD147" i="1" s="1"/>
  <c r="AO204" i="1"/>
  <c r="AC204" i="1" s="1"/>
  <c r="AD204" i="1" s="1"/>
  <c r="AO312" i="1"/>
  <c r="AC312" i="1" s="1"/>
  <c r="AD312" i="1" s="1"/>
  <c r="AO95" i="1"/>
  <c r="AC95" i="1" s="1"/>
  <c r="AD95" i="1" s="1"/>
  <c r="AO198" i="1"/>
  <c r="AC198" i="1" s="1"/>
  <c r="AD198" i="1" s="1"/>
  <c r="AO199" i="1"/>
  <c r="AC199" i="1" s="1"/>
  <c r="AD199" i="1" s="1"/>
  <c r="AO197" i="1"/>
  <c r="AC197" i="1" s="1"/>
  <c r="AD197" i="1" s="1"/>
  <c r="AO154" i="1"/>
  <c r="AC154" i="1" s="1"/>
  <c r="AD154" i="1" s="1"/>
  <c r="AO185" i="1"/>
  <c r="AC185" i="1" s="1"/>
  <c r="AD185" i="1" s="1"/>
  <c r="AO144" i="1"/>
  <c r="AC144" i="1" s="1"/>
  <c r="AD144" i="1" s="1"/>
  <c r="AO408" i="1"/>
  <c r="AC408" i="1" s="1"/>
  <c r="AD408" i="1" s="1"/>
  <c r="AO190" i="1"/>
  <c r="AC190" i="1" s="1"/>
  <c r="AD190" i="1" s="1"/>
  <c r="AO99" i="1"/>
  <c r="AC99" i="1" s="1"/>
  <c r="AD99" i="1" s="1"/>
  <c r="AO169" i="1"/>
  <c r="AC169" i="1" s="1"/>
  <c r="AD169" i="1" s="1"/>
  <c r="AO157" i="1"/>
  <c r="AC157" i="1" s="1"/>
  <c r="AD157" i="1" s="1"/>
  <c r="AO155" i="1"/>
  <c r="AC155" i="1" s="1"/>
  <c r="AD155" i="1" s="1"/>
  <c r="AO158" i="1"/>
  <c r="AC158" i="1" s="1"/>
  <c r="AD158" i="1" s="1"/>
  <c r="AO221" i="1"/>
  <c r="AC221" i="1" s="1"/>
  <c r="AD221" i="1" s="1"/>
  <c r="AO184" i="1"/>
  <c r="AC184" i="1" s="1"/>
  <c r="AD184" i="1" s="1"/>
  <c r="AO33" i="1"/>
  <c r="AC33" i="1" s="1"/>
  <c r="AD33" i="1" s="1"/>
  <c r="AO407" i="1"/>
  <c r="AC407" i="1" s="1"/>
  <c r="AD407" i="1" s="1"/>
  <c r="AO255" i="1"/>
  <c r="AC255" i="1" s="1"/>
  <c r="AD255" i="1" s="1"/>
  <c r="AO53" i="1"/>
  <c r="AC53" i="1" s="1"/>
  <c r="AD53" i="1" s="1"/>
  <c r="AO131" i="1"/>
  <c r="AC131" i="1" s="1"/>
  <c r="AD131" i="1" s="1"/>
  <c r="AO178" i="1"/>
  <c r="AC178" i="1" s="1"/>
  <c r="AD178" i="1" s="1"/>
  <c r="AO174" i="1"/>
  <c r="AC174" i="1" s="1"/>
  <c r="AD174" i="1" s="1"/>
  <c r="AO160" i="1"/>
  <c r="AC160" i="1" s="1"/>
  <c r="AD160" i="1" s="1"/>
  <c r="AO67" i="1"/>
  <c r="AC67" i="1" s="1"/>
  <c r="AD67" i="1" s="1"/>
  <c r="AO163" i="1"/>
  <c r="AC163" i="1" s="1"/>
  <c r="AD163" i="1" s="1"/>
  <c r="AO159" i="1"/>
  <c r="AC159" i="1" s="1"/>
  <c r="AD159" i="1" s="1"/>
  <c r="AO153" i="1"/>
  <c r="AC153" i="1" s="1"/>
  <c r="AD153" i="1" s="1"/>
  <c r="AO89" i="1"/>
  <c r="AC89" i="1" s="1"/>
  <c r="AD89" i="1" s="1"/>
  <c r="AO60" i="1"/>
  <c r="AC60" i="1" s="1"/>
  <c r="AD60" i="1" s="1"/>
  <c r="AO104" i="1"/>
  <c r="AC104" i="1" s="1"/>
  <c r="AD104" i="1" s="1"/>
  <c r="AO137" i="1"/>
  <c r="AC137" i="1" s="1"/>
  <c r="AD137" i="1" s="1"/>
  <c r="AO113" i="1"/>
  <c r="AC113" i="1" s="1"/>
  <c r="AD113" i="1" s="1"/>
  <c r="AO139" i="1"/>
  <c r="AC139" i="1" s="1"/>
  <c r="AD139" i="1" s="1"/>
  <c r="AO170" i="1"/>
  <c r="AC170" i="1" s="1"/>
  <c r="AD170" i="1" s="1"/>
  <c r="AO212" i="1"/>
  <c r="AC212" i="1" s="1"/>
  <c r="AD212" i="1" s="1"/>
  <c r="AO124" i="1"/>
  <c r="AC124" i="1" s="1"/>
  <c r="AD124" i="1" s="1"/>
  <c r="AO122" i="1"/>
  <c r="AC122" i="1" s="1"/>
  <c r="AD122" i="1" s="1"/>
  <c r="AO96" i="1"/>
  <c r="AC96" i="1" s="1"/>
  <c r="AD96" i="1" s="1"/>
  <c r="AO138" i="1"/>
  <c r="AC138" i="1" s="1"/>
  <c r="AD138" i="1" s="1"/>
  <c r="AO167" i="1"/>
  <c r="AC167" i="1" s="1"/>
  <c r="AD167" i="1" s="1"/>
  <c r="AO43" i="1"/>
  <c r="AC43" i="1" s="1"/>
  <c r="AD43" i="1" s="1"/>
  <c r="AO148" i="1"/>
  <c r="AC148" i="1" s="1"/>
  <c r="AD148" i="1" s="1"/>
  <c r="AO92" i="1"/>
  <c r="AC92" i="1" s="1"/>
  <c r="AD92" i="1" s="1"/>
  <c r="AO224" i="1"/>
  <c r="AC224" i="1" s="1"/>
  <c r="AD224" i="1" s="1"/>
  <c r="AO406" i="1"/>
  <c r="AC406" i="1" s="1"/>
  <c r="AD406" i="1" s="1"/>
  <c r="AO115" i="1"/>
  <c r="AC115" i="1" s="1"/>
  <c r="AD115" i="1" s="1"/>
  <c r="AO114" i="1"/>
  <c r="AC114" i="1" s="1"/>
  <c r="AD114" i="1" s="1"/>
  <c r="AO112" i="1"/>
  <c r="AC112" i="1" s="1"/>
  <c r="AD112" i="1" s="1"/>
  <c r="AO135" i="1"/>
  <c r="AC135" i="1" s="1"/>
  <c r="AD135" i="1" s="1"/>
  <c r="AO68" i="1"/>
  <c r="AC68" i="1" s="1"/>
  <c r="AD68" i="1" s="1"/>
  <c r="AO101" i="1"/>
  <c r="AC101" i="1" s="1"/>
  <c r="AD101" i="1" s="1"/>
  <c r="AO120" i="1"/>
  <c r="AC120" i="1" s="1"/>
  <c r="AD120" i="1" s="1"/>
  <c r="AO90" i="1"/>
  <c r="AC90" i="1" s="1"/>
  <c r="AD90" i="1" s="1"/>
  <c r="AO70" i="1"/>
  <c r="AC70" i="1" s="1"/>
  <c r="AD70" i="1" s="1"/>
  <c r="AO79" i="1"/>
  <c r="AC79" i="1" s="1"/>
  <c r="AD79" i="1" s="1"/>
  <c r="AO63" i="1"/>
  <c r="AC63" i="1" s="1"/>
  <c r="AD63" i="1" s="1"/>
  <c r="AO56" i="1"/>
  <c r="AC56" i="1" s="1"/>
  <c r="AD56" i="1" s="1"/>
  <c r="AO141" i="1"/>
  <c r="AC141" i="1" s="1"/>
  <c r="AD141" i="1" s="1"/>
  <c r="AO78" i="1"/>
  <c r="AC78" i="1" s="1"/>
  <c r="AD78" i="1" s="1"/>
  <c r="AO45" i="1"/>
  <c r="AC45" i="1" s="1"/>
  <c r="AD45" i="1" s="1"/>
  <c r="AO103" i="1"/>
  <c r="AC103" i="1" s="1"/>
  <c r="AD103" i="1" s="1"/>
  <c r="AO111" i="1"/>
  <c r="AC111" i="1" s="1"/>
  <c r="AD111" i="1" s="1"/>
  <c r="AO61" i="1"/>
  <c r="AC61" i="1" s="1"/>
  <c r="AD61" i="1" s="1"/>
  <c r="AO76" i="1"/>
  <c r="AC76" i="1" s="1"/>
  <c r="AD76" i="1" s="1"/>
  <c r="AO176" i="1"/>
  <c r="AC176" i="1" s="1"/>
  <c r="AD176" i="1" s="1"/>
  <c r="AO97" i="1"/>
  <c r="AC97" i="1" s="1"/>
  <c r="AD97" i="1" s="1"/>
  <c r="AO32" i="1"/>
  <c r="AC32" i="1" s="1"/>
  <c r="AD32" i="1" s="1"/>
  <c r="AO74" i="1"/>
  <c r="AC74" i="1" s="1"/>
  <c r="AD74" i="1" s="1"/>
  <c r="AO19" i="1"/>
  <c r="AC19" i="1" s="1"/>
  <c r="AD19" i="1" s="1"/>
  <c r="AO39" i="1"/>
  <c r="AC39" i="1" s="1"/>
  <c r="AD39" i="1" s="1"/>
  <c r="AO72" i="1"/>
  <c r="AC72" i="1" s="1"/>
  <c r="AD72" i="1" s="1"/>
  <c r="AO34" i="1"/>
  <c r="AC34" i="1" s="1"/>
  <c r="AD34" i="1" s="1"/>
  <c r="AO25" i="1"/>
  <c r="AC25" i="1" s="1"/>
  <c r="AD25" i="1" s="1"/>
  <c r="AO64" i="1"/>
  <c r="AC64" i="1" s="1"/>
  <c r="AD64" i="1" s="1"/>
  <c r="AO22" i="1"/>
  <c r="AC22" i="1" s="1"/>
  <c r="AD22" i="1" s="1"/>
  <c r="AO66" i="1"/>
  <c r="AC66" i="1" s="1"/>
  <c r="AD66" i="1" s="1"/>
  <c r="AO17" i="1"/>
  <c r="AO65" i="1"/>
  <c r="AC65" i="1" s="1"/>
  <c r="AD65" i="1" s="1"/>
  <c r="AO55" i="1"/>
  <c r="AC55" i="1" s="1"/>
  <c r="AD55" i="1" s="1"/>
  <c r="AO38" i="1"/>
  <c r="AC38" i="1" s="1"/>
  <c r="AD38" i="1" s="1"/>
  <c r="AO21" i="1"/>
  <c r="AC21" i="1" s="1"/>
  <c r="AD21" i="1" s="1"/>
  <c r="AO80" i="1"/>
  <c r="AC80" i="1" s="1"/>
  <c r="AD80" i="1" s="1"/>
  <c r="AO404" i="1"/>
  <c r="AC404" i="1" s="1"/>
  <c r="AD404" i="1" s="1"/>
  <c r="AO73" i="1"/>
  <c r="AC73" i="1" s="1"/>
  <c r="AD73" i="1" s="1"/>
  <c r="AO50" i="1"/>
  <c r="AC50" i="1" s="1"/>
  <c r="AD50" i="1" s="1"/>
  <c r="AO84" i="1"/>
  <c r="AC84" i="1" s="1"/>
  <c r="AD84" i="1" s="1"/>
  <c r="AO48" i="1"/>
  <c r="AC48" i="1" s="1"/>
  <c r="AD48" i="1" s="1"/>
  <c r="AO24" i="1"/>
  <c r="AC24" i="1" s="1"/>
  <c r="AD24" i="1" s="1"/>
  <c r="AO14" i="1"/>
  <c r="AC14" i="1" s="1"/>
  <c r="AD14" i="1" s="1"/>
  <c r="AO86" i="1"/>
  <c r="AC86" i="1" s="1"/>
  <c r="AD86" i="1" s="1"/>
  <c r="AO51" i="1"/>
  <c r="AC51" i="1" s="1"/>
  <c r="AD51" i="1" s="1"/>
  <c r="AO37" i="1"/>
  <c r="AC37" i="1" s="1"/>
  <c r="AD37" i="1" s="1"/>
  <c r="AO49" i="1"/>
  <c r="AC49" i="1" s="1"/>
  <c r="AD49" i="1" s="1"/>
  <c r="AO30" i="1"/>
  <c r="AC30" i="1" s="1"/>
  <c r="AD30" i="1" s="1"/>
  <c r="AO46" i="1"/>
  <c r="AC46" i="1" s="1"/>
  <c r="AD46" i="1" s="1"/>
  <c r="AO41" i="1"/>
  <c r="AO27" i="1"/>
  <c r="AC27" i="1" s="1"/>
  <c r="AD27" i="1" s="1"/>
  <c r="AO26" i="1"/>
  <c r="AC26" i="1" s="1"/>
  <c r="AD26" i="1" s="1"/>
  <c r="AO31" i="1"/>
  <c r="AC31" i="1" s="1"/>
  <c r="AD31" i="1" s="1"/>
  <c r="AO93" i="1"/>
  <c r="AC93" i="1" s="1"/>
  <c r="AD93" i="1" s="1"/>
  <c r="AO28" i="1"/>
  <c r="AC28" i="1" s="1"/>
  <c r="AD28" i="1" s="1"/>
  <c r="AO36" i="1"/>
  <c r="AC36" i="1" s="1"/>
  <c r="AD36" i="1" s="1"/>
  <c r="AO40" i="1"/>
  <c r="AC40" i="1" s="1"/>
  <c r="AD40" i="1" s="1"/>
  <c r="AO18" i="1"/>
  <c r="AC18" i="1" s="1"/>
  <c r="AD18" i="1" s="1"/>
  <c r="AO20" i="1"/>
  <c r="AC20" i="1" s="1"/>
  <c r="AD20" i="1" s="1"/>
  <c r="AO13" i="1"/>
  <c r="AO15" i="1"/>
  <c r="AC15" i="1" s="1"/>
  <c r="AD15" i="1" s="1"/>
  <c r="AO16" i="1"/>
  <c r="AO35" i="1"/>
  <c r="AC35" i="1" s="1"/>
  <c r="AD35" i="1" s="1"/>
  <c r="AO7" i="1"/>
  <c r="AC7" i="1" s="1"/>
  <c r="AD7" i="1" s="1"/>
  <c r="AO10" i="1"/>
  <c r="AO5" i="1"/>
  <c r="AC5" i="1" s="1"/>
  <c r="AD5" i="1" s="1"/>
  <c r="AO4" i="1"/>
  <c r="AC4" i="1" s="1"/>
  <c r="AD4" i="1" s="1"/>
  <c r="AO12" i="1"/>
  <c r="AC12" i="1" s="1"/>
  <c r="AD12" i="1" s="1"/>
  <c r="AO6" i="1"/>
  <c r="AC6" i="1" s="1"/>
  <c r="AD6" i="1" s="1"/>
  <c r="AO9" i="1"/>
  <c r="AC9" i="1" s="1"/>
  <c r="AD9" i="1" s="1"/>
  <c r="AO2" i="1"/>
  <c r="AC2" i="1" s="1"/>
  <c r="AD2" i="1" s="1"/>
  <c r="AO8" i="1"/>
  <c r="AC8" i="1" s="1"/>
  <c r="AD8" i="1" s="1"/>
  <c r="AG103" i="2"/>
  <c r="Z103" i="2" s="1"/>
  <c r="AG12" i="2"/>
  <c r="Z12" i="2" s="1"/>
  <c r="AG13" i="2"/>
  <c r="Z13" i="2" s="1"/>
  <c r="AG59" i="2"/>
  <c r="Z59" i="2" s="1"/>
  <c r="AG58" i="2"/>
  <c r="AG101" i="2"/>
  <c r="Z101" i="2" s="1"/>
  <c r="AG82" i="2"/>
  <c r="Z82" i="2" s="1"/>
  <c r="AG88" i="2"/>
  <c r="Z88" i="2" s="1"/>
  <c r="AG84" i="2"/>
  <c r="Z84" i="2" s="1"/>
  <c r="AG73" i="2"/>
  <c r="Z73" i="2" s="1"/>
  <c r="AG128" i="2"/>
  <c r="Z128" i="2" s="1"/>
  <c r="AG127" i="2"/>
  <c r="Z127" i="2" s="1"/>
  <c r="AG111" i="2"/>
  <c r="Z111" i="2" s="1"/>
  <c r="AG126" i="2"/>
  <c r="Z126" i="2" s="1"/>
  <c r="AG125" i="2"/>
  <c r="Z125" i="2" s="1"/>
  <c r="AG110" i="2"/>
  <c r="Z110" i="2" s="1"/>
  <c r="AG124" i="2"/>
  <c r="Z124" i="2" s="1"/>
  <c r="AG57" i="2"/>
  <c r="Z57" i="2" s="1"/>
  <c r="AG123" i="2"/>
  <c r="Z123" i="2" s="1"/>
  <c r="AG108" i="2"/>
  <c r="Z108" i="2" s="1"/>
  <c r="AG109" i="2"/>
  <c r="Z109" i="2" s="1"/>
  <c r="AG122" i="2"/>
  <c r="Z122" i="2" s="1"/>
  <c r="AG106" i="2"/>
  <c r="Z106" i="2" s="1"/>
  <c r="AG104" i="2"/>
  <c r="Z104" i="2" s="1"/>
  <c r="AG90" i="2"/>
  <c r="Z90" i="2" s="1"/>
  <c r="AG93" i="2"/>
  <c r="Z93" i="2" s="1"/>
  <c r="AG107" i="2"/>
  <c r="Z107" i="2" s="1"/>
  <c r="AG35" i="2"/>
  <c r="Z35" i="2" s="1"/>
  <c r="AG25" i="2"/>
  <c r="Z25" i="2" s="1"/>
  <c r="AG92" i="2"/>
  <c r="Z92" i="2" s="1"/>
  <c r="AG95" i="2"/>
  <c r="Z95" i="2" s="1"/>
  <c r="AG102" i="2"/>
  <c r="Z102" i="2" s="1"/>
  <c r="AG97" i="2"/>
  <c r="Z97" i="2" s="1"/>
  <c r="AG76" i="2"/>
  <c r="Z76" i="2" s="1"/>
  <c r="AG91" i="2"/>
  <c r="Z91" i="2" s="1"/>
  <c r="AG94" i="2"/>
  <c r="Z94" i="2" s="1"/>
  <c r="AG98" i="2"/>
  <c r="Z98" i="2" s="1"/>
  <c r="AG121" i="2"/>
  <c r="Z121" i="2" s="1"/>
  <c r="AG120" i="2"/>
  <c r="Z120" i="2" s="1"/>
  <c r="AG56" i="2"/>
  <c r="Z56" i="2" s="1"/>
  <c r="AG119" i="2"/>
  <c r="Z119" i="2" s="1"/>
  <c r="AG89" i="2"/>
  <c r="Z89" i="2" s="1"/>
  <c r="AG85" i="2"/>
  <c r="Z85" i="2" s="1"/>
  <c r="AG86" i="2"/>
  <c r="Z86" i="2" s="1"/>
  <c r="AG81" i="2"/>
  <c r="Z81" i="2" s="1"/>
  <c r="AG66" i="2"/>
  <c r="Z66" i="2" s="1"/>
  <c r="AG26" i="2"/>
  <c r="Z26" i="2" s="1"/>
  <c r="AG118" i="2"/>
  <c r="Z118" i="2" s="1"/>
  <c r="AG34" i="2"/>
  <c r="Z34" i="2" s="1"/>
  <c r="AG117" i="2"/>
  <c r="Z117" i="2" s="1"/>
  <c r="AG71" i="2"/>
  <c r="Z71" i="2" s="1"/>
  <c r="AG77" i="2"/>
  <c r="Z77" i="2" s="1"/>
  <c r="AG60" i="2"/>
  <c r="Z60" i="2" s="1"/>
  <c r="AG79" i="2"/>
  <c r="Z79" i="2" s="1"/>
  <c r="AG78" i="2"/>
  <c r="Z78" i="2" s="1"/>
  <c r="AG70" i="2"/>
  <c r="Z70" i="2" s="1"/>
  <c r="AG68" i="2"/>
  <c r="Z68" i="2" s="1"/>
  <c r="AG67" i="2"/>
  <c r="Z67" i="2" s="1"/>
  <c r="AG61" i="2"/>
  <c r="Z61" i="2" s="1"/>
  <c r="AG55" i="2"/>
  <c r="Z55" i="2" s="1"/>
  <c r="AG100" i="2"/>
  <c r="Z100" i="2" s="1"/>
  <c r="AG105" i="2"/>
  <c r="Z105" i="2" s="1"/>
  <c r="AG83" i="2"/>
  <c r="Z83" i="2" s="1"/>
  <c r="AG116" i="2"/>
  <c r="Z116" i="2" s="1"/>
  <c r="AG96" i="2"/>
  <c r="Z96" i="2" s="1"/>
  <c r="AG52" i="2"/>
  <c r="Z52" i="2" s="1"/>
  <c r="AG72" i="2"/>
  <c r="Z72" i="2" s="1"/>
  <c r="AG74" i="2"/>
  <c r="Z74" i="2" s="1"/>
  <c r="AG87" i="2"/>
  <c r="Z87" i="2" s="1"/>
  <c r="AG115" i="2"/>
  <c r="Z115" i="2" s="1"/>
  <c r="AG65" i="2"/>
  <c r="Z65" i="2" s="1"/>
  <c r="AG49" i="2"/>
  <c r="Z49" i="2" s="1"/>
  <c r="AG50" i="2"/>
  <c r="Z50" i="2" s="1"/>
  <c r="AG69" i="2"/>
  <c r="Z69" i="2" s="1"/>
  <c r="AG80" i="2"/>
  <c r="Z80" i="2" s="1"/>
  <c r="AG99" i="2"/>
  <c r="Z99" i="2" s="1"/>
  <c r="AG64" i="2"/>
  <c r="Z64" i="2" s="1"/>
  <c r="AG40" i="2"/>
  <c r="Z40" i="2" s="1"/>
  <c r="AG48" i="2"/>
  <c r="Z48" i="2" s="1"/>
  <c r="AG19" i="2"/>
  <c r="Z19" i="2" s="1"/>
  <c r="AG39" i="2"/>
  <c r="Z39" i="2" s="1"/>
  <c r="AG32" i="2"/>
  <c r="Z32" i="2" s="1"/>
  <c r="AG114" i="2"/>
  <c r="Z114" i="2" s="1"/>
  <c r="AG113" i="2"/>
  <c r="Z113" i="2" s="1"/>
  <c r="AG38" i="2"/>
  <c r="Z38" i="2" s="1"/>
  <c r="AG43" i="2"/>
  <c r="Z43" i="2" s="1"/>
  <c r="AG112" i="2"/>
  <c r="Z112" i="2" s="1"/>
  <c r="AG41" i="2"/>
  <c r="Z41" i="2" s="1"/>
  <c r="AG63" i="2"/>
  <c r="Z63" i="2" s="1"/>
  <c r="AG53" i="2"/>
  <c r="Z53" i="2" s="1"/>
  <c r="AG24" i="2"/>
  <c r="Z24" i="2" s="1"/>
  <c r="AG15" i="2"/>
  <c r="Z15" i="2" s="1"/>
  <c r="AG44" i="2"/>
  <c r="Z44" i="2" s="1"/>
  <c r="AG23" i="2"/>
  <c r="Z23" i="2" s="1"/>
  <c r="AG37" i="2"/>
  <c r="Z37" i="2" s="1"/>
  <c r="AG54" i="2"/>
  <c r="Z54" i="2" s="1"/>
  <c r="AG45" i="2"/>
  <c r="Z45" i="2" s="1"/>
  <c r="AG42" i="2"/>
  <c r="Z42" i="2" s="1"/>
  <c r="AG29" i="2"/>
  <c r="Z29" i="2" s="1"/>
  <c r="AG46" i="2"/>
  <c r="Z46" i="2" s="1"/>
  <c r="AG28" i="2"/>
  <c r="Z28" i="2" s="1"/>
  <c r="AG36" i="2"/>
  <c r="Z36" i="2" s="1"/>
  <c r="AG62" i="2"/>
  <c r="Z62" i="2" s="1"/>
  <c r="AG33" i="2"/>
  <c r="Z33" i="2" s="1"/>
  <c r="AG47" i="2"/>
  <c r="Z47" i="2" s="1"/>
  <c r="AG21" i="2"/>
  <c r="Z21" i="2" s="1"/>
  <c r="AG27" i="2"/>
  <c r="Z27" i="2" s="1"/>
  <c r="AG20" i="2"/>
  <c r="Z20" i="2" s="1"/>
  <c r="AG51" i="2"/>
  <c r="Z51" i="2" s="1"/>
  <c r="AG75" i="2"/>
  <c r="Z75" i="2" s="1"/>
  <c r="AG31" i="2"/>
  <c r="Z31" i="2" s="1"/>
  <c r="AG18" i="2"/>
  <c r="Z18" i="2" s="1"/>
  <c r="AG5" i="2"/>
  <c r="Z5" i="2" s="1"/>
  <c r="AG22" i="2"/>
  <c r="Z22" i="2" s="1"/>
  <c r="AG16" i="2"/>
  <c r="Z16" i="2" s="1"/>
  <c r="AG30" i="2"/>
  <c r="Z30" i="2" s="1"/>
  <c r="AG17" i="2"/>
  <c r="Z17" i="2" s="1"/>
  <c r="AG14" i="2"/>
  <c r="Z14" i="2" s="1"/>
  <c r="AG8" i="2"/>
  <c r="Z8" i="2" s="1"/>
  <c r="AG3" i="2"/>
  <c r="Z3" i="2" s="1"/>
  <c r="AG9" i="2"/>
  <c r="Z9" i="2" s="1"/>
  <c r="AG11" i="2"/>
  <c r="Z11" i="2" s="1"/>
  <c r="AG7" i="2"/>
  <c r="Z7" i="2" s="1"/>
  <c r="AG10" i="2"/>
  <c r="Z10" i="2" s="1"/>
  <c r="AG6" i="2"/>
  <c r="Z6" i="2" s="1"/>
  <c r="AG4" i="2"/>
  <c r="Z4" i="2" s="1"/>
  <c r="AG2" i="2"/>
  <c r="Z2" i="2" s="1"/>
  <c r="Z58" i="2"/>
  <c r="AC17" i="1" l="1"/>
  <c r="AD17" i="1" s="1"/>
  <c r="AP560" i="1"/>
  <c r="AD560" i="1"/>
  <c r="AP565" i="1"/>
  <c r="AD565" i="1"/>
  <c r="AP564" i="1"/>
  <c r="AD564" i="1"/>
  <c r="AP566" i="1"/>
  <c r="AD566" i="1"/>
  <c r="AP558" i="1"/>
  <c r="AD558" i="1"/>
  <c r="AP561" i="1"/>
  <c r="AD561" i="1"/>
  <c r="AP559" i="1"/>
  <c r="AD559" i="1"/>
  <c r="AP562" i="1"/>
  <c r="AD562" i="1"/>
  <c r="AP563" i="1"/>
  <c r="AD563" i="1"/>
  <c r="AP557" i="1"/>
  <c r="AD557" i="1"/>
  <c r="AP12" i="1"/>
  <c r="AP172" i="1"/>
  <c r="AP208" i="1"/>
  <c r="AP323" i="1"/>
  <c r="AP453" i="1"/>
  <c r="AP352" i="1"/>
  <c r="AP137" i="1"/>
  <c r="AP326" i="1"/>
  <c r="AP104" i="1"/>
  <c r="AP299" i="1"/>
  <c r="AP63" i="1"/>
  <c r="AP206" i="1"/>
  <c r="AP247" i="1"/>
  <c r="AP75" i="1"/>
  <c r="AP81" i="1"/>
  <c r="AP444" i="1"/>
  <c r="AP130" i="1"/>
  <c r="AP61" i="1"/>
  <c r="AP205" i="1"/>
  <c r="AP136" i="1"/>
  <c r="AP418" i="1"/>
  <c r="AP452" i="1"/>
  <c r="AP492" i="1"/>
  <c r="AP155" i="1"/>
  <c r="AP197" i="1"/>
  <c r="AP156" i="1"/>
  <c r="AP255" i="1"/>
  <c r="AP304" i="1"/>
  <c r="AP125" i="1"/>
  <c r="AP303" i="1"/>
  <c r="AP379" i="1"/>
  <c r="AP389" i="1"/>
  <c r="AP402" i="1"/>
  <c r="AP196" i="1"/>
  <c r="AP226" i="1"/>
  <c r="AP442" i="1"/>
  <c r="AP455" i="1"/>
  <c r="AP461" i="1"/>
  <c r="AP479" i="1"/>
  <c r="AP497" i="1"/>
  <c r="AP143" i="1"/>
  <c r="AP368" i="1"/>
  <c r="AP525" i="1"/>
  <c r="AP360" i="1"/>
  <c r="AP146" i="1"/>
  <c r="AP4" i="1"/>
  <c r="AP131" i="1"/>
  <c r="AP179" i="1"/>
  <c r="AP419" i="1"/>
  <c r="AP230" i="1"/>
  <c r="AP234" i="1"/>
  <c r="AP2" i="1"/>
  <c r="AP48" i="1"/>
  <c r="AP59" i="1"/>
  <c r="AP68" i="1"/>
  <c r="AP170" i="1"/>
  <c r="AP154" i="1"/>
  <c r="AP199" i="1"/>
  <c r="AP219" i="1"/>
  <c r="AP222" i="1"/>
  <c r="AP296" i="1"/>
  <c r="AP239" i="1"/>
  <c r="AP324" i="1"/>
  <c r="AP376" i="1"/>
  <c r="AP127" i="1"/>
  <c r="AP87" i="1"/>
  <c r="AP395" i="1"/>
  <c r="AP443" i="1"/>
  <c r="AP145" i="1"/>
  <c r="AP462" i="1"/>
  <c r="AP480" i="1"/>
  <c r="AP297" i="1"/>
  <c r="AP505" i="1"/>
  <c r="AP337" i="1"/>
  <c r="AP526" i="1"/>
  <c r="AP538" i="1"/>
  <c r="AP548" i="1"/>
  <c r="AP16" i="1"/>
  <c r="AP252" i="1"/>
  <c r="AP441" i="1"/>
  <c r="AP292" i="1"/>
  <c r="AP8" i="1"/>
  <c r="AP51" i="1"/>
  <c r="AP78" i="1"/>
  <c r="AP139" i="1"/>
  <c r="AP157" i="1"/>
  <c r="AP57" i="1"/>
  <c r="AP162" i="1"/>
  <c r="AP282" i="1"/>
  <c r="AP412" i="1"/>
  <c r="AP338" i="1"/>
  <c r="AP350" i="1"/>
  <c r="AP378" i="1"/>
  <c r="AP390" i="1"/>
  <c r="AP128" i="1"/>
  <c r="AP420" i="1"/>
  <c r="AP426" i="1"/>
  <c r="AP109" i="1"/>
  <c r="AP438" i="1"/>
  <c r="AP397" i="1"/>
  <c r="AP463" i="1"/>
  <c r="AP471" i="1"/>
  <c r="AP294" i="1"/>
  <c r="AP489" i="1"/>
  <c r="AP499" i="1"/>
  <c r="AP355" i="1"/>
  <c r="AP514" i="1"/>
  <c r="AP527" i="1"/>
  <c r="AP539" i="1"/>
  <c r="AP117" i="1"/>
  <c r="AP555" i="1"/>
  <c r="AP129" i="1"/>
  <c r="AP90" i="1"/>
  <c r="AP211" i="1"/>
  <c r="AP243" i="1"/>
  <c r="AP142" i="1"/>
  <c r="AP523" i="1"/>
  <c r="AP465" i="1"/>
  <c r="AP95" i="1"/>
  <c r="AP228" i="1"/>
  <c r="AP432" i="1"/>
  <c r="AP105" i="1"/>
  <c r="AP373" i="1"/>
  <c r="AP358" i="1"/>
  <c r="AP284" i="1"/>
  <c r="AP18" i="1"/>
  <c r="AP86" i="1"/>
  <c r="AP58" i="1"/>
  <c r="AP76" i="1"/>
  <c r="AP101" i="1"/>
  <c r="AP167" i="1"/>
  <c r="AP160" i="1"/>
  <c r="AP94" i="1"/>
  <c r="AP280" i="1"/>
  <c r="AP317" i="1"/>
  <c r="AP363" i="1"/>
  <c r="AP77" i="1"/>
  <c r="AP433" i="1"/>
  <c r="AP244" i="1"/>
  <c r="AP469" i="1"/>
  <c r="AP488" i="1"/>
  <c r="AP554" i="1"/>
  <c r="AP72" i="1"/>
  <c r="AP161" i="1"/>
  <c r="AP367" i="1"/>
  <c r="AP440" i="1"/>
  <c r="AP501" i="1"/>
  <c r="AP40" i="1"/>
  <c r="AP45" i="1"/>
  <c r="AP163" i="1"/>
  <c r="AP119" i="1"/>
  <c r="AP281" i="1"/>
  <c r="AP192" i="1"/>
  <c r="AP71" i="1"/>
  <c r="AP285" i="1"/>
  <c r="AP134" i="1"/>
  <c r="AP183" i="1"/>
  <c r="AP300" i="1"/>
  <c r="AP470" i="1"/>
  <c r="AP498" i="1"/>
  <c r="AP291" i="1"/>
  <c r="AP53" i="1"/>
  <c r="AP253" i="1"/>
  <c r="AP189" i="1"/>
  <c r="AP201" i="1"/>
  <c r="AP359" i="1"/>
  <c r="AP36" i="1"/>
  <c r="AP66" i="1"/>
  <c r="AP84" i="1"/>
  <c r="AP67" i="1"/>
  <c r="AP198" i="1"/>
  <c r="AP180" i="1"/>
  <c r="AP307" i="1"/>
  <c r="AP306" i="1"/>
  <c r="AP456" i="1"/>
  <c r="AP7" i="1"/>
  <c r="AP151" i="1"/>
  <c r="AP177" i="1"/>
  <c r="AP187" i="1"/>
  <c r="AP424" i="1"/>
  <c r="AP333" i="1"/>
  <c r="AP348" i="1"/>
  <c r="AP550" i="1"/>
  <c r="AP10" i="1"/>
  <c r="AP28" i="1"/>
  <c r="AP14" i="1"/>
  <c r="AP32" i="1"/>
  <c r="AP74" i="1"/>
  <c r="AP73" i="1"/>
  <c r="AP113" i="1"/>
  <c r="AP174" i="1"/>
  <c r="AP147" i="1"/>
  <c r="AP88" i="1"/>
  <c r="AP218" i="1"/>
  <c r="AP212" i="1"/>
  <c r="AP132" i="1"/>
  <c r="AP270" i="1"/>
  <c r="AP250" i="1"/>
  <c r="AP251" i="1"/>
  <c r="AP342" i="1"/>
  <c r="AP351" i="1"/>
  <c r="AP365" i="1"/>
  <c r="AP353" i="1"/>
  <c r="AP391" i="1"/>
  <c r="AP11" i="1"/>
  <c r="AP171" i="1"/>
  <c r="AP427" i="1"/>
  <c r="AP110" i="1"/>
  <c r="AP271" i="1"/>
  <c r="AP118" i="1"/>
  <c r="AP450" i="1"/>
  <c r="AP457" i="1"/>
  <c r="AP399" i="1"/>
  <c r="AP472" i="1"/>
  <c r="AP238" i="1"/>
  <c r="AP490" i="1"/>
  <c r="AP262" i="1"/>
  <c r="AP329" i="1"/>
  <c r="AP515" i="1"/>
  <c r="AP528" i="1"/>
  <c r="AP540" i="1"/>
  <c r="AP549" i="1"/>
  <c r="AP556" i="1"/>
  <c r="AP312" i="1"/>
  <c r="AP15" i="1"/>
  <c r="AP89" i="1"/>
  <c r="AP254" i="1"/>
  <c r="AP269" i="1"/>
  <c r="AP364" i="1"/>
  <c r="AP357" i="1"/>
  <c r="AP141" i="1"/>
  <c r="AP227" i="1"/>
  <c r="AP377" i="1"/>
  <c r="AP279" i="1"/>
  <c r="AP460" i="1"/>
  <c r="AP537" i="1"/>
  <c r="AP302" i="1"/>
  <c r="AP240" i="1"/>
  <c r="AP235" i="1"/>
  <c r="AP328" i="1"/>
  <c r="AP24" i="1"/>
  <c r="AP176" i="1"/>
  <c r="AP260" i="1"/>
  <c r="AP102" i="1"/>
  <c r="AP458" i="1"/>
  <c r="AP393" i="1"/>
  <c r="AP233" i="1"/>
  <c r="AP149" i="1"/>
  <c r="AP321" i="1"/>
  <c r="AP220" i="1"/>
  <c r="AP182" i="1"/>
  <c r="AP274" i="1"/>
  <c r="AP289" i="1"/>
  <c r="AP380" i="1"/>
  <c r="AP542" i="1"/>
  <c r="AP30" i="1"/>
  <c r="AP346" i="1"/>
  <c r="AP518" i="1"/>
  <c r="AP34" i="1"/>
  <c r="AP190" i="1"/>
  <c r="AP411" i="1"/>
  <c r="AP415" i="1"/>
  <c r="AP181" i="1"/>
  <c r="AP41" i="1"/>
  <c r="AP43" i="1"/>
  <c r="AP195" i="1"/>
  <c r="AP416" i="1"/>
  <c r="AP430" i="1"/>
  <c r="AP370" i="1"/>
  <c r="AP520" i="1"/>
  <c r="AP5" i="1"/>
  <c r="AP55" i="1"/>
  <c r="AP92" i="1"/>
  <c r="AP150" i="1"/>
  <c r="AP165" i="1"/>
  <c r="AP217" i="1"/>
  <c r="AP173" i="1"/>
  <c r="AP293" i="1"/>
  <c r="AP330" i="1"/>
  <c r="AP85" i="1"/>
  <c r="AP384" i="1"/>
  <c r="AP345" i="1"/>
  <c r="AP423" i="1"/>
  <c r="AP275" i="1"/>
  <c r="AP311" i="1"/>
  <c r="AP168" i="1"/>
  <c r="AP476" i="1"/>
  <c r="AP485" i="1"/>
  <c r="AP494" i="1"/>
  <c r="AP502" i="1"/>
  <c r="AP510" i="1"/>
  <c r="AP519" i="1"/>
  <c r="AP532" i="1"/>
  <c r="AP544" i="1"/>
  <c r="AP259" i="1"/>
  <c r="AP65" i="1"/>
  <c r="AP185" i="1"/>
  <c r="AP336" i="1"/>
  <c r="AP121" i="1"/>
  <c r="AP513" i="1"/>
  <c r="AP93" i="1"/>
  <c r="AP495" i="1"/>
  <c r="AP159" i="1"/>
  <c r="AP257" i="1"/>
  <c r="AP341" i="1"/>
  <c r="AP401" i="1"/>
  <c r="AP213" i="1"/>
  <c r="AP524" i="1"/>
  <c r="AP178" i="1"/>
  <c r="AP273" i="1"/>
  <c r="AP394" i="1"/>
  <c r="AP9" i="1"/>
  <c r="AP56" i="1"/>
  <c r="AP204" i="1"/>
  <c r="AP308" i="1"/>
  <c r="AP414" i="1"/>
  <c r="AP207" i="1"/>
  <c r="AP541" i="1"/>
  <c r="AP309" i="1"/>
  <c r="AP33" i="1"/>
  <c r="AP115" i="1"/>
  <c r="AP23" i="1"/>
  <c r="AP451" i="1"/>
  <c r="AP400" i="1"/>
  <c r="AP46" i="1"/>
  <c r="AP517" i="1"/>
  <c r="AP413" i="1"/>
  <c r="AP422" i="1"/>
  <c r="AP193" i="1"/>
  <c r="AP531" i="1"/>
  <c r="AP429" i="1"/>
  <c r="AP148" i="1"/>
  <c r="AP246" i="1"/>
  <c r="AP313" i="1"/>
  <c r="AP371" i="1"/>
  <c r="AP209" i="1"/>
  <c r="AP21" i="1"/>
  <c r="AP120" i="1"/>
  <c r="AP229" i="1"/>
  <c r="AP417" i="1"/>
  <c r="AP298" i="1"/>
  <c r="AP319" i="1"/>
  <c r="AP486" i="1"/>
  <c r="AP521" i="1"/>
  <c r="AP69" i="1"/>
  <c r="AP37" i="1"/>
  <c r="AP122" i="1"/>
  <c r="AP237" i="1"/>
  <c r="AP47" i="1"/>
  <c r="AP536" i="1"/>
  <c r="AP126" i="1"/>
  <c r="AP20" i="1"/>
  <c r="AP124" i="1"/>
  <c r="AP82" i="1"/>
  <c r="AP277" i="1"/>
  <c r="AP272" i="1"/>
  <c r="AP191" i="1"/>
  <c r="AP80" i="1"/>
  <c r="AP107" i="1"/>
  <c r="AP407" i="1"/>
  <c r="AP467" i="1"/>
  <c r="AP31" i="1"/>
  <c r="AP153" i="1"/>
  <c r="AP223" i="1"/>
  <c r="AP322" i="1"/>
  <c r="AP421" i="1"/>
  <c r="AP288" i="1"/>
  <c r="AP529" i="1"/>
  <c r="AP35" i="1"/>
  <c r="AP511" i="1"/>
  <c r="AP6" i="1"/>
  <c r="AP135" i="1"/>
  <c r="AP409" i="1"/>
  <c r="AP434" i="1"/>
  <c r="AP530" i="1"/>
  <c r="AP258" i="1"/>
  <c r="AP439" i="1"/>
  <c r="AP194" i="1"/>
  <c r="AP202" i="1"/>
  <c r="AP42" i="1"/>
  <c r="AP140" i="1"/>
  <c r="AP484" i="1"/>
  <c r="AP543" i="1"/>
  <c r="AP38" i="1"/>
  <c r="AP210" i="1"/>
  <c r="AP295" i="1"/>
  <c r="AP454" i="1"/>
  <c r="AP533" i="1"/>
  <c r="AP64" i="1"/>
  <c r="AP60" i="1"/>
  <c r="AP356" i="1"/>
  <c r="AP216" i="1"/>
  <c r="AP493" i="1"/>
  <c r="AP545" i="1"/>
  <c r="AP19" i="1"/>
  <c r="AP184" i="1"/>
  <c r="AP231" i="1"/>
  <c r="AP344" i="1"/>
  <c r="AP318" i="1"/>
  <c r="AP349" i="1"/>
  <c r="AP375" i="1"/>
  <c r="AP29" i="1"/>
  <c r="AP83" i="1"/>
  <c r="AP283" i="1"/>
  <c r="AP449" i="1"/>
  <c r="AP265" i="1"/>
  <c r="AP459" i="1"/>
  <c r="AP242" i="1"/>
  <c r="AP478" i="1"/>
  <c r="AP339" i="1"/>
  <c r="AP496" i="1"/>
  <c r="AP504" i="1"/>
  <c r="AP552" i="1"/>
  <c r="AP158" i="1"/>
  <c r="AP314" i="1"/>
  <c r="AP52" i="1"/>
  <c r="AP435" i="1"/>
  <c r="AP546" i="1"/>
  <c r="AP44" i="1"/>
  <c r="AP97" i="1"/>
  <c r="AP221" i="1"/>
  <c r="AP54" i="1"/>
  <c r="AP264" i="1"/>
  <c r="AP266" i="1"/>
  <c r="AP362" i="1"/>
  <c r="AP106" i="1"/>
  <c r="AP437" i="1"/>
  <c r="AP278" i="1"/>
  <c r="AP366" i="1"/>
  <c r="AP340" i="1"/>
  <c r="AP361" i="1"/>
  <c r="AP381" i="1"/>
  <c r="AP553" i="1"/>
  <c r="AP232" i="1"/>
  <c r="AP466" i="1"/>
  <c r="AP26" i="1"/>
  <c r="AP27" i="1"/>
  <c r="AP410" i="1"/>
  <c r="AP388" i="1"/>
  <c r="AP166" i="1"/>
  <c r="AP567" i="1"/>
  <c r="AP62" i="1"/>
  <c r="AP114" i="1"/>
  <c r="AP169" i="1"/>
  <c r="AP248" i="1"/>
  <c r="AP286" i="1"/>
  <c r="AP261" i="1"/>
  <c r="AP123" i="1"/>
  <c r="AP392" i="1"/>
  <c r="AP428" i="1"/>
  <c r="AP403" i="1"/>
  <c r="AP310" i="1"/>
  <c r="AP464" i="1"/>
  <c r="AP290" i="1"/>
  <c r="AP481" i="1"/>
  <c r="AP491" i="1"/>
  <c r="AP369" i="1"/>
  <c r="AP506" i="1"/>
  <c r="AP327" i="1"/>
  <c r="AP103" i="1"/>
  <c r="AP186" i="1"/>
  <c r="AP320" i="1"/>
  <c r="AP383" i="1"/>
  <c r="AP446" i="1"/>
  <c r="AP474" i="1"/>
  <c r="AP568" i="1"/>
  <c r="AP50" i="1"/>
  <c r="AP405" i="1"/>
  <c r="AP225" i="1"/>
  <c r="AP287" i="1"/>
  <c r="AP343" i="1"/>
  <c r="AP382" i="1"/>
  <c r="AP133" i="1"/>
  <c r="AP100" i="1"/>
  <c r="AP236" i="1"/>
  <c r="AP473" i="1"/>
  <c r="AP482" i="1"/>
  <c r="AP500" i="1"/>
  <c r="AP507" i="1"/>
  <c r="AP516" i="1"/>
  <c r="AP79" i="1"/>
  <c r="AP408" i="1"/>
  <c r="AP305" i="1"/>
  <c r="AP386" i="1"/>
  <c r="AP447" i="1"/>
  <c r="AP477" i="1"/>
  <c r="AP569" i="1"/>
  <c r="AP404" i="1"/>
  <c r="AP406" i="1"/>
  <c r="AP99" i="1"/>
  <c r="AP249" i="1"/>
  <c r="AP98" i="1"/>
  <c r="AP445" i="1"/>
  <c r="AP483" i="1"/>
  <c r="AP508" i="1"/>
  <c r="AP138" i="1"/>
  <c r="AP372" i="1"/>
  <c r="AP22" i="1"/>
  <c r="AP215" i="1"/>
  <c r="AP256" i="1"/>
  <c r="AP332" i="1"/>
  <c r="AP164" i="1"/>
  <c r="AP475" i="1"/>
  <c r="AP385" i="1"/>
  <c r="AP509" i="1"/>
  <c r="AP267" i="1"/>
  <c r="AP112" i="1"/>
  <c r="AP214" i="1"/>
  <c r="AP108" i="1"/>
  <c r="AP398" i="1"/>
  <c r="AP534" i="1"/>
  <c r="AP13" i="1"/>
  <c r="AP49" i="1"/>
  <c r="AP25" i="1"/>
  <c r="AP39" i="1"/>
  <c r="AP70" i="1"/>
  <c r="AP96" i="1"/>
  <c r="AP224" i="1"/>
  <c r="AP111" i="1"/>
  <c r="AP144" i="1"/>
  <c r="AP116" i="1"/>
  <c r="AP245" i="1"/>
  <c r="AP241" i="1"/>
  <c r="AP263" i="1"/>
  <c r="AP152" i="1"/>
  <c r="AP200" i="1"/>
  <c r="AP301" i="1"/>
  <c r="AP334" i="1"/>
  <c r="AP354" i="1"/>
  <c r="AP374" i="1"/>
  <c r="AP387" i="1"/>
  <c r="AP175" i="1"/>
  <c r="AP91" i="1"/>
  <c r="AP425" i="1"/>
  <c r="AP431" i="1"/>
  <c r="AP436" i="1"/>
  <c r="AP396" i="1"/>
  <c r="AP448" i="1"/>
  <c r="AP325" i="1"/>
  <c r="AP316" i="1"/>
  <c r="AP468" i="1"/>
  <c r="AP335" i="1"/>
  <c r="AP487" i="1"/>
  <c r="AP268" i="1"/>
  <c r="AP503" i="1"/>
  <c r="AP512" i="1"/>
  <c r="AP522" i="1"/>
  <c r="AP535" i="1"/>
  <c r="AP547" i="1"/>
  <c r="AP551" i="1"/>
  <c r="AP331" i="1"/>
  <c r="AO3" i="1"/>
  <c r="AC3" i="1" s="1"/>
  <c r="AD3" i="1" s="1"/>
  <c r="AP17" i="1" l="1"/>
  <c r="AP3" i="1"/>
  <c r="AA103" i="2"/>
  <c r="AB103" i="2" s="1"/>
  <c r="AA12" i="2"/>
  <c r="AB12" i="2" s="1"/>
  <c r="AA13" i="2"/>
  <c r="AB13" i="2" s="1"/>
  <c r="AA59" i="2"/>
  <c r="AB59" i="2" s="1"/>
  <c r="AA58" i="2"/>
  <c r="AB58" i="2" s="1"/>
  <c r="AA101" i="2"/>
  <c r="AB101" i="2" s="1"/>
  <c r="AA82" i="2"/>
  <c r="AB82" i="2" s="1"/>
  <c r="AA88" i="2"/>
  <c r="AB88" i="2" s="1"/>
  <c r="AA84" i="2"/>
  <c r="AB84" i="2" s="1"/>
  <c r="AA73" i="2"/>
  <c r="AB73" i="2" s="1"/>
  <c r="AA128" i="2"/>
  <c r="AB128" i="2" s="1"/>
  <c r="AA127" i="2"/>
  <c r="AB127" i="2" s="1"/>
  <c r="AA111" i="2"/>
  <c r="AB111" i="2" s="1"/>
  <c r="AA126" i="2"/>
  <c r="AB126" i="2" s="1"/>
  <c r="AA125" i="2"/>
  <c r="AB125" i="2" s="1"/>
  <c r="AA110" i="2"/>
  <c r="AB110" i="2" s="1"/>
  <c r="AA124" i="2"/>
  <c r="AB124" i="2" s="1"/>
  <c r="AA57" i="2"/>
  <c r="AB57" i="2" s="1"/>
  <c r="AA123" i="2"/>
  <c r="AB123" i="2" s="1"/>
  <c r="AA108" i="2"/>
  <c r="AB108" i="2" s="1"/>
  <c r="AA109" i="2"/>
  <c r="AB109" i="2" s="1"/>
  <c r="AA122" i="2"/>
  <c r="AB122" i="2" s="1"/>
  <c r="AA106" i="2"/>
  <c r="AB106" i="2" s="1"/>
  <c r="AA104" i="2"/>
  <c r="AB104" i="2" s="1"/>
  <c r="AA90" i="2"/>
  <c r="AB90" i="2" s="1"/>
  <c r="AA93" i="2"/>
  <c r="AB93" i="2" s="1"/>
  <c r="AA107" i="2"/>
  <c r="AB107" i="2" s="1"/>
  <c r="AA35" i="2"/>
  <c r="AB35" i="2" s="1"/>
  <c r="AA25" i="2"/>
  <c r="AB25" i="2" s="1"/>
  <c r="AA92" i="2"/>
  <c r="AB92" i="2" s="1"/>
  <c r="AA95" i="2"/>
  <c r="AB95" i="2" s="1"/>
  <c r="AA102" i="2"/>
  <c r="AB102" i="2" s="1"/>
  <c r="AA97" i="2"/>
  <c r="AB97" i="2" s="1"/>
  <c r="AA76" i="2"/>
  <c r="AB76" i="2" s="1"/>
  <c r="AA91" i="2"/>
  <c r="AB91" i="2" s="1"/>
  <c r="AA94" i="2"/>
  <c r="AB94" i="2" s="1"/>
  <c r="AA98" i="2"/>
  <c r="AB98" i="2" s="1"/>
  <c r="AA121" i="2"/>
  <c r="AB121" i="2" s="1"/>
  <c r="AA120" i="2"/>
  <c r="AB120" i="2" s="1"/>
  <c r="AA56" i="2"/>
  <c r="AB56" i="2" s="1"/>
  <c r="AA119" i="2"/>
  <c r="AB119" i="2" s="1"/>
  <c r="AA89" i="2"/>
  <c r="AB89" i="2" s="1"/>
  <c r="AA85" i="2"/>
  <c r="AB85" i="2" s="1"/>
  <c r="AA86" i="2"/>
  <c r="AB86" i="2" s="1"/>
  <c r="AA81" i="2"/>
  <c r="AB81" i="2" s="1"/>
  <c r="AA66" i="2"/>
  <c r="AB66" i="2" s="1"/>
  <c r="AA26" i="2"/>
  <c r="AB26" i="2" s="1"/>
  <c r="AA118" i="2"/>
  <c r="AB118" i="2" s="1"/>
  <c r="AA34" i="2"/>
  <c r="AB34" i="2" s="1"/>
  <c r="AA117" i="2"/>
  <c r="AB117" i="2" s="1"/>
  <c r="AA71" i="2"/>
  <c r="AB71" i="2" s="1"/>
  <c r="AA77" i="2"/>
  <c r="AB77" i="2" s="1"/>
  <c r="AA60" i="2"/>
  <c r="AB60" i="2" s="1"/>
  <c r="AA79" i="2"/>
  <c r="AB79" i="2" s="1"/>
  <c r="AA78" i="2"/>
  <c r="AB78" i="2" s="1"/>
  <c r="AA70" i="2"/>
  <c r="AB70" i="2" s="1"/>
  <c r="AA68" i="2"/>
  <c r="AB68" i="2" s="1"/>
  <c r="AA67" i="2"/>
  <c r="AB67" i="2" s="1"/>
  <c r="AA61" i="2"/>
  <c r="AB61" i="2" s="1"/>
  <c r="AA55" i="2"/>
  <c r="AB55" i="2" s="1"/>
  <c r="AA100" i="2"/>
  <c r="AB100" i="2" s="1"/>
  <c r="AA105" i="2"/>
  <c r="AB105" i="2" s="1"/>
  <c r="AA83" i="2"/>
  <c r="AB83" i="2" s="1"/>
  <c r="AA116" i="2"/>
  <c r="AB116" i="2" s="1"/>
  <c r="AA96" i="2"/>
  <c r="AB96" i="2" s="1"/>
  <c r="AA52" i="2"/>
  <c r="AB52" i="2" s="1"/>
  <c r="AA72" i="2"/>
  <c r="AB72" i="2" s="1"/>
  <c r="AA74" i="2"/>
  <c r="AB74" i="2" s="1"/>
  <c r="AA87" i="2"/>
  <c r="AB87" i="2" s="1"/>
  <c r="AA115" i="2"/>
  <c r="AB115" i="2" s="1"/>
  <c r="AA65" i="2"/>
  <c r="AB65" i="2" s="1"/>
  <c r="AA49" i="2"/>
  <c r="AB49" i="2" s="1"/>
  <c r="AA50" i="2"/>
  <c r="AB50" i="2" s="1"/>
  <c r="AA69" i="2"/>
  <c r="AB69" i="2" s="1"/>
  <c r="AA80" i="2"/>
  <c r="AB80" i="2" s="1"/>
  <c r="AA99" i="2"/>
  <c r="AB99" i="2" s="1"/>
  <c r="AA64" i="2"/>
  <c r="AB64" i="2" s="1"/>
  <c r="AA40" i="2"/>
  <c r="AB40" i="2" s="1"/>
  <c r="AA48" i="2"/>
  <c r="AB48" i="2" s="1"/>
  <c r="AA19" i="2"/>
  <c r="AB19" i="2" s="1"/>
  <c r="AA39" i="2"/>
  <c r="AB39" i="2" s="1"/>
  <c r="AA32" i="2"/>
  <c r="AB32" i="2" s="1"/>
  <c r="AA114" i="2"/>
  <c r="AB114" i="2" s="1"/>
  <c r="AA113" i="2"/>
  <c r="AB113" i="2" s="1"/>
  <c r="AA38" i="2"/>
  <c r="AB38" i="2" s="1"/>
  <c r="AA43" i="2"/>
  <c r="AB43" i="2" s="1"/>
  <c r="AA112" i="2"/>
  <c r="AB112" i="2" s="1"/>
  <c r="AA41" i="2"/>
  <c r="AB41" i="2" s="1"/>
  <c r="AA63" i="2"/>
  <c r="AB63" i="2" s="1"/>
  <c r="AA53" i="2"/>
  <c r="AB53" i="2" s="1"/>
  <c r="AA24" i="2"/>
  <c r="AB24" i="2" s="1"/>
  <c r="AA15" i="2"/>
  <c r="AB15" i="2" s="1"/>
  <c r="AA44" i="2"/>
  <c r="AB44" i="2" s="1"/>
  <c r="AA23" i="2"/>
  <c r="AB23" i="2" s="1"/>
  <c r="AA37" i="2"/>
  <c r="AB37" i="2" s="1"/>
  <c r="AA54" i="2"/>
  <c r="AB54" i="2" s="1"/>
  <c r="AA45" i="2"/>
  <c r="AB45" i="2" s="1"/>
  <c r="AA42" i="2"/>
  <c r="AB42" i="2" s="1"/>
  <c r="AA29" i="2"/>
  <c r="AB29" i="2" s="1"/>
  <c r="AA46" i="2"/>
  <c r="AB46" i="2" s="1"/>
  <c r="AA28" i="2"/>
  <c r="AB28" i="2" s="1"/>
  <c r="AA36" i="2"/>
  <c r="AB36" i="2" s="1"/>
  <c r="AA62" i="2"/>
  <c r="AB62" i="2" s="1"/>
  <c r="AA33" i="2"/>
  <c r="AB33" i="2" s="1"/>
  <c r="AA47" i="2"/>
  <c r="AB47" i="2" s="1"/>
  <c r="AA21" i="2"/>
  <c r="AB21" i="2" s="1"/>
  <c r="AA27" i="2"/>
  <c r="AB27" i="2" s="1"/>
  <c r="AA20" i="2"/>
  <c r="AB20" i="2" s="1"/>
  <c r="AA51" i="2"/>
  <c r="AB51" i="2" s="1"/>
  <c r="AA75" i="2"/>
  <c r="AB75" i="2" s="1"/>
  <c r="AA31" i="2"/>
  <c r="AB31" i="2" s="1"/>
  <c r="AA18" i="2"/>
  <c r="AB18" i="2" s="1"/>
  <c r="AA5" i="2"/>
  <c r="AB5" i="2" s="1"/>
  <c r="AA22" i="2"/>
  <c r="AB22" i="2" s="1"/>
  <c r="AA16" i="2"/>
  <c r="AB16" i="2" s="1"/>
  <c r="AA30" i="2"/>
  <c r="AB30" i="2" s="1"/>
  <c r="AA17" i="2"/>
  <c r="AB17" i="2" s="1"/>
  <c r="AA14" i="2"/>
  <c r="AB14" i="2" s="1"/>
  <c r="AA8" i="2"/>
  <c r="AB8" i="2" s="1"/>
  <c r="AA3" i="2"/>
  <c r="AB3" i="2" s="1"/>
  <c r="AA9" i="2"/>
  <c r="AB9" i="2" s="1"/>
  <c r="AA11" i="2"/>
  <c r="AB11" i="2" s="1"/>
  <c r="AA7" i="2"/>
  <c r="AB7" i="2" s="1"/>
  <c r="AA10" i="2"/>
  <c r="AB10" i="2" s="1"/>
  <c r="AA6" i="2"/>
  <c r="AB6" i="2" s="1"/>
  <c r="AA4" i="2"/>
  <c r="AB4" i="2" s="1"/>
  <c r="AA2" i="2"/>
  <c r="AB2" i="2" s="1"/>
  <c r="AB130" i="2" l="1"/>
  <c r="W573" i="1" s="1"/>
  <c r="AE331" i="1"/>
  <c r="AE569" i="1"/>
  <c r="AE568" i="1"/>
  <c r="AE567" i="1"/>
  <c r="AE566" i="1"/>
  <c r="AE565" i="1"/>
  <c r="AE564" i="1"/>
  <c r="AE563" i="1"/>
  <c r="AE562" i="1"/>
  <c r="AE561" i="1"/>
  <c r="AE315" i="1"/>
  <c r="AE560" i="1"/>
  <c r="AE559" i="1"/>
  <c r="AE558" i="1"/>
  <c r="AE557" i="1"/>
  <c r="AE556" i="1"/>
  <c r="AE555" i="1"/>
  <c r="AE160" i="1"/>
  <c r="AE291" i="1"/>
  <c r="AE554" i="1"/>
  <c r="AE553" i="1"/>
  <c r="AE552" i="1"/>
  <c r="AE551" i="1"/>
  <c r="AE550" i="1"/>
  <c r="AE292" i="1"/>
  <c r="AE234" i="1"/>
  <c r="AE209" i="1"/>
  <c r="AE240" i="1"/>
  <c r="AE182" i="1"/>
  <c r="AE393" i="1"/>
  <c r="AE549" i="1"/>
  <c r="AE117" i="1"/>
  <c r="AE548" i="1"/>
  <c r="AE146" i="1"/>
  <c r="AE191" i="1"/>
  <c r="AE364" i="1"/>
  <c r="AE547" i="1"/>
  <c r="AE546" i="1"/>
  <c r="AE545" i="1"/>
  <c r="AE544" i="1"/>
  <c r="AE543" i="1"/>
  <c r="AE542" i="1"/>
  <c r="AE400" i="1"/>
  <c r="AE541" i="1"/>
  <c r="AE540" i="1"/>
  <c r="AE539" i="1"/>
  <c r="AE538" i="1"/>
  <c r="AE360" i="1"/>
  <c r="AE537" i="1"/>
  <c r="AE536" i="1"/>
  <c r="AE535" i="1"/>
  <c r="AE534" i="1"/>
  <c r="AE533" i="1"/>
  <c r="AE532" i="1"/>
  <c r="AE267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327" i="1"/>
  <c r="AE515" i="1"/>
  <c r="AE514" i="1"/>
  <c r="AE337" i="1"/>
  <c r="AE368" i="1"/>
  <c r="AE373" i="1"/>
  <c r="AE513" i="1"/>
  <c r="AE512" i="1"/>
  <c r="AE511" i="1"/>
  <c r="AE328" i="1"/>
  <c r="AE510" i="1"/>
  <c r="AE509" i="1"/>
  <c r="AE508" i="1"/>
  <c r="AE507" i="1"/>
  <c r="AE506" i="1"/>
  <c r="AE329" i="1"/>
  <c r="AE355" i="1"/>
  <c r="AE505" i="1"/>
  <c r="AE143" i="1"/>
  <c r="AE381" i="1"/>
  <c r="AE504" i="1"/>
  <c r="AE503" i="1"/>
  <c r="AE348" i="1"/>
  <c r="AE359" i="1"/>
  <c r="AE502" i="1"/>
  <c r="AE385" i="1"/>
  <c r="AE501" i="1"/>
  <c r="AE500" i="1"/>
  <c r="AE369" i="1"/>
  <c r="AE262" i="1"/>
  <c r="AE499" i="1"/>
  <c r="AE498" i="1"/>
  <c r="AE497" i="1"/>
  <c r="AE361" i="1"/>
  <c r="AE496" i="1"/>
  <c r="AE268" i="1"/>
  <c r="AE284" i="1"/>
  <c r="AE495" i="1"/>
  <c r="AE494" i="1"/>
  <c r="AE493" i="1"/>
  <c r="AE492" i="1"/>
  <c r="AE130" i="1"/>
  <c r="AE491" i="1"/>
  <c r="AE490" i="1"/>
  <c r="AE489" i="1"/>
  <c r="AE297" i="1"/>
  <c r="AE488" i="1"/>
  <c r="AE340" i="1"/>
  <c r="AE339" i="1"/>
  <c r="AE487" i="1"/>
  <c r="AE486" i="1"/>
  <c r="AE370" i="1"/>
  <c r="AE485" i="1"/>
  <c r="AE484" i="1"/>
  <c r="AE483" i="1"/>
  <c r="AE482" i="1"/>
  <c r="AE481" i="1"/>
  <c r="AE238" i="1"/>
  <c r="AE294" i="1"/>
  <c r="AE480" i="1"/>
  <c r="AE479" i="1"/>
  <c r="AE366" i="1"/>
  <c r="AE478" i="1"/>
  <c r="AE335" i="1"/>
  <c r="AE202" i="1"/>
  <c r="AE477" i="1"/>
  <c r="AE476" i="1"/>
  <c r="AE475" i="1"/>
  <c r="AE474" i="1"/>
  <c r="AE473" i="1"/>
  <c r="AE290" i="1"/>
  <c r="AE472" i="1"/>
  <c r="AE471" i="1"/>
  <c r="AE470" i="1"/>
  <c r="AE469" i="1"/>
  <c r="AE105" i="1"/>
  <c r="AE242" i="1"/>
  <c r="AE468" i="1"/>
  <c r="AE467" i="1"/>
  <c r="AE333" i="1"/>
  <c r="AE201" i="1"/>
  <c r="AE230" i="1"/>
  <c r="AE466" i="1"/>
  <c r="AE465" i="1"/>
  <c r="AE464" i="1"/>
  <c r="AE399" i="1"/>
  <c r="AE463" i="1"/>
  <c r="AE462" i="1"/>
  <c r="AE461" i="1"/>
  <c r="AE460" i="1"/>
  <c r="AE459" i="1"/>
  <c r="AE316" i="1"/>
  <c r="AE259" i="1"/>
  <c r="AE398" i="1"/>
  <c r="AE168" i="1"/>
  <c r="AE371" i="1"/>
  <c r="AE193" i="1"/>
  <c r="AE236" i="1"/>
  <c r="AE458" i="1"/>
  <c r="AE457" i="1"/>
  <c r="AE309" i="1"/>
  <c r="AE456" i="1"/>
  <c r="AE300" i="1"/>
  <c r="AE455" i="1"/>
  <c r="AE278" i="1"/>
  <c r="AE265" i="1"/>
  <c r="AE325" i="1"/>
  <c r="AE454" i="1"/>
  <c r="AE319" i="1"/>
  <c r="AE311" i="1"/>
  <c r="AE453" i="1"/>
  <c r="AE452" i="1"/>
  <c r="AE451" i="1"/>
  <c r="AE310" i="1"/>
  <c r="AE450" i="1"/>
  <c r="AE397" i="1"/>
  <c r="AE145" i="1"/>
  <c r="AE244" i="1"/>
  <c r="AE213" i="1"/>
  <c r="AE449" i="1"/>
  <c r="AE448" i="1"/>
  <c r="AE447" i="1"/>
  <c r="AE446" i="1"/>
  <c r="AE166" i="1"/>
  <c r="AE140" i="1"/>
  <c r="AE445" i="1"/>
  <c r="AE444" i="1"/>
  <c r="AE288" i="1"/>
  <c r="AE118" i="1"/>
  <c r="AE214" i="1"/>
  <c r="AE443" i="1"/>
  <c r="AE442" i="1"/>
  <c r="AE272" i="1"/>
  <c r="AE283" i="1"/>
  <c r="AE396" i="1"/>
  <c r="AE441" i="1"/>
  <c r="AE440" i="1"/>
  <c r="AE275" i="1"/>
  <c r="AE273" i="1"/>
  <c r="AE439" i="1"/>
  <c r="AE100" i="1"/>
  <c r="AE207" i="1"/>
  <c r="AE271" i="1"/>
  <c r="AE438" i="1"/>
  <c r="AE183" i="1"/>
  <c r="AE226" i="1"/>
  <c r="AE437" i="1"/>
  <c r="AE83" i="1"/>
  <c r="AE436" i="1"/>
  <c r="AE435" i="1"/>
  <c r="AE216" i="1"/>
  <c r="AE108" i="1"/>
  <c r="AE181" i="1"/>
  <c r="AE172" i="1"/>
  <c r="AE434" i="1"/>
  <c r="AE403" i="1"/>
  <c r="AE110" i="1"/>
  <c r="AE109" i="1"/>
  <c r="AE395" i="1"/>
  <c r="AE433" i="1"/>
  <c r="AE432" i="1"/>
  <c r="AE142" i="1"/>
  <c r="AE431" i="1"/>
  <c r="AE298" i="1"/>
  <c r="AE430" i="1"/>
  <c r="AE429" i="1"/>
  <c r="AE274" i="1"/>
  <c r="AE233" i="1"/>
  <c r="AE394" i="1"/>
  <c r="AE428" i="1"/>
  <c r="AE427" i="1"/>
  <c r="AE426" i="1"/>
  <c r="AE134" i="1"/>
  <c r="AE196" i="1"/>
  <c r="AE279" i="1"/>
  <c r="AE121" i="1"/>
  <c r="AE425" i="1"/>
  <c r="AE424" i="1"/>
  <c r="AE189" i="1"/>
  <c r="AE423" i="1"/>
  <c r="AE164" i="1"/>
  <c r="AE422" i="1"/>
  <c r="AE220" i="1"/>
  <c r="AE421" i="1"/>
  <c r="AE171" i="1"/>
  <c r="AE62" i="1"/>
  <c r="AE420" i="1"/>
  <c r="AE87" i="1"/>
  <c r="AE402" i="1"/>
  <c r="AE401" i="1"/>
  <c r="AE29" i="1"/>
  <c r="AE91" i="1"/>
  <c r="AE419" i="1"/>
  <c r="AE107" i="1"/>
  <c r="AE52" i="1"/>
  <c r="AE69" i="1"/>
  <c r="AE418" i="1"/>
  <c r="AE81" i="1"/>
  <c r="AE186" i="1"/>
  <c r="AE102" i="1"/>
  <c r="AE11" i="1"/>
  <c r="AE128" i="1"/>
  <c r="AE127" i="1"/>
  <c r="AE77" i="1"/>
  <c r="AE106" i="1"/>
  <c r="AE47" i="1"/>
  <c r="AE175" i="1"/>
  <c r="AE392" i="1"/>
  <c r="AE285" i="1"/>
  <c r="AE414" i="1"/>
  <c r="AE277" i="1"/>
  <c r="AE269" i="1"/>
  <c r="AE387" i="1"/>
  <c r="AE372" i="1"/>
  <c r="AE417" i="1"/>
  <c r="AE383" i="1"/>
  <c r="AE388" i="1"/>
  <c r="AE378" i="1"/>
  <c r="AE379" i="1"/>
  <c r="AE374" i="1"/>
  <c r="AE187" i="1"/>
  <c r="AE252" i="1"/>
  <c r="AE42" i="1"/>
  <c r="AE367" i="1"/>
  <c r="AE391" i="1"/>
  <c r="AE23" i="1"/>
  <c r="AE123" i="1"/>
  <c r="AE376" i="1"/>
  <c r="AE380" i="1"/>
  <c r="AE350" i="1"/>
  <c r="AE323" i="1"/>
  <c r="AE324" i="1"/>
  <c r="AE363" i="1"/>
  <c r="AE362" i="1"/>
  <c r="AE320" i="1"/>
  <c r="AE353" i="1"/>
  <c r="AE349" i="1"/>
  <c r="AE354" i="1"/>
  <c r="AE358" i="1"/>
  <c r="AE389" i="1"/>
  <c r="AE357" i="1"/>
  <c r="AE382" i="1"/>
  <c r="AE326" i="1"/>
  <c r="AE377" i="1"/>
  <c r="AE75" i="1"/>
  <c r="AE384" i="1"/>
  <c r="AE386" i="1"/>
  <c r="AE306" i="1"/>
  <c r="AE71" i="1"/>
  <c r="AE303" i="1"/>
  <c r="AE341" i="1"/>
  <c r="AE318" i="1"/>
  <c r="AE332" i="1"/>
  <c r="AE346" i="1"/>
  <c r="AE334" i="1"/>
  <c r="AE179" i="1"/>
  <c r="AE305" i="1"/>
  <c r="AE85" i="1"/>
  <c r="AE413" i="1"/>
  <c r="AE322" i="1"/>
  <c r="AE342" i="1"/>
  <c r="AE338" i="1"/>
  <c r="AE239" i="1"/>
  <c r="AE125" i="1"/>
  <c r="AE266" i="1"/>
  <c r="AE336" i="1"/>
  <c r="AE356" i="1"/>
  <c r="AE375" i="1"/>
  <c r="AE301" i="1"/>
  <c r="AE416" i="1"/>
  <c r="AE235" i="1"/>
  <c r="AE365" i="1"/>
  <c r="AE330" i="1"/>
  <c r="AE345" i="1"/>
  <c r="AE299" i="1"/>
  <c r="AE136" i="1"/>
  <c r="AE261" i="1"/>
  <c r="AE251" i="1"/>
  <c r="AE151" i="1"/>
  <c r="AE150" i="1"/>
  <c r="AE412" i="1"/>
  <c r="AE317" i="1"/>
  <c r="AE228" i="1"/>
  <c r="AE243" i="1"/>
  <c r="AE200" i="1"/>
  <c r="AE314" i="1"/>
  <c r="AE313" i="1"/>
  <c r="AE352" i="1"/>
  <c r="AE250" i="1"/>
  <c r="AE307" i="1"/>
  <c r="AE247" i="1"/>
  <c r="AE343" i="1"/>
  <c r="AE351" i="1"/>
  <c r="AE296" i="1"/>
  <c r="AE185" i="1"/>
  <c r="AE304" i="1"/>
  <c r="AE264" i="1"/>
  <c r="AE344" i="1"/>
  <c r="AE321" i="1"/>
  <c r="AE152" i="1"/>
  <c r="AE295" i="1"/>
  <c r="AE229" i="1"/>
  <c r="AE293" i="1"/>
  <c r="AE256" i="1"/>
  <c r="AE287" i="1"/>
  <c r="AE286" i="1"/>
  <c r="AE270" i="1"/>
  <c r="AE415" i="1"/>
  <c r="AE104" i="1"/>
  <c r="AE282" i="1"/>
  <c r="AE281" i="1"/>
  <c r="AE280" i="1"/>
  <c r="AE237" i="1"/>
  <c r="AE263" i="1"/>
  <c r="AE195" i="1"/>
  <c r="AE194" i="1"/>
  <c r="AE258" i="1"/>
  <c r="AE302" i="1"/>
  <c r="AE410" i="1"/>
  <c r="AE192" i="1"/>
  <c r="AE260" i="1"/>
  <c r="AE132" i="1"/>
  <c r="AE180" i="1"/>
  <c r="AE222" i="1"/>
  <c r="AE257" i="1"/>
  <c r="AE254" i="1"/>
  <c r="AE177" i="1"/>
  <c r="AE253" i="1"/>
  <c r="AE241" i="1"/>
  <c r="AE289" i="1"/>
  <c r="AE173" i="1"/>
  <c r="AE409" i="1"/>
  <c r="AE248" i="1"/>
  <c r="AE308" i="1"/>
  <c r="AE95" i="1"/>
  <c r="AE98" i="1"/>
  <c r="AE246" i="1"/>
  <c r="AE162" i="1"/>
  <c r="AE219" i="1"/>
  <c r="AE217" i="1"/>
  <c r="AE165" i="1"/>
  <c r="AE149" i="1"/>
  <c r="AE156" i="1"/>
  <c r="AE154" i="1"/>
  <c r="AE88" i="1"/>
  <c r="AE82" i="1"/>
  <c r="AE231" i="1"/>
  <c r="AE147" i="1"/>
  <c r="AE245" i="1"/>
  <c r="AE116" i="1"/>
  <c r="AE129" i="1"/>
  <c r="AE161" i="1"/>
  <c r="AE126" i="1"/>
  <c r="AE232" i="1"/>
  <c r="AE227" i="1"/>
  <c r="AE215" i="1"/>
  <c r="AE225" i="1"/>
  <c r="AE223" i="1"/>
  <c r="AE218" i="1"/>
  <c r="AE57" i="1"/>
  <c r="AE119" i="1"/>
  <c r="AE94" i="1"/>
  <c r="AE133" i="1"/>
  <c r="AE54" i="1"/>
  <c r="AE211" i="1"/>
  <c r="AE210" i="1"/>
  <c r="AE208" i="1"/>
  <c r="AE205" i="1"/>
  <c r="AE206" i="1"/>
  <c r="AE204" i="1"/>
  <c r="AE312" i="1"/>
  <c r="AE198" i="1"/>
  <c r="AE199" i="1"/>
  <c r="AE197" i="1"/>
  <c r="AE144" i="1"/>
  <c r="AE408" i="1"/>
  <c r="AE190" i="1"/>
  <c r="AE99" i="1"/>
  <c r="AE169" i="1"/>
  <c r="AE37" i="1"/>
  <c r="AE157" i="1"/>
  <c r="AE155" i="1"/>
  <c r="AE89" i="1"/>
  <c r="AE158" i="1"/>
  <c r="AE221" i="1"/>
  <c r="AE184" i="1"/>
  <c r="AE26" i="1"/>
  <c r="AE33" i="1"/>
  <c r="AE407" i="1"/>
  <c r="AE255" i="1"/>
  <c r="AE53" i="1"/>
  <c r="AE131" i="1"/>
  <c r="AE178" i="1"/>
  <c r="AE174" i="1"/>
  <c r="AE67" i="1"/>
  <c r="AE163" i="1"/>
  <c r="AE159" i="1"/>
  <c r="AE153" i="1"/>
  <c r="AE212" i="1"/>
  <c r="AE60" i="1"/>
  <c r="AE66" i="1"/>
  <c r="AE137" i="1"/>
  <c r="AE113" i="1"/>
  <c r="AE139" i="1"/>
  <c r="AE170" i="1"/>
  <c r="AE124" i="1"/>
  <c r="AE122" i="1"/>
  <c r="AE96" i="1"/>
  <c r="AE138" i="1"/>
  <c r="AE167" i="1"/>
  <c r="AE43" i="1"/>
  <c r="AE70" i="1"/>
  <c r="AE148" i="1"/>
  <c r="AE92" i="1"/>
  <c r="AE224" i="1"/>
  <c r="AE406" i="1"/>
  <c r="AE115" i="1"/>
  <c r="AE114" i="1"/>
  <c r="AE112" i="1"/>
  <c r="AE55" i="1"/>
  <c r="AE135" i="1"/>
  <c r="AE68" i="1"/>
  <c r="AE101" i="1"/>
  <c r="AE120" i="1"/>
  <c r="AE90" i="1"/>
  <c r="AE79" i="1"/>
  <c r="AE63" i="1"/>
  <c r="AE56" i="1"/>
  <c r="AE86" i="1"/>
  <c r="AE141" i="1"/>
  <c r="AE78" i="1"/>
  <c r="AE45" i="1"/>
  <c r="AE103" i="1"/>
  <c r="AE111" i="1"/>
  <c r="AE61" i="1"/>
  <c r="AE76" i="1"/>
  <c r="AE65" i="1"/>
  <c r="AE41" i="1"/>
  <c r="AE176" i="1"/>
  <c r="AE97" i="1"/>
  <c r="AE72" i="1"/>
  <c r="AE32" i="1"/>
  <c r="AE74" i="1"/>
  <c r="AE18" i="1"/>
  <c r="AE13" i="1"/>
  <c r="AE19" i="1"/>
  <c r="AE39" i="1"/>
  <c r="AE34" i="1"/>
  <c r="AE25" i="1"/>
  <c r="AE17" i="1"/>
  <c r="AE84" i="1"/>
  <c r="AE22" i="1"/>
  <c r="AE64" i="1"/>
  <c r="AE21" i="1"/>
  <c r="AE38" i="1"/>
  <c r="AE48" i="1"/>
  <c r="AE80" i="1"/>
  <c r="AE24" i="1"/>
  <c r="AE404" i="1"/>
  <c r="AE73" i="1"/>
  <c r="AE50" i="1"/>
  <c r="AE14" i="1"/>
  <c r="AE51" i="1"/>
  <c r="AE49" i="1"/>
  <c r="AE30" i="1"/>
  <c r="AE46" i="1"/>
  <c r="AE27" i="1"/>
  <c r="AE31" i="1"/>
  <c r="AE93" i="1"/>
  <c r="AE28" i="1"/>
  <c r="AE20" i="1"/>
  <c r="AE36" i="1"/>
  <c r="AE40" i="1"/>
  <c r="AE10" i="1"/>
  <c r="AE16" i="1"/>
  <c r="AE6" i="1"/>
  <c r="AE15" i="1"/>
  <c r="AE35" i="1"/>
  <c r="AE7" i="1"/>
  <c r="AE5" i="1"/>
  <c r="AE4" i="1"/>
  <c r="AE12" i="1"/>
  <c r="AE9" i="1"/>
  <c r="AE3" i="1"/>
  <c r="AE8" i="1"/>
  <c r="AE2" i="1"/>
  <c r="V573" i="1"/>
  <c r="W572" i="1" l="1"/>
  <c r="W580" i="1" s="1"/>
  <c r="W582" i="1" s="1"/>
  <c r="V572" i="1"/>
  <c r="U131" i="1" l="1"/>
  <c r="U232" i="1"/>
  <c r="U170" i="1"/>
  <c r="U124" i="1"/>
  <c r="U422" i="1"/>
  <c r="U115" i="1"/>
  <c r="U76" i="1"/>
  <c r="U114" i="1"/>
  <c r="U144" i="1"/>
  <c r="U136" i="1"/>
  <c r="U53" i="1"/>
  <c r="U7" i="1"/>
  <c r="U374" i="1" l="1"/>
  <c r="U504" i="1"/>
  <c r="U384" i="1"/>
  <c r="U375" i="1"/>
  <c r="U251" i="1"/>
  <c r="U356" i="1"/>
  <c r="U349" i="1"/>
  <c r="U341" i="1"/>
  <c r="U324" i="1"/>
  <c r="U321" i="1"/>
  <c r="U284" i="1"/>
  <c r="U334" i="1"/>
  <c r="U290" i="1"/>
  <c r="U277" i="1"/>
  <c r="U264" i="1"/>
  <c r="U305" i="1"/>
  <c r="U108" i="1"/>
  <c r="U299" i="1"/>
  <c r="U250" i="1"/>
  <c r="U345" i="1"/>
  <c r="U392" i="1"/>
  <c r="U263" i="1"/>
  <c r="U293" i="1"/>
  <c r="U157" i="1"/>
  <c r="U231" i="1"/>
  <c r="U319" i="1"/>
  <c r="U325" i="1"/>
  <c r="U333" i="1"/>
  <c r="U173" i="1"/>
  <c r="U302" i="1"/>
  <c r="U68" i="1"/>
  <c r="U437" i="1"/>
  <c r="U106" i="1"/>
  <c r="U164" i="1"/>
  <c r="U152" i="1"/>
  <c r="U125" i="1"/>
  <c r="U171" i="1"/>
  <c r="U215" i="1"/>
  <c r="U78" i="1"/>
  <c r="U151" i="1"/>
  <c r="U112" i="1"/>
  <c r="U187" i="1"/>
  <c r="U121" i="1"/>
  <c r="U45" i="1"/>
  <c r="U139" i="1"/>
  <c r="U200" i="1"/>
  <c r="U344" i="1"/>
  <c r="U153" i="1"/>
  <c r="U60" i="1"/>
  <c r="U79" i="1"/>
  <c r="U111" i="1"/>
  <c r="U25" i="1"/>
  <c r="U21" i="1"/>
  <c r="U34" i="1"/>
  <c r="U50" i="1"/>
  <c r="U32" i="1"/>
  <c r="U38" i="1"/>
  <c r="U69" i="1"/>
  <c r="U4" i="1"/>
  <c r="V4" i="1" s="1"/>
  <c r="U275" i="1"/>
  <c r="U142" i="1"/>
  <c r="U87" i="1"/>
  <c r="U156" i="1"/>
  <c r="U91" i="1"/>
  <c r="U29" i="1"/>
  <c r="U96" i="1"/>
  <c r="U11" i="1"/>
  <c r="U52" i="1"/>
  <c r="U24" i="1"/>
  <c r="U17" i="1"/>
  <c r="U467" i="1" l="1"/>
  <c r="U261" i="1"/>
  <c r="P500" i="1"/>
  <c r="U434" i="1"/>
  <c r="P474" i="1"/>
  <c r="V467" i="1" l="1"/>
  <c r="P261" i="1"/>
  <c r="S467" i="1"/>
  <c r="P434" i="1"/>
  <c r="V434" i="1"/>
  <c r="S434" i="1"/>
  <c r="T434" i="1" s="1"/>
  <c r="V261" i="1"/>
  <c r="S261" i="1"/>
  <c r="T261" i="1" s="1"/>
  <c r="U500" i="1"/>
  <c r="U474" i="1"/>
  <c r="P467" i="1"/>
  <c r="P492" i="1"/>
  <c r="P146" i="1"/>
  <c r="P28" i="1"/>
  <c r="P517" i="1"/>
  <c r="P64" i="1"/>
  <c r="P338" i="1"/>
  <c r="P543" i="1"/>
  <c r="P364" i="1"/>
  <c r="P542" i="1"/>
  <c r="P371" i="1"/>
  <c r="P512" i="1"/>
  <c r="P540" i="1"/>
  <c r="P130" i="1"/>
  <c r="P531" i="1"/>
  <c r="P505" i="1"/>
  <c r="P561" i="1"/>
  <c r="P262" i="1"/>
  <c r="P525" i="1"/>
  <c r="P539" i="1"/>
  <c r="P526" i="1"/>
  <c r="P545" i="1"/>
  <c r="P485" i="1"/>
  <c r="P562" i="1"/>
  <c r="P315" i="1"/>
  <c r="P528" i="1"/>
  <c r="P529" i="1"/>
  <c r="P563" i="1"/>
  <c r="P553" i="1"/>
  <c r="P400" i="1"/>
  <c r="P549" i="1"/>
  <c r="P317" i="1"/>
  <c r="P538" i="1"/>
  <c r="P160" i="1"/>
  <c r="P191" i="1"/>
  <c r="P336" i="1"/>
  <c r="P267" i="1"/>
  <c r="P556" i="1"/>
  <c r="P335" i="1"/>
  <c r="P544" i="1"/>
  <c r="P448" i="1"/>
  <c r="P550" i="1"/>
  <c r="P182" i="1"/>
  <c r="P292" i="1"/>
  <c r="P560" i="1"/>
  <c r="P211" i="1"/>
  <c r="P546" i="1"/>
  <c r="P240" i="1"/>
  <c r="P283" i="1"/>
  <c r="P331" i="1"/>
  <c r="P532" i="1"/>
  <c r="P555" i="1"/>
  <c r="P537" i="1"/>
  <c r="P451" i="1"/>
  <c r="P547" i="1"/>
  <c r="P533" i="1"/>
  <c r="P33" i="1"/>
  <c r="P100" i="1"/>
  <c r="P159" i="1"/>
  <c r="P291" i="1"/>
  <c r="P202" i="1"/>
  <c r="P209" i="1"/>
  <c r="P255" i="1"/>
  <c r="P234" i="1"/>
  <c r="P527" i="1"/>
  <c r="P541" i="1"/>
  <c r="P393" i="1"/>
  <c r="P81" i="1"/>
  <c r="P238" i="1"/>
  <c r="P168" i="1"/>
  <c r="P98" i="1"/>
  <c r="P75" i="1"/>
  <c r="P62" i="1"/>
  <c r="P71" i="1"/>
  <c r="P86" i="1"/>
  <c r="P232" i="1"/>
  <c r="P425" i="1"/>
  <c r="P236" i="1"/>
  <c r="P418" i="1"/>
  <c r="P18" i="1"/>
  <c r="P456" i="1"/>
  <c r="P494" i="1"/>
  <c r="P189" i="1"/>
  <c r="P31" i="1"/>
  <c r="P496" i="1"/>
  <c r="P458" i="1"/>
  <c r="P530" i="1"/>
  <c r="P457" i="1"/>
  <c r="P327" i="1"/>
  <c r="P524" i="1"/>
  <c r="P333" i="1"/>
  <c r="P297" i="1"/>
  <c r="P373" i="1"/>
  <c r="P127" i="1"/>
  <c r="P459" i="1"/>
  <c r="P176" i="1"/>
  <c r="P312" i="1"/>
  <c r="P428" i="1"/>
  <c r="P489" i="1"/>
  <c r="P501" i="1"/>
  <c r="P484" i="1"/>
  <c r="P507" i="1"/>
  <c r="P426" i="1"/>
  <c r="P523" i="1"/>
  <c r="P522" i="1"/>
  <c r="P332" i="1"/>
  <c r="P183" i="1"/>
  <c r="P374" i="1"/>
  <c r="P518" i="1"/>
  <c r="P536" i="1"/>
  <c r="P257" i="1"/>
  <c r="P381" i="1"/>
  <c r="P504" i="1"/>
  <c r="P358" i="1"/>
  <c r="P386" i="1"/>
  <c r="P514" i="1"/>
  <c r="P337" i="1"/>
  <c r="P384" i="1"/>
  <c r="P380" i="1"/>
  <c r="P252" i="1"/>
  <c r="P355" i="1"/>
  <c r="P357" i="1"/>
  <c r="P247" i="1"/>
  <c r="P515" i="1"/>
  <c r="P376" i="1"/>
  <c r="P372" i="1"/>
  <c r="P375" i="1"/>
  <c r="P502" i="1"/>
  <c r="P388" i="1"/>
  <c r="P251" i="1"/>
  <c r="P356" i="1"/>
  <c r="P416" i="1"/>
  <c r="P352" i="1"/>
  <c r="P210" i="1"/>
  <c r="P323" i="1"/>
  <c r="P361" i="1"/>
  <c r="P351" i="1"/>
  <c r="P322" i="1"/>
  <c r="P123" i="1"/>
  <c r="P354" i="1"/>
  <c r="P349" i="1"/>
  <c r="P535" i="1"/>
  <c r="P493" i="1"/>
  <c r="P341" i="1"/>
  <c r="P222" i="1"/>
  <c r="P342" i="1"/>
  <c r="P271" i="1"/>
  <c r="P353" i="1"/>
  <c r="P487" i="1"/>
  <c r="P324" i="1"/>
  <c r="P383" i="1"/>
  <c r="P360" i="1"/>
  <c r="P328" i="1"/>
  <c r="P370" i="1"/>
  <c r="P486" i="1"/>
  <c r="P308" i="1"/>
  <c r="P303" i="1"/>
  <c r="P490" i="1"/>
  <c r="P482" i="1"/>
  <c r="P481" i="1"/>
  <c r="P326" i="1"/>
  <c r="P378" i="1"/>
  <c r="P379" i="1"/>
  <c r="P321" i="1"/>
  <c r="P284" i="1"/>
  <c r="P334" i="1"/>
  <c r="P366" i="1"/>
  <c r="P290" i="1"/>
  <c r="P318" i="1"/>
  <c r="P266" i="1"/>
  <c r="P235" i="1"/>
  <c r="P477" i="1"/>
  <c r="P476" i="1"/>
  <c r="P277" i="1"/>
  <c r="P285" i="1"/>
  <c r="P264" i="1"/>
  <c r="P256" i="1"/>
  <c r="P227" i="1"/>
  <c r="P305" i="1"/>
  <c r="P473" i="1"/>
  <c r="P350" i="1"/>
  <c r="P296" i="1"/>
  <c r="P472" i="1"/>
  <c r="P471" i="1"/>
  <c r="P108" i="1"/>
  <c r="P299" i="1"/>
  <c r="P410" i="1"/>
  <c r="P293" i="1"/>
  <c r="P470" i="1"/>
  <c r="P469" i="1"/>
  <c r="P272" i="1"/>
  <c r="P242" i="1"/>
  <c r="P214" i="1"/>
  <c r="P180" i="1"/>
  <c r="P179" i="1"/>
  <c r="P250" i="1"/>
  <c r="P468" i="1"/>
  <c r="P345" i="1"/>
  <c r="P268" i="1"/>
  <c r="P199" i="1"/>
  <c r="P287" i="1"/>
  <c r="P286" i="1"/>
  <c r="P263" i="1"/>
  <c r="P135" i="1"/>
  <c r="P269" i="1"/>
  <c r="P392" i="1"/>
  <c r="P282" i="1"/>
  <c r="P464" i="1"/>
  <c r="P207" i="1"/>
  <c r="P399" i="1"/>
  <c r="P463" i="1"/>
  <c r="P280" i="1"/>
  <c r="P309" i="1"/>
  <c r="P447" i="1"/>
  <c r="P270" i="1"/>
  <c r="P398" i="1"/>
  <c r="P273" i="1"/>
  <c r="P301" i="1"/>
  <c r="P157" i="1"/>
  <c r="P258" i="1"/>
  <c r="P367" i="1"/>
  <c r="P231" i="1"/>
  <c r="P313" i="1"/>
  <c r="P260" i="1"/>
  <c r="P196" i="1"/>
  <c r="P319" i="1"/>
  <c r="P436" i="1"/>
  <c r="P300" i="1"/>
  <c r="P455" i="1"/>
  <c r="P325" i="1"/>
  <c r="P274" i="1"/>
  <c r="P316" i="1"/>
  <c r="P454" i="1"/>
  <c r="P190" i="1"/>
  <c r="P310" i="1"/>
  <c r="P173" i="1"/>
  <c r="P120" i="1"/>
  <c r="P289" i="1"/>
  <c r="P302" i="1"/>
  <c r="P212" i="1"/>
  <c r="P178" i="1"/>
  <c r="P279" i="1"/>
  <c r="P217" i="1"/>
  <c r="P185" i="1"/>
  <c r="P216" i="1"/>
  <c r="P259" i="1"/>
  <c r="P131" i="1"/>
  <c r="P145" i="1"/>
  <c r="P162" i="1"/>
  <c r="P137" i="1"/>
  <c r="P165" i="1"/>
  <c r="P149" i="1"/>
  <c r="P449" i="1"/>
  <c r="P433" i="1"/>
  <c r="P241" i="1"/>
  <c r="P275" i="1"/>
  <c r="P154" i="1"/>
  <c r="P147" i="1"/>
  <c r="P103" i="1"/>
  <c r="P166" i="1"/>
  <c r="P193" i="1"/>
  <c r="P101" i="1"/>
  <c r="P534" i="1"/>
  <c r="P94" i="1"/>
  <c r="P141" i="1"/>
  <c r="P26" i="1"/>
  <c r="P118" i="1"/>
  <c r="P444" i="1"/>
  <c r="P205" i="1"/>
  <c r="P288" i="1"/>
  <c r="P442" i="1"/>
  <c r="P219" i="1"/>
  <c r="P133" i="1"/>
  <c r="P134" i="1"/>
  <c r="P443" i="1"/>
  <c r="P437" i="1"/>
  <c r="P107" i="1"/>
  <c r="P68" i="1"/>
  <c r="P237" i="1"/>
  <c r="P132" i="1"/>
  <c r="P311" i="1"/>
  <c r="P181" i="1"/>
  <c r="P346" i="1"/>
  <c r="P246" i="1"/>
  <c r="P320" i="1"/>
  <c r="P439" i="1"/>
  <c r="P201" i="1"/>
  <c r="P298" i="1"/>
  <c r="P164" i="1"/>
  <c r="P152" i="1"/>
  <c r="P106" i="1"/>
  <c r="P148" i="1"/>
  <c r="P226" i="1"/>
  <c r="P89" i="1"/>
  <c r="P192" i="1"/>
  <c r="P184" i="1"/>
  <c r="P85" i="1"/>
  <c r="P435" i="1"/>
  <c r="P87" i="1"/>
  <c r="P314" i="1"/>
  <c r="P171" i="1"/>
  <c r="P239" i="1"/>
  <c r="P142" i="1"/>
  <c r="P215" i="1"/>
  <c r="P78" i="1"/>
  <c r="P172" i="1"/>
  <c r="P140" i="1"/>
  <c r="P158" i="1"/>
  <c r="P66" i="1"/>
  <c r="P125" i="1"/>
  <c r="P112" i="1"/>
  <c r="P230" i="1"/>
  <c r="P421" i="1"/>
  <c r="P197" i="1"/>
  <c r="P161" i="1"/>
  <c r="P119" i="1"/>
  <c r="P218" i="1"/>
  <c r="P431" i="1"/>
  <c r="P430" i="1"/>
  <c r="P187" i="1"/>
  <c r="P429" i="1"/>
  <c r="P220" i="1"/>
  <c r="P229" i="1"/>
  <c r="P70" i="1"/>
  <c r="P151" i="1"/>
  <c r="P225" i="1"/>
  <c r="P169" i="1"/>
  <c r="P155" i="1"/>
  <c r="P394" i="1"/>
  <c r="P438" i="1"/>
  <c r="P564" i="1"/>
  <c r="P423" i="1"/>
  <c r="P427" i="1"/>
  <c r="P116" i="1"/>
  <c r="P170" i="1"/>
  <c r="P47" i="1"/>
  <c r="P121" i="1"/>
  <c r="P84" i="1"/>
  <c r="P129" i="1"/>
  <c r="P295" i="1"/>
  <c r="P72" i="1"/>
  <c r="P397" i="1"/>
  <c r="P124" i="1"/>
  <c r="P150" i="1"/>
  <c r="P395" i="1"/>
  <c r="P56" i="1"/>
  <c r="P156" i="1"/>
  <c r="P99" i="1"/>
  <c r="P65" i="1"/>
  <c r="P45" i="1"/>
  <c r="P396" i="1"/>
  <c r="P104" i="1"/>
  <c r="P422" i="1"/>
  <c r="P115" i="1"/>
  <c r="P95" i="1"/>
  <c r="P126" i="1"/>
  <c r="P76" i="1"/>
  <c r="P139" i="1"/>
  <c r="P144" i="1"/>
  <c r="P105" i="1"/>
  <c r="P55" i="1"/>
  <c r="P57" i="1"/>
  <c r="P208" i="1"/>
  <c r="P200" i="1"/>
  <c r="P110" i="1"/>
  <c r="P109" i="1"/>
  <c r="P117" i="1"/>
  <c r="P35" i="1"/>
  <c r="P420" i="1"/>
  <c r="P344" i="1"/>
  <c r="P306" i="1"/>
  <c r="P92" i="1"/>
  <c r="P91" i="1"/>
  <c r="P39" i="1"/>
  <c r="P29" i="1"/>
  <c r="P82" i="1"/>
  <c r="P74" i="1"/>
  <c r="P419" i="1"/>
  <c r="P96" i="1"/>
  <c r="P153" i="1"/>
  <c r="P177" i="1"/>
  <c r="P186" i="1"/>
  <c r="P60" i="1"/>
  <c r="P61" i="1"/>
  <c r="P79" i="1"/>
  <c r="P138" i="1"/>
  <c r="P167" i="1"/>
  <c r="P136" i="1"/>
  <c r="P67" i="1"/>
  <c r="P41" i="1"/>
  <c r="P13" i="1"/>
  <c r="P11" i="1"/>
  <c r="P111" i="1"/>
  <c r="P69" i="1"/>
  <c r="P80" i="1"/>
  <c r="P113" i="1"/>
  <c r="P114" i="1"/>
  <c r="P43" i="1"/>
  <c r="P88" i="1"/>
  <c r="P221" i="1"/>
  <c r="P63" i="1"/>
  <c r="P83" i="1"/>
  <c r="P19" i="1"/>
  <c r="P22" i="1"/>
  <c r="P25" i="1"/>
  <c r="P21" i="1"/>
  <c r="P34" i="1"/>
  <c r="P27" i="1"/>
  <c r="P32" i="1"/>
  <c r="P54" i="1"/>
  <c r="P50" i="1"/>
  <c r="P52" i="1"/>
  <c r="P48" i="1"/>
  <c r="P102" i="1"/>
  <c r="P77" i="1"/>
  <c r="P93" i="1"/>
  <c r="P122" i="1"/>
  <c r="P49" i="1"/>
  <c r="P14" i="1"/>
  <c r="P46" i="1"/>
  <c r="P97" i="1"/>
  <c r="P53" i="1"/>
  <c r="P30" i="1"/>
  <c r="P37" i="1"/>
  <c r="P38" i="1"/>
  <c r="P36" i="1"/>
  <c r="P24" i="1"/>
  <c r="P51" i="1"/>
  <c r="P17" i="1"/>
  <c r="P175" i="1"/>
  <c r="P4" i="1"/>
  <c r="P8" i="1"/>
  <c r="P6" i="1"/>
  <c r="P12" i="1"/>
  <c r="P5" i="1"/>
  <c r="P7" i="1"/>
  <c r="P16" i="1"/>
  <c r="P40" i="1"/>
  <c r="P10" i="1"/>
  <c r="P20" i="1"/>
  <c r="P9" i="1"/>
  <c r="P3" i="1"/>
  <c r="P568" i="1"/>
  <c r="P2" i="1"/>
  <c r="U492" i="1"/>
  <c r="U484" i="1"/>
  <c r="U456" i="1"/>
  <c r="P574" i="1"/>
  <c r="T60" i="2"/>
  <c r="U494" i="1"/>
  <c r="U189" i="1"/>
  <c r="U31" i="1"/>
  <c r="U496" i="1"/>
  <c r="U458" i="1"/>
  <c r="U530" i="1"/>
  <c r="U457" i="1"/>
  <c r="U327" i="1"/>
  <c r="U524" i="1"/>
  <c r="S333" i="1"/>
  <c r="U28" i="1"/>
  <c r="U297" i="1"/>
  <c r="U373" i="1"/>
  <c r="U127" i="1"/>
  <c r="U459" i="1"/>
  <c r="U176" i="1"/>
  <c r="U312" i="1"/>
  <c r="U428" i="1"/>
  <c r="U489" i="1"/>
  <c r="U501" i="1"/>
  <c r="U507" i="1"/>
  <c r="U426" i="1"/>
  <c r="R494" i="1"/>
  <c r="R189" i="1"/>
  <c r="R492" i="1"/>
  <c r="R31" i="1"/>
  <c r="R496" i="1"/>
  <c r="R458" i="1"/>
  <c r="R530" i="1"/>
  <c r="R457" i="1"/>
  <c r="R327" i="1"/>
  <c r="R524" i="1"/>
  <c r="R146" i="1"/>
  <c r="R333" i="1"/>
  <c r="R28" i="1"/>
  <c r="R297" i="1"/>
  <c r="R373" i="1"/>
  <c r="R127" i="1"/>
  <c r="R459" i="1"/>
  <c r="R176" i="1"/>
  <c r="R312" i="1"/>
  <c r="R428" i="1"/>
  <c r="R489" i="1"/>
  <c r="R501" i="1"/>
  <c r="R484" i="1"/>
  <c r="R507" i="1"/>
  <c r="R426" i="1"/>
  <c r="S530" i="1" l="1"/>
  <c r="T530" i="1" s="1"/>
  <c r="S494" i="1"/>
  <c r="T494" i="1" s="1"/>
  <c r="S297" i="1"/>
  <c r="T297" i="1" s="1"/>
  <c r="S507" i="1"/>
  <c r="T507" i="1" s="1"/>
  <c r="S489" i="1"/>
  <c r="T489" i="1" s="1"/>
  <c r="S327" i="1"/>
  <c r="T327" i="1" s="1"/>
  <c r="S484" i="1"/>
  <c r="T484" i="1" s="1"/>
  <c r="S428" i="1"/>
  <c r="T428" i="1" s="1"/>
  <c r="S457" i="1"/>
  <c r="T457" i="1" s="1"/>
  <c r="S28" i="1"/>
  <c r="T28" i="1" s="1"/>
  <c r="S524" i="1"/>
  <c r="T524" i="1" s="1"/>
  <c r="S176" i="1"/>
  <c r="T176" i="1" s="1"/>
  <c r="S458" i="1"/>
  <c r="T458" i="1" s="1"/>
  <c r="S426" i="1"/>
  <c r="T426" i="1" s="1"/>
  <c r="S373" i="1"/>
  <c r="T373" i="1" s="1"/>
  <c r="S501" i="1"/>
  <c r="T501" i="1" s="1"/>
  <c r="S312" i="1"/>
  <c r="T312" i="1" s="1"/>
  <c r="S459" i="1"/>
  <c r="T459" i="1" s="1"/>
  <c r="S127" i="1"/>
  <c r="T127" i="1" s="1"/>
  <c r="S31" i="1"/>
  <c r="T31" i="1" s="1"/>
  <c r="S189" i="1"/>
  <c r="T189" i="1" s="1"/>
  <c r="V456" i="1"/>
  <c r="S456" i="1"/>
  <c r="S492" i="1"/>
  <c r="T492" i="1" s="1"/>
  <c r="S496" i="1"/>
  <c r="T496" i="1" s="1"/>
  <c r="V474" i="1"/>
  <c r="S474" i="1"/>
  <c r="T474" i="1" s="1"/>
  <c r="V500" i="1"/>
  <c r="S500" i="1"/>
  <c r="T500" i="1" s="1"/>
  <c r="V189" i="1"/>
  <c r="V146" i="1"/>
  <c r="V426" i="1"/>
  <c r="V524" i="1"/>
  <c r="V507" i="1"/>
  <c r="V458" i="1"/>
  <c r="V297" i="1"/>
  <c r="V492" i="1"/>
  <c r="V484" i="1"/>
  <c r="V459" i="1"/>
  <c r="V530" i="1"/>
  <c r="V489" i="1"/>
  <c r="V327" i="1"/>
  <c r="V127" i="1"/>
  <c r="V31" i="1"/>
  <c r="V333" i="1"/>
  <c r="V28" i="1"/>
  <c r="V312" i="1"/>
  <c r="V501" i="1"/>
  <c r="V457" i="1"/>
  <c r="V176" i="1"/>
  <c r="V496" i="1"/>
  <c r="V373" i="1"/>
  <c r="V494" i="1"/>
  <c r="T333" i="1"/>
  <c r="S146" i="1" l="1"/>
  <c r="T146" i="1" s="1"/>
  <c r="V428" i="1"/>
  <c r="U3" i="1"/>
  <c r="S391" i="1" l="1"/>
  <c r="S382" i="1"/>
  <c r="S548" i="1"/>
  <c r="S558" i="1"/>
  <c r="S566" i="1"/>
  <c r="S552" i="1"/>
  <c r="S567" i="1"/>
  <c r="S565" i="1"/>
  <c r="S557" i="1"/>
  <c r="S551" i="1"/>
  <c r="S554" i="1"/>
  <c r="S511" i="1"/>
  <c r="S559" i="1"/>
  <c r="S402" i="1"/>
  <c r="S569" i="1"/>
  <c r="S304" i="1"/>
  <c r="S522" i="1"/>
  <c r="S332" i="1"/>
  <c r="S374" i="1"/>
  <c r="S517" i="1"/>
  <c r="S381" i="1"/>
  <c r="S504" i="1"/>
  <c r="S358" i="1"/>
  <c r="S386" i="1"/>
  <c r="S514" i="1"/>
  <c r="S64" i="1"/>
  <c r="S384" i="1"/>
  <c r="S252" i="1"/>
  <c r="S357" i="1"/>
  <c r="S247" i="1"/>
  <c r="S376" i="1"/>
  <c r="S375" i="1"/>
  <c r="S388" i="1"/>
  <c r="S251" i="1"/>
  <c r="S356" i="1"/>
  <c r="S416" i="1"/>
  <c r="S352" i="1"/>
  <c r="S210" i="1"/>
  <c r="S323" i="1"/>
  <c r="S351" i="1"/>
  <c r="S322" i="1"/>
  <c r="S354" i="1"/>
  <c r="S349" i="1"/>
  <c r="S535" i="1"/>
  <c r="S341" i="1"/>
  <c r="S342" i="1"/>
  <c r="S271" i="1"/>
  <c r="S353" i="1"/>
  <c r="S487" i="1"/>
  <c r="S324" i="1"/>
  <c r="S383" i="1"/>
  <c r="S360" i="1"/>
  <c r="S328" i="1"/>
  <c r="S370" i="1"/>
  <c r="S486" i="1"/>
  <c r="S525" i="1"/>
  <c r="S308" i="1"/>
  <c r="S539" i="1"/>
  <c r="S303" i="1"/>
  <c r="S490" i="1"/>
  <c r="S545" i="1"/>
  <c r="S482" i="1"/>
  <c r="S481" i="1"/>
  <c r="S326" i="1"/>
  <c r="S378" i="1"/>
  <c r="S379" i="1"/>
  <c r="S321" i="1"/>
  <c r="S284" i="1"/>
  <c r="S334" i="1"/>
  <c r="S366" i="1"/>
  <c r="S290" i="1"/>
  <c r="S266" i="1"/>
  <c r="S562" i="1"/>
  <c r="S235" i="1"/>
  <c r="S477" i="1"/>
  <c r="S476" i="1"/>
  <c r="S277" i="1"/>
  <c r="S285" i="1"/>
  <c r="S264" i="1"/>
  <c r="S256" i="1"/>
  <c r="S227" i="1"/>
  <c r="S305" i="1"/>
  <c r="S473" i="1"/>
  <c r="S350" i="1"/>
  <c r="S296" i="1"/>
  <c r="S472" i="1"/>
  <c r="S471" i="1"/>
  <c r="S108" i="1"/>
  <c r="S299" i="1"/>
  <c r="S293" i="1"/>
  <c r="S123" i="1"/>
  <c r="S470" i="1"/>
  <c r="S469" i="1"/>
  <c r="S242" i="1"/>
  <c r="S179" i="1"/>
  <c r="S250" i="1"/>
  <c r="S468" i="1"/>
  <c r="S345" i="1"/>
  <c r="S268" i="1"/>
  <c r="S199" i="1"/>
  <c r="S287" i="1"/>
  <c r="S286" i="1"/>
  <c r="S263" i="1"/>
  <c r="S269" i="1"/>
  <c r="S392" i="1"/>
  <c r="S282" i="1"/>
  <c r="S309" i="1"/>
  <c r="S447" i="1"/>
  <c r="S270" i="1"/>
  <c r="S157" i="1"/>
  <c r="S317" i="1"/>
  <c r="S258" i="1"/>
  <c r="S367" i="1"/>
  <c r="S231" i="1"/>
  <c r="S313" i="1"/>
  <c r="S160" i="1"/>
  <c r="S260" i="1"/>
  <c r="S319" i="1"/>
  <c r="S436" i="1"/>
  <c r="S300" i="1"/>
  <c r="S455" i="1"/>
  <c r="S325" i="1"/>
  <c r="S316" i="1"/>
  <c r="S173" i="1"/>
  <c r="S302" i="1"/>
  <c r="S212" i="1"/>
  <c r="S182" i="1"/>
  <c r="S162" i="1"/>
  <c r="S137" i="1"/>
  <c r="S165" i="1"/>
  <c r="S149" i="1"/>
  <c r="S154" i="1"/>
  <c r="S147" i="1"/>
  <c r="S103" i="1"/>
  <c r="S211" i="1"/>
  <c r="S193" i="1"/>
  <c r="S101" i="1"/>
  <c r="S240" i="1"/>
  <c r="S26" i="1"/>
  <c r="S442" i="1"/>
  <c r="S219" i="1"/>
  <c r="S133" i="1"/>
  <c r="S134" i="1"/>
  <c r="S437" i="1"/>
  <c r="S537" i="1"/>
  <c r="S68" i="1"/>
  <c r="S547" i="1"/>
  <c r="S33" i="1"/>
  <c r="S237" i="1"/>
  <c r="S132" i="1"/>
  <c r="S100" i="1"/>
  <c r="S181" i="1"/>
  <c r="S346" i="1"/>
  <c r="S246" i="1"/>
  <c r="S320" i="1"/>
  <c r="S439" i="1"/>
  <c r="S159" i="1"/>
  <c r="S291" i="1"/>
  <c r="S201" i="1"/>
  <c r="S202" i="1"/>
  <c r="S209" i="1"/>
  <c r="S152" i="1"/>
  <c r="S106" i="1"/>
  <c r="S148" i="1"/>
  <c r="S226" i="1"/>
  <c r="S255" i="1"/>
  <c r="S89" i="1"/>
  <c r="S192" i="1"/>
  <c r="S85" i="1"/>
  <c r="S435" i="1"/>
  <c r="S87" i="1"/>
  <c r="S234" i="1"/>
  <c r="S171" i="1"/>
  <c r="S239" i="1"/>
  <c r="S142" i="1"/>
  <c r="S215" i="1"/>
  <c r="S78" i="1"/>
  <c r="S527" i="1"/>
  <c r="S172" i="1"/>
  <c r="S140" i="1"/>
  <c r="S158" i="1"/>
  <c r="S66" i="1"/>
  <c r="S125" i="1"/>
  <c r="S112" i="1"/>
  <c r="S230" i="1"/>
  <c r="S197" i="1"/>
  <c r="S161" i="1"/>
  <c r="S119" i="1"/>
  <c r="S218" i="1"/>
  <c r="S431" i="1"/>
  <c r="S430" i="1"/>
  <c r="S187" i="1"/>
  <c r="S429" i="1"/>
  <c r="S220" i="1"/>
  <c r="S70" i="1"/>
  <c r="S151" i="1"/>
  <c r="S541" i="1"/>
  <c r="S225" i="1"/>
  <c r="S169" i="1"/>
  <c r="S155" i="1"/>
  <c r="S438" i="1"/>
  <c r="S564" i="1"/>
  <c r="S427" i="1"/>
  <c r="S423" i="1"/>
  <c r="S116" i="1"/>
  <c r="S121" i="1"/>
  <c r="S393" i="1"/>
  <c r="S81" i="1"/>
  <c r="S238" i="1"/>
  <c r="S84" i="1"/>
  <c r="S129" i="1"/>
  <c r="S295" i="1"/>
  <c r="S72" i="1"/>
  <c r="S397" i="1"/>
  <c r="S18" i="1"/>
  <c r="S150" i="1"/>
  <c r="S395" i="1"/>
  <c r="S98" i="1"/>
  <c r="S56" i="1"/>
  <c r="S99" i="1"/>
  <c r="S75" i="1"/>
  <c r="S45" i="1"/>
  <c r="S396" i="1"/>
  <c r="S62" i="1"/>
  <c r="S104" i="1"/>
  <c r="S95" i="1"/>
  <c r="S71" i="1"/>
  <c r="S126" i="1"/>
  <c r="S139" i="1"/>
  <c r="S105" i="1"/>
  <c r="S55" i="1"/>
  <c r="S57" i="1"/>
  <c r="S208" i="1"/>
  <c r="S200" i="1"/>
  <c r="S110" i="1"/>
  <c r="S109" i="1"/>
  <c r="S117" i="1"/>
  <c r="S420" i="1"/>
  <c r="S344" i="1"/>
  <c r="S306" i="1"/>
  <c r="S82" i="1"/>
  <c r="S92" i="1"/>
  <c r="S91" i="1"/>
  <c r="S39" i="1"/>
  <c r="S29" i="1"/>
  <c r="S74" i="1"/>
  <c r="S419" i="1"/>
  <c r="S96" i="1"/>
  <c r="S153" i="1"/>
  <c r="S177" i="1"/>
  <c r="S186" i="1"/>
  <c r="S60" i="1"/>
  <c r="S61" i="1"/>
  <c r="S79" i="1"/>
  <c r="S67" i="1"/>
  <c r="S41" i="1"/>
  <c r="S13" i="1"/>
  <c r="S11" i="1"/>
  <c r="S69" i="1"/>
  <c r="S80" i="1"/>
  <c r="S113" i="1"/>
  <c r="S425" i="1"/>
  <c r="T425" i="1" s="1"/>
  <c r="S43" i="1"/>
  <c r="S88" i="1"/>
  <c r="S221" i="1"/>
  <c r="S236" i="1"/>
  <c r="S54" i="1"/>
  <c r="S418" i="1"/>
  <c r="S22" i="1"/>
  <c r="S25" i="1"/>
  <c r="S21" i="1"/>
  <c r="S34" i="1"/>
  <c r="S32" i="1"/>
  <c r="S50" i="1"/>
  <c r="S52" i="1"/>
  <c r="S77" i="1"/>
  <c r="S122" i="1"/>
  <c r="S14" i="1"/>
  <c r="S97" i="1"/>
  <c r="S37" i="1"/>
  <c r="S38" i="1"/>
  <c r="S24" i="1"/>
  <c r="S17" i="1"/>
  <c r="S8" i="1"/>
  <c r="S5" i="1"/>
  <c r="S4" i="1"/>
  <c r="S16" i="1"/>
  <c r="S3" i="1"/>
  <c r="S40" i="1"/>
  <c r="S10" i="1"/>
  <c r="S20" i="1"/>
  <c r="S9" i="1"/>
  <c r="S568" i="1"/>
  <c r="S164" i="1"/>
  <c r="U454" i="1"/>
  <c r="U190" i="1"/>
  <c r="U310" i="1"/>
  <c r="U289" i="1"/>
  <c r="U178" i="1"/>
  <c r="U279" i="1"/>
  <c r="U217" i="1"/>
  <c r="U185" i="1"/>
  <c r="U216" i="1"/>
  <c r="U259" i="1"/>
  <c r="U145" i="1"/>
  <c r="U449" i="1"/>
  <c r="U433" i="1"/>
  <c r="U241" i="1"/>
  <c r="S275" i="1"/>
  <c r="U118" i="1"/>
  <c r="U444" i="1"/>
  <c r="U205" i="1"/>
  <c r="U288" i="1"/>
  <c r="V425" i="1"/>
  <c r="R425" i="1"/>
  <c r="U523" i="1"/>
  <c r="U257" i="1"/>
  <c r="U6" i="1"/>
  <c r="U138" i="1"/>
  <c r="U167" i="1"/>
  <c r="S241" i="1" l="1"/>
  <c r="S433" i="1"/>
  <c r="S145" i="1"/>
  <c r="S6" i="1"/>
  <c r="S259" i="1"/>
  <c r="S216" i="1"/>
  <c r="S185" i="1"/>
  <c r="S167" i="1"/>
  <c r="S138" i="1"/>
  <c r="S178" i="1"/>
  <c r="S205" i="1"/>
  <c r="S310" i="1"/>
  <c r="S279" i="1"/>
  <c r="S288" i="1"/>
  <c r="S449" i="1"/>
  <c r="S257" i="1"/>
  <c r="S523" i="1"/>
  <c r="S217" i="1"/>
  <c r="S289" i="1"/>
  <c r="S444" i="1"/>
  <c r="S118" i="1"/>
  <c r="S190" i="1"/>
  <c r="S454" i="1"/>
  <c r="U183" i="1"/>
  <c r="U337" i="1"/>
  <c r="U380" i="1"/>
  <c r="U355" i="1"/>
  <c r="U515" i="1"/>
  <c r="U502" i="1"/>
  <c r="U361" i="1"/>
  <c r="U493" i="1"/>
  <c r="U222" i="1"/>
  <c r="U272" i="1"/>
  <c r="U214" i="1"/>
  <c r="U135" i="1"/>
  <c r="U464" i="1"/>
  <c r="U207" i="1"/>
  <c r="U399" i="1"/>
  <c r="U463" i="1"/>
  <c r="U280" i="1"/>
  <c r="U398" i="1"/>
  <c r="U196" i="1"/>
  <c r="U274" i="1"/>
  <c r="S131" i="1"/>
  <c r="U534" i="1"/>
  <c r="U141" i="1"/>
  <c r="U107" i="1"/>
  <c r="U184" i="1"/>
  <c r="U314" i="1"/>
  <c r="S170" i="1"/>
  <c r="U47" i="1"/>
  <c r="S124" i="1"/>
  <c r="S422" i="1"/>
  <c r="S115" i="1"/>
  <c r="S76" i="1"/>
  <c r="S144" i="1"/>
  <c r="U35" i="1"/>
  <c r="S136" i="1"/>
  <c r="S114" i="1"/>
  <c r="U63" i="1"/>
  <c r="U93" i="1"/>
  <c r="U318" i="1"/>
  <c r="U410" i="1"/>
  <c r="U273" i="1"/>
  <c r="U180" i="1"/>
  <c r="U120" i="1"/>
  <c r="U311" i="1"/>
  <c r="U298" i="1"/>
  <c r="U229" i="1"/>
  <c r="S156" i="1"/>
  <c r="U394" i="1"/>
  <c r="U421" i="1"/>
  <c r="U65" i="1"/>
  <c r="U372" i="1"/>
  <c r="U518" i="1"/>
  <c r="U536" i="1"/>
  <c r="U301" i="1"/>
  <c r="U19" i="1"/>
  <c r="U27" i="1"/>
  <c r="S493" i="1" l="1"/>
  <c r="S394" i="1"/>
  <c r="S35" i="1"/>
  <c r="S361" i="1"/>
  <c r="S421" i="1"/>
  <c r="S534" i="1"/>
  <c r="S196" i="1"/>
  <c r="S311" i="1"/>
  <c r="S274" i="1"/>
  <c r="S398" i="1"/>
  <c r="S337" i="1"/>
  <c r="S229" i="1"/>
  <c r="S355" i="1"/>
  <c r="S280" i="1"/>
  <c r="S27" i="1"/>
  <c r="S399" i="1"/>
  <c r="S19" i="1"/>
  <c r="S207" i="1"/>
  <c r="S515" i="1"/>
  <c r="S298" i="1"/>
  <c r="S380" i="1"/>
  <c r="S180" i="1"/>
  <c r="S301" i="1"/>
  <c r="S502" i="1"/>
  <c r="S183" i="1"/>
  <c r="S273" i="1"/>
  <c r="S314" i="1"/>
  <c r="S120" i="1"/>
  <c r="S463" i="1"/>
  <c r="S47" i="1"/>
  <c r="S410" i="1"/>
  <c r="S464" i="1"/>
  <c r="S536" i="1"/>
  <c r="S318" i="1"/>
  <c r="S184" i="1"/>
  <c r="S135" i="1"/>
  <c r="S518" i="1"/>
  <c r="S93" i="1"/>
  <c r="S107" i="1"/>
  <c r="S214" i="1"/>
  <c r="S372" i="1"/>
  <c r="S63" i="1"/>
  <c r="S272" i="1"/>
  <c r="S65" i="1"/>
  <c r="S141" i="1"/>
  <c r="S222" i="1"/>
  <c r="U48" i="1"/>
  <c r="U102" i="1"/>
  <c r="U49" i="1"/>
  <c r="S49" i="1" l="1"/>
  <c r="S102" i="1"/>
  <c r="S48" i="1"/>
  <c r="U46" i="1"/>
  <c r="S53" i="1"/>
  <c r="U30" i="1"/>
  <c r="U36" i="1"/>
  <c r="U51" i="1"/>
  <c r="U175" i="1"/>
  <c r="S12" i="1"/>
  <c r="S7" i="1"/>
  <c r="U83" i="1"/>
  <c r="S232" i="1"/>
  <c r="S86" i="1"/>
  <c r="S168" i="1"/>
  <c r="U533" i="1"/>
  <c r="U451" i="1"/>
  <c r="U443" i="1"/>
  <c r="U555" i="1"/>
  <c r="U532" i="1"/>
  <c r="U331" i="1"/>
  <c r="U283" i="1"/>
  <c r="U94" i="1"/>
  <c r="U546" i="1"/>
  <c r="U166" i="1"/>
  <c r="U560" i="1"/>
  <c r="S292" i="1"/>
  <c r="U550" i="1"/>
  <c r="U448" i="1"/>
  <c r="U544" i="1"/>
  <c r="U335" i="1"/>
  <c r="T569" i="1"/>
  <c r="U556" i="1"/>
  <c r="U267" i="1"/>
  <c r="U336" i="1"/>
  <c r="U538" i="1"/>
  <c r="T291" i="1"/>
  <c r="U549" i="1"/>
  <c r="U400" i="1"/>
  <c r="U563" i="1"/>
  <c r="U529" i="1"/>
  <c r="U528" i="1"/>
  <c r="U315" i="1"/>
  <c r="U485" i="1"/>
  <c r="U526" i="1"/>
  <c r="T551" i="1"/>
  <c r="U262" i="1"/>
  <c r="U561" i="1"/>
  <c r="U505" i="1"/>
  <c r="U531" i="1"/>
  <c r="U130" i="1"/>
  <c r="T567" i="1"/>
  <c r="T552" i="1"/>
  <c r="U540" i="1"/>
  <c r="U512" i="1"/>
  <c r="U371" i="1"/>
  <c r="U542" i="1"/>
  <c r="U364" i="1"/>
  <c r="U543" i="1"/>
  <c r="U338" i="1"/>
  <c r="T382" i="1"/>
  <c r="R568" i="1"/>
  <c r="R9" i="1"/>
  <c r="R3" i="1"/>
  <c r="R4" i="1"/>
  <c r="R7" i="1"/>
  <c r="R5" i="1"/>
  <c r="R12" i="1"/>
  <c r="R40" i="1"/>
  <c r="R16" i="1"/>
  <c r="R10" i="1"/>
  <c r="R20" i="1"/>
  <c r="R8" i="1"/>
  <c r="R175" i="1"/>
  <c r="R51" i="1"/>
  <c r="R36" i="1"/>
  <c r="R30" i="1"/>
  <c r="R38" i="1"/>
  <c r="R53" i="1"/>
  <c r="R97" i="1"/>
  <c r="R46" i="1"/>
  <c r="R49" i="1"/>
  <c r="R14" i="1"/>
  <c r="R93" i="1"/>
  <c r="R102" i="1"/>
  <c r="R122" i="1"/>
  <c r="R48" i="1"/>
  <c r="R32" i="1"/>
  <c r="R27" i="1"/>
  <c r="R19" i="1"/>
  <c r="R21" i="1"/>
  <c r="R77" i="1"/>
  <c r="R54" i="1"/>
  <c r="R63" i="1"/>
  <c r="R221" i="1"/>
  <c r="R114" i="1"/>
  <c r="R43" i="1"/>
  <c r="R80" i="1"/>
  <c r="R69" i="1"/>
  <c r="R88" i="1"/>
  <c r="R111" i="1"/>
  <c r="R50" i="1"/>
  <c r="R13" i="1"/>
  <c r="R52" i="1"/>
  <c r="R136" i="1"/>
  <c r="R67" i="1"/>
  <c r="R167" i="1"/>
  <c r="R138" i="1"/>
  <c r="R34" i="1"/>
  <c r="R25" i="1"/>
  <c r="R60" i="1"/>
  <c r="R41" i="1"/>
  <c r="R186" i="1"/>
  <c r="R419" i="1"/>
  <c r="R11" i="1"/>
  <c r="R39" i="1"/>
  <c r="R91" i="1"/>
  <c r="R153" i="1"/>
  <c r="R29" i="1"/>
  <c r="R113" i="1"/>
  <c r="R22" i="1"/>
  <c r="R79" i="1"/>
  <c r="R37" i="1"/>
  <c r="R82" i="1"/>
  <c r="R306" i="1"/>
  <c r="R344" i="1"/>
  <c r="R420" i="1"/>
  <c r="R35" i="1"/>
  <c r="R208" i="1"/>
  <c r="R55" i="1"/>
  <c r="R200" i="1"/>
  <c r="R61" i="1"/>
  <c r="R105" i="1"/>
  <c r="R144" i="1"/>
  <c r="R76" i="1"/>
  <c r="R6" i="1"/>
  <c r="R126" i="1"/>
  <c r="R139" i="1"/>
  <c r="R95" i="1"/>
  <c r="R115" i="1"/>
  <c r="R422" i="1"/>
  <c r="R45" i="1"/>
  <c r="R117" i="1"/>
  <c r="R65" i="1"/>
  <c r="R74" i="1"/>
  <c r="R156" i="1"/>
  <c r="R56" i="1"/>
  <c r="R17" i="1"/>
  <c r="R18" i="1"/>
  <c r="R124" i="1"/>
  <c r="R92" i="1"/>
  <c r="R129" i="1"/>
  <c r="R84" i="1"/>
  <c r="R57" i="1"/>
  <c r="R81" i="1"/>
  <c r="R72" i="1"/>
  <c r="R121" i="1"/>
  <c r="R24" i="1"/>
  <c r="R47" i="1"/>
  <c r="R99" i="1"/>
  <c r="R170" i="1"/>
  <c r="R116" i="1"/>
  <c r="R423" i="1"/>
  <c r="R427" i="1"/>
  <c r="R150" i="1"/>
  <c r="R564" i="1"/>
  <c r="R394" i="1"/>
  <c r="R169" i="1"/>
  <c r="R225" i="1"/>
  <c r="R151" i="1"/>
  <c r="R229" i="1"/>
  <c r="R220" i="1"/>
  <c r="R295" i="1"/>
  <c r="R429" i="1"/>
  <c r="R187" i="1"/>
  <c r="R430" i="1"/>
  <c r="R431" i="1"/>
  <c r="R119" i="1"/>
  <c r="R395" i="1"/>
  <c r="R421" i="1"/>
  <c r="R218" i="1"/>
  <c r="R112" i="1"/>
  <c r="R125" i="1"/>
  <c r="R109" i="1"/>
  <c r="R110" i="1"/>
  <c r="R158" i="1"/>
  <c r="R172" i="1"/>
  <c r="R215" i="1"/>
  <c r="R314" i="1"/>
  <c r="R177" i="1"/>
  <c r="R66" i="1"/>
  <c r="R87" i="1"/>
  <c r="R239" i="1"/>
  <c r="R435" i="1"/>
  <c r="R85" i="1"/>
  <c r="R184" i="1"/>
  <c r="R226" i="1"/>
  <c r="R152" i="1"/>
  <c r="R298" i="1"/>
  <c r="R438" i="1"/>
  <c r="R439" i="1"/>
  <c r="R70" i="1"/>
  <c r="R346" i="1"/>
  <c r="R311" i="1"/>
  <c r="R155" i="1"/>
  <c r="R132" i="1"/>
  <c r="R396" i="1"/>
  <c r="R107" i="1"/>
  <c r="R148" i="1"/>
  <c r="R537" i="1"/>
  <c r="R437" i="1"/>
  <c r="R142" i="1"/>
  <c r="R134" i="1"/>
  <c r="R133" i="1"/>
  <c r="R219" i="1"/>
  <c r="R442" i="1"/>
  <c r="R89" i="1"/>
  <c r="R237" i="1"/>
  <c r="R288" i="1"/>
  <c r="R205" i="1"/>
  <c r="R444" i="1"/>
  <c r="R118" i="1"/>
  <c r="R141" i="1"/>
  <c r="R534" i="1"/>
  <c r="R275" i="1"/>
  <c r="R241" i="1"/>
  <c r="R433" i="1"/>
  <c r="R449" i="1"/>
  <c r="R162" i="1"/>
  <c r="R181" i="1"/>
  <c r="R145" i="1"/>
  <c r="R131" i="1"/>
  <c r="R259" i="1"/>
  <c r="R216" i="1"/>
  <c r="R185" i="1"/>
  <c r="R217" i="1"/>
  <c r="R397" i="1"/>
  <c r="R279" i="1"/>
  <c r="R178" i="1"/>
  <c r="R78" i="1"/>
  <c r="R302" i="1"/>
  <c r="R289" i="1"/>
  <c r="R246" i="1"/>
  <c r="R120" i="1"/>
  <c r="R310" i="1"/>
  <c r="R190" i="1"/>
  <c r="R454" i="1"/>
  <c r="R197" i="1"/>
  <c r="R192" i="1"/>
  <c r="R101" i="1"/>
  <c r="R274" i="1"/>
  <c r="R325" i="1"/>
  <c r="R161" i="1"/>
  <c r="R455" i="1"/>
  <c r="R300" i="1"/>
  <c r="R436" i="1"/>
  <c r="R319" i="1"/>
  <c r="R212" i="1"/>
  <c r="R196" i="1"/>
  <c r="R260" i="1"/>
  <c r="R147" i="1"/>
  <c r="R231" i="1"/>
  <c r="R367" i="1"/>
  <c r="R154" i="1"/>
  <c r="R258" i="1"/>
  <c r="R157" i="1"/>
  <c r="R149" i="1"/>
  <c r="R165" i="1"/>
  <c r="R273" i="1"/>
  <c r="R100" i="1"/>
  <c r="R398" i="1"/>
  <c r="R96" i="1"/>
  <c r="R447" i="1"/>
  <c r="R137" i="1"/>
  <c r="R316" i="1"/>
  <c r="R309" i="1"/>
  <c r="R280" i="1"/>
  <c r="R463" i="1"/>
  <c r="R399" i="1"/>
  <c r="R207" i="1"/>
  <c r="R464" i="1"/>
  <c r="R282" i="1"/>
  <c r="R392" i="1"/>
  <c r="R230" i="1"/>
  <c r="R135" i="1"/>
  <c r="R263" i="1"/>
  <c r="R26" i="1"/>
  <c r="R286" i="1"/>
  <c r="R199" i="1"/>
  <c r="R287" i="1"/>
  <c r="R268" i="1"/>
  <c r="R345" i="1"/>
  <c r="R468" i="1"/>
  <c r="R250" i="1"/>
  <c r="R164" i="1"/>
  <c r="R180" i="1"/>
  <c r="R214" i="1"/>
  <c r="R242" i="1"/>
  <c r="R272" i="1"/>
  <c r="R469" i="1"/>
  <c r="R470" i="1"/>
  <c r="R293" i="1"/>
  <c r="R173" i="1"/>
  <c r="R410" i="1"/>
  <c r="R299" i="1"/>
  <c r="R471" i="1"/>
  <c r="R472" i="1"/>
  <c r="R68" i="1"/>
  <c r="R320" i="1"/>
  <c r="R296" i="1"/>
  <c r="R350" i="1"/>
  <c r="R473" i="1"/>
  <c r="R305" i="1"/>
  <c r="R264" i="1"/>
  <c r="R285" i="1"/>
  <c r="R313" i="1"/>
  <c r="R277" i="1"/>
  <c r="R476" i="1"/>
  <c r="R477" i="1"/>
  <c r="R103" i="1"/>
  <c r="R235" i="1"/>
  <c r="R266" i="1"/>
  <c r="R318" i="1"/>
  <c r="R290" i="1"/>
  <c r="R366" i="1"/>
  <c r="R334" i="1"/>
  <c r="R193" i="1"/>
  <c r="R284" i="1"/>
  <c r="R321" i="1"/>
  <c r="R379" i="1"/>
  <c r="R378" i="1"/>
  <c r="R481" i="1"/>
  <c r="R482" i="1"/>
  <c r="R326" i="1"/>
  <c r="R303" i="1"/>
  <c r="R308" i="1"/>
  <c r="R525" i="1"/>
  <c r="R370" i="1"/>
  <c r="R360" i="1"/>
  <c r="R383" i="1"/>
  <c r="R324" i="1"/>
  <c r="R487" i="1"/>
  <c r="R353" i="1"/>
  <c r="R256" i="1"/>
  <c r="R271" i="1"/>
  <c r="R342" i="1"/>
  <c r="R222" i="1"/>
  <c r="R341" i="1"/>
  <c r="R493" i="1"/>
  <c r="R349" i="1"/>
  <c r="R140" i="1"/>
  <c r="R351" i="1"/>
  <c r="R361" i="1"/>
  <c r="R323" i="1"/>
  <c r="R210" i="1"/>
  <c r="R352" i="1"/>
  <c r="R416" i="1"/>
  <c r="R356" i="1"/>
  <c r="R388" i="1"/>
  <c r="R301" i="1"/>
  <c r="R502" i="1"/>
  <c r="R375" i="1"/>
  <c r="R372" i="1"/>
  <c r="R322" i="1"/>
  <c r="R490" i="1"/>
  <c r="R376" i="1"/>
  <c r="R515" i="1"/>
  <c r="R317" i="1"/>
  <c r="R357" i="1"/>
  <c r="R355" i="1"/>
  <c r="R535" i="1"/>
  <c r="R123" i="1"/>
  <c r="R236" i="1"/>
  <c r="R328" i="1"/>
  <c r="R380" i="1"/>
  <c r="R179" i="1"/>
  <c r="R384" i="1"/>
  <c r="R64" i="1"/>
  <c r="R251" i="1"/>
  <c r="R539" i="1"/>
  <c r="R545" i="1"/>
  <c r="R337" i="1"/>
  <c r="R514" i="1"/>
  <c r="R386" i="1"/>
  <c r="R358" i="1"/>
  <c r="R504" i="1"/>
  <c r="R381" i="1"/>
  <c r="R257" i="1"/>
  <c r="R536" i="1"/>
  <c r="R247" i="1"/>
  <c r="R517" i="1"/>
  <c r="R518" i="1"/>
  <c r="R270" i="1"/>
  <c r="R374" i="1"/>
  <c r="R183" i="1"/>
  <c r="R269" i="1"/>
  <c r="R252" i="1"/>
  <c r="R332" i="1"/>
  <c r="R227" i="1"/>
  <c r="R354" i="1"/>
  <c r="R522" i="1"/>
  <c r="R523" i="1"/>
  <c r="R62" i="1"/>
  <c r="R83" i="1"/>
  <c r="R418" i="1"/>
  <c r="R393" i="1"/>
  <c r="R232" i="1"/>
  <c r="R71" i="1"/>
  <c r="R104" i="1"/>
  <c r="R75" i="1"/>
  <c r="R182" i="1"/>
  <c r="R98" i="1"/>
  <c r="R86" i="1"/>
  <c r="R541" i="1"/>
  <c r="R527" i="1"/>
  <c r="R168" i="1"/>
  <c r="R33" i="1"/>
  <c r="R211" i="1"/>
  <c r="R160" i="1"/>
  <c r="R159" i="1"/>
  <c r="R202" i="1"/>
  <c r="R238" i="1"/>
  <c r="R108" i="1"/>
  <c r="R234" i="1"/>
  <c r="R209" i="1"/>
  <c r="R547" i="1"/>
  <c r="R106" i="1"/>
  <c r="R171" i="1"/>
  <c r="R201" i="1"/>
  <c r="R240" i="1"/>
  <c r="R533" i="1"/>
  <c r="R451" i="1"/>
  <c r="R443" i="1"/>
  <c r="R555" i="1"/>
  <c r="R532" i="1"/>
  <c r="R331" i="1"/>
  <c r="R283" i="1"/>
  <c r="R94" i="1"/>
  <c r="R546" i="1"/>
  <c r="R166" i="1"/>
  <c r="R560" i="1"/>
  <c r="R292" i="1"/>
  <c r="R562" i="1"/>
  <c r="R550" i="1"/>
  <c r="R304" i="1"/>
  <c r="R448" i="1"/>
  <c r="R544" i="1"/>
  <c r="R335" i="1"/>
  <c r="R569" i="1"/>
  <c r="R402" i="1"/>
  <c r="R556" i="1"/>
  <c r="R559" i="1"/>
  <c r="R267" i="1"/>
  <c r="R255" i="1"/>
  <c r="R336" i="1"/>
  <c r="R191" i="1"/>
  <c r="R538" i="1"/>
  <c r="R486" i="1"/>
  <c r="R291" i="1"/>
  <c r="R549" i="1"/>
  <c r="R400" i="1"/>
  <c r="R511" i="1"/>
  <c r="R553" i="1"/>
  <c r="R563" i="1"/>
  <c r="R529" i="1"/>
  <c r="R528" i="1"/>
  <c r="R315" i="1"/>
  <c r="R485" i="1"/>
  <c r="R554" i="1"/>
  <c r="R526" i="1"/>
  <c r="R551" i="1"/>
  <c r="R262" i="1"/>
  <c r="R557" i="1"/>
  <c r="R561" i="1"/>
  <c r="R505" i="1"/>
  <c r="R565" i="1"/>
  <c r="R531" i="1"/>
  <c r="R130" i="1"/>
  <c r="R567" i="1"/>
  <c r="R552" i="1"/>
  <c r="R540" i="1"/>
  <c r="R566" i="1"/>
  <c r="R512" i="1"/>
  <c r="R558" i="1"/>
  <c r="R371" i="1"/>
  <c r="R542" i="1"/>
  <c r="R364" i="1"/>
  <c r="R543" i="1"/>
  <c r="R338" i="1"/>
  <c r="R548" i="1"/>
  <c r="R382" i="1"/>
  <c r="R391" i="1"/>
  <c r="R2" i="1"/>
  <c r="S2" i="1" s="1"/>
  <c r="S400" i="1" l="1"/>
  <c r="T400" i="1" s="1"/>
  <c r="S549" i="1"/>
  <c r="T549" i="1" s="1"/>
  <c r="S175" i="1"/>
  <c r="S531" i="1"/>
  <c r="T531" i="1" s="1"/>
  <c r="S538" i="1"/>
  <c r="T538" i="1" s="1"/>
  <c r="S51" i="1"/>
  <c r="S505" i="1"/>
  <c r="T505" i="1" s="1"/>
  <c r="S331" i="1"/>
  <c r="T331" i="1" s="1"/>
  <c r="S36" i="1"/>
  <c r="S561" i="1"/>
  <c r="T561" i="1" s="1"/>
  <c r="S267" i="1"/>
  <c r="T267" i="1" s="1"/>
  <c r="S532" i="1"/>
  <c r="T532" i="1" s="1"/>
  <c r="S30" i="1"/>
  <c r="S556" i="1"/>
  <c r="T556" i="1" s="1"/>
  <c r="S555" i="1"/>
  <c r="T555" i="1" s="1"/>
  <c r="S338" i="1"/>
  <c r="T338" i="1" s="1"/>
  <c r="S443" i="1"/>
  <c r="T443" i="1" s="1"/>
  <c r="S46" i="1"/>
  <c r="S544" i="1"/>
  <c r="T544" i="1" s="1"/>
  <c r="S533" i="1"/>
  <c r="T533" i="1" s="1"/>
  <c r="S130" i="1"/>
  <c r="T130" i="1" s="1"/>
  <c r="S542" i="1"/>
  <c r="T542" i="1" s="1"/>
  <c r="S371" i="1"/>
  <c r="T371" i="1" s="1"/>
  <c r="S528" i="1"/>
  <c r="T528" i="1" s="1"/>
  <c r="S550" i="1"/>
  <c r="T550" i="1" s="1"/>
  <c r="S512" i="1"/>
  <c r="T512" i="1" s="1"/>
  <c r="S529" i="1"/>
  <c r="T529" i="1" s="1"/>
  <c r="S94" i="1"/>
  <c r="T94" i="1" s="1"/>
  <c r="S540" i="1"/>
  <c r="T540" i="1" s="1"/>
  <c r="S560" i="1"/>
  <c r="T560" i="1" s="1"/>
  <c r="S83" i="1"/>
  <c r="S563" i="1"/>
  <c r="T563" i="1" s="1"/>
  <c r="S262" i="1"/>
  <c r="T262" i="1" s="1"/>
  <c r="S553" i="1"/>
  <c r="T553" i="1" s="1"/>
  <c r="S166" i="1"/>
  <c r="T166" i="1" s="1"/>
  <c r="S451" i="1"/>
  <c r="T451" i="1" s="1"/>
  <c r="S546" i="1"/>
  <c r="T546" i="1" s="1"/>
  <c r="S526" i="1"/>
  <c r="T526" i="1" s="1"/>
  <c r="S335" i="1"/>
  <c r="T335" i="1" s="1"/>
  <c r="S485" i="1"/>
  <c r="T485" i="1" s="1"/>
  <c r="S283" i="1"/>
  <c r="T283" i="1" s="1"/>
  <c r="S336" i="1"/>
  <c r="T336" i="1" s="1"/>
  <c r="S543" i="1"/>
  <c r="T543" i="1" s="1"/>
  <c r="S315" i="1"/>
  <c r="T315" i="1" s="1"/>
  <c r="S448" i="1"/>
  <c r="T448" i="1" s="1"/>
  <c r="S364" i="1"/>
  <c r="T364" i="1" s="1"/>
  <c r="S191" i="1"/>
  <c r="T191" i="1" s="1"/>
  <c r="V569" i="1"/>
  <c r="V166" i="1"/>
  <c r="V291" i="1"/>
  <c r="V451" i="1"/>
  <c r="V552" i="1"/>
  <c r="V563" i="1"/>
  <c r="V262" i="1"/>
  <c r="V191" i="1"/>
  <c r="V335" i="1"/>
  <c r="V567" i="1"/>
  <c r="V315" i="1"/>
  <c r="V382" i="1"/>
  <c r="V543" i="1"/>
  <c r="V544" i="1"/>
  <c r="V533" i="1"/>
  <c r="V551" i="1"/>
  <c r="V371" i="1"/>
  <c r="V554" i="1"/>
  <c r="T554" i="1"/>
  <c r="V304" i="1"/>
  <c r="T304" i="1"/>
  <c r="V526" i="1"/>
  <c r="V485" i="1"/>
  <c r="V448" i="1"/>
  <c r="V512" i="1"/>
  <c r="V505" i="1"/>
  <c r="V556" i="1"/>
  <c r="V562" i="1"/>
  <c r="T562" i="1"/>
  <c r="V532" i="1"/>
  <c r="V106" i="1"/>
  <c r="T106" i="1"/>
  <c r="V511" i="1"/>
  <c r="T511" i="1"/>
  <c r="V255" i="1"/>
  <c r="T255" i="1"/>
  <c r="V94" i="1"/>
  <c r="V240" i="1"/>
  <c r="T240" i="1"/>
  <c r="V531" i="1"/>
  <c r="V201" i="1"/>
  <c r="T201" i="1"/>
  <c r="V548" i="1"/>
  <c r="T548" i="1"/>
  <c r="V566" i="1"/>
  <c r="T566" i="1"/>
  <c r="V561" i="1"/>
  <c r="V528" i="1"/>
  <c r="V486" i="1"/>
  <c r="T486" i="1"/>
  <c r="V402" i="1"/>
  <c r="T402" i="1"/>
  <c r="V292" i="1"/>
  <c r="T292" i="1"/>
  <c r="V555" i="1"/>
  <c r="V547" i="1"/>
  <c r="T547" i="1"/>
  <c r="V542" i="1"/>
  <c r="V130" i="1"/>
  <c r="V267" i="1"/>
  <c r="V558" i="1"/>
  <c r="T558" i="1"/>
  <c r="V565" i="1"/>
  <c r="T565" i="1"/>
  <c r="V549" i="1"/>
  <c r="V550" i="1"/>
  <c r="V364" i="1"/>
  <c r="V546" i="1"/>
  <c r="V338" i="1"/>
  <c r="V540" i="1"/>
  <c r="V557" i="1"/>
  <c r="T557" i="1"/>
  <c r="V529" i="1"/>
  <c r="V538" i="1"/>
  <c r="V560" i="1"/>
  <c r="V443" i="1"/>
  <c r="V336" i="1"/>
  <c r="V400" i="1"/>
  <c r="V391" i="1"/>
  <c r="T391" i="1"/>
  <c r="V559" i="1"/>
  <c r="T559" i="1"/>
  <c r="V331" i="1"/>
  <c r="V171" i="1"/>
  <c r="T171" i="1"/>
  <c r="V553" i="1"/>
  <c r="V283" i="1"/>
  <c r="V62" i="1"/>
  <c r="V209" i="1" l="1"/>
  <c r="T209" i="1"/>
  <c r="V33" i="1"/>
  <c r="T33" i="1"/>
  <c r="V104" i="1"/>
  <c r="T104" i="1"/>
  <c r="V234" i="1"/>
  <c r="T234" i="1"/>
  <c r="V168" i="1"/>
  <c r="T168" i="1"/>
  <c r="V71" i="1"/>
  <c r="T71" i="1"/>
  <c r="V108" i="1"/>
  <c r="T108" i="1"/>
  <c r="V527" i="1"/>
  <c r="T527" i="1"/>
  <c r="V232" i="1"/>
  <c r="T232" i="1"/>
  <c r="T62" i="1"/>
  <c r="V182" i="1"/>
  <c r="T182" i="1"/>
  <c r="V238" i="1"/>
  <c r="T238" i="1"/>
  <c r="V541" i="1"/>
  <c r="T541" i="1"/>
  <c r="V393" i="1"/>
  <c r="T393" i="1"/>
  <c r="V160" i="1"/>
  <c r="T160" i="1"/>
  <c r="V202" i="1"/>
  <c r="T202" i="1"/>
  <c r="V86" i="1"/>
  <c r="T86" i="1"/>
  <c r="V418" i="1"/>
  <c r="T418" i="1"/>
  <c r="V159" i="1"/>
  <c r="T159" i="1"/>
  <c r="V98" i="1"/>
  <c r="T98" i="1"/>
  <c r="V83" i="1"/>
  <c r="T83" i="1"/>
  <c r="V568" i="1"/>
  <c r="T568" i="1"/>
  <c r="V211" i="1"/>
  <c r="T211" i="1"/>
  <c r="V75" i="1"/>
  <c r="T75" i="1"/>
  <c r="T99" i="2" l="1"/>
  <c r="T7" i="2"/>
  <c r="T39" i="2"/>
  <c r="T41" i="2"/>
  <c r="T104" i="2"/>
  <c r="T114" i="2"/>
  <c r="T85" i="2"/>
  <c r="T70" i="2"/>
  <c r="T44" i="2"/>
  <c r="T87" i="2"/>
  <c r="T21" i="2"/>
  <c r="T76" i="2"/>
  <c r="T69" i="2"/>
  <c r="T22" i="2"/>
  <c r="T16" i="2"/>
  <c r="T117" i="2"/>
  <c r="T46" i="2"/>
  <c r="T25" i="2"/>
  <c r="T5" i="2"/>
  <c r="T95" i="2"/>
  <c r="T15" i="2"/>
  <c r="T40" i="2"/>
  <c r="T128" i="2"/>
  <c r="T20" i="2"/>
  <c r="T51" i="2"/>
  <c r="T50" i="2"/>
  <c r="T10" i="2"/>
  <c r="T92" i="2"/>
  <c r="T68" i="2"/>
  <c r="T57" i="2"/>
  <c r="T102" i="2"/>
  <c r="T54" i="2"/>
  <c r="T86" i="2"/>
  <c r="T27" i="2"/>
  <c r="T80" i="2"/>
  <c r="T26" i="2"/>
  <c r="T93" i="2"/>
  <c r="T18" i="2"/>
  <c r="T38" i="2"/>
  <c r="T79" i="2"/>
  <c r="T24" i="2"/>
  <c r="T30" i="2"/>
  <c r="T110" i="2"/>
  <c r="T34" i="2"/>
  <c r="T62" i="2"/>
  <c r="T108" i="2"/>
  <c r="T113" i="2"/>
  <c r="T9" i="2"/>
  <c r="T11" i="2"/>
  <c r="T42" i="2"/>
  <c r="T47" i="2"/>
  <c r="T17" i="2"/>
  <c r="T94" i="2"/>
  <c r="T89" i="2"/>
  <c r="T56" i="2"/>
  <c r="T35" i="2"/>
  <c r="T61" i="2"/>
  <c r="T106" i="2"/>
  <c r="T4" i="2"/>
  <c r="T125" i="2"/>
  <c r="T14" i="2"/>
  <c r="T105" i="2"/>
  <c r="T31" i="2"/>
  <c r="T98" i="2"/>
  <c r="T120" i="2"/>
  <c r="T32" i="2"/>
  <c r="T107" i="2"/>
  <c r="T28" i="2"/>
  <c r="T23" i="2"/>
  <c r="T65" i="2"/>
  <c r="T83" i="2"/>
  <c r="T119" i="2"/>
  <c r="T74" i="2"/>
  <c r="T45" i="2"/>
  <c r="T33" i="2"/>
  <c r="T63" i="2"/>
  <c r="T67" i="2"/>
  <c r="T97" i="2"/>
  <c r="T3" i="2"/>
  <c r="T66" i="2"/>
  <c r="T8" i="2"/>
  <c r="T75" i="2"/>
  <c r="T100" i="2"/>
  <c r="T118" i="2"/>
  <c r="T49" i="2"/>
  <c r="T52" i="2"/>
  <c r="T111" i="2"/>
  <c r="T29" i="2"/>
  <c r="T109" i="2"/>
  <c r="T6" i="2"/>
  <c r="T77" i="2"/>
  <c r="T78" i="2"/>
  <c r="T112" i="2"/>
  <c r="T90" i="2"/>
  <c r="T43" i="2"/>
  <c r="T88" i="2"/>
  <c r="T36" i="2"/>
  <c r="T64" i="2"/>
  <c r="T55" i="2"/>
  <c r="T127" i="2"/>
  <c r="T122" i="2"/>
  <c r="T91" i="2"/>
  <c r="T84" i="2"/>
  <c r="T37" i="2"/>
  <c r="T72" i="2"/>
  <c r="T19" i="2"/>
  <c r="T101" i="2"/>
  <c r="T82" i="2"/>
  <c r="T73" i="2"/>
  <c r="T48" i="2"/>
  <c r="V260" i="1"/>
  <c r="T260" i="1"/>
  <c r="V320" i="1"/>
  <c r="T320" i="1"/>
  <c r="V67" i="1"/>
  <c r="T67" i="1"/>
  <c r="V259" i="1"/>
  <c r="T259" i="1"/>
  <c r="V109" i="1"/>
  <c r="T109" i="1"/>
  <c r="V366" i="1"/>
  <c r="T366" i="1"/>
  <c r="V37" i="1"/>
  <c r="T37" i="1"/>
  <c r="V438" i="1"/>
  <c r="T438" i="1"/>
  <c r="V525" i="1"/>
  <c r="T525" i="1"/>
  <c r="V296" i="1"/>
  <c r="T296" i="1"/>
  <c r="V173" i="1"/>
  <c r="T173" i="1"/>
  <c r="V187" i="1"/>
  <c r="T187" i="1"/>
  <c r="V313" i="1"/>
  <c r="T313" i="1"/>
  <c r="V60" i="1"/>
  <c r="T60" i="1"/>
  <c r="V80" i="1"/>
  <c r="T80" i="1"/>
  <c r="V341" i="1"/>
  <c r="T341" i="1"/>
  <c r="V523" i="1"/>
  <c r="T523" i="1"/>
  <c r="V230" i="1"/>
  <c r="T230" i="1"/>
  <c r="V218" i="1"/>
  <c r="T218" i="1"/>
  <c r="V321" i="1"/>
  <c r="T321" i="1"/>
  <c r="V302" i="1"/>
  <c r="T302" i="1"/>
  <c r="V14" i="1"/>
  <c r="T14" i="1"/>
  <c r="V49" i="1"/>
  <c r="T49" i="1"/>
  <c r="V277" i="1"/>
  <c r="T277" i="1"/>
  <c r="V332" i="1"/>
  <c r="T332" i="1"/>
  <c r="V55" i="1"/>
  <c r="T55" i="1"/>
  <c r="V162" i="1"/>
  <c r="T162" i="1"/>
  <c r="V69" i="1"/>
  <c r="T69" i="1"/>
  <c r="V92" i="1"/>
  <c r="T92" i="1"/>
  <c r="V29" i="1"/>
  <c r="T29" i="1"/>
  <c r="V564" i="1"/>
  <c r="T564" i="1"/>
  <c r="V56" i="1"/>
  <c r="T56" i="1"/>
  <c r="V180" i="1"/>
  <c r="T180" i="1"/>
  <c r="V185" i="1"/>
  <c r="T185" i="1"/>
  <c r="V318" i="1"/>
  <c r="T318" i="1"/>
  <c r="V212" i="1"/>
  <c r="T212" i="1"/>
  <c r="V344" i="1"/>
  <c r="T344" i="1"/>
  <c r="V266" i="1"/>
  <c r="T266" i="1"/>
  <c r="V46" i="1"/>
  <c r="T46" i="1"/>
  <c r="V476" i="1"/>
  <c r="T476" i="1"/>
  <c r="V226" i="1"/>
  <c r="T226" i="1"/>
  <c r="T4" i="1"/>
  <c r="V63" i="1"/>
  <c r="T63" i="1"/>
  <c r="V463" i="1"/>
  <c r="T463" i="1"/>
  <c r="V534" i="1"/>
  <c r="T534" i="1"/>
  <c r="V35" i="1"/>
  <c r="T35" i="1"/>
  <c r="V272" i="1"/>
  <c r="T272" i="1"/>
  <c r="V164" i="1"/>
  <c r="T164" i="1"/>
  <c r="V420" i="1"/>
  <c r="T420" i="1"/>
  <c r="V157" i="1"/>
  <c r="T157" i="1"/>
  <c r="V140" i="1"/>
  <c r="T140" i="1"/>
  <c r="V30" i="1"/>
  <c r="T30" i="1"/>
  <c r="V350" i="1"/>
  <c r="T350" i="1"/>
  <c r="V239" i="1"/>
  <c r="T239" i="1"/>
  <c r="V301" i="1"/>
  <c r="T301" i="1"/>
  <c r="V113" i="1"/>
  <c r="T113" i="1"/>
  <c r="V78" i="1"/>
  <c r="T78" i="1"/>
  <c r="V32" i="1"/>
  <c r="T32" i="1"/>
  <c r="V158" i="1"/>
  <c r="T158" i="1"/>
  <c r="V16" i="1"/>
  <c r="T16" i="1"/>
  <c r="V205" i="1"/>
  <c r="T205" i="1"/>
  <c r="V326" i="1"/>
  <c r="T326" i="1"/>
  <c r="V345" i="1"/>
  <c r="T345" i="1"/>
  <c r="V481" i="1"/>
  <c r="T481" i="1"/>
  <c r="V123" i="1"/>
  <c r="T123" i="1"/>
  <c r="V518" i="1"/>
  <c r="T518" i="1"/>
  <c r="V325" i="1"/>
  <c r="T325" i="1"/>
  <c r="V256" i="1"/>
  <c r="T256" i="1"/>
  <c r="V61" i="1"/>
  <c r="T61" i="1"/>
  <c r="V442" i="1"/>
  <c r="T442" i="1"/>
  <c r="V190" i="1"/>
  <c r="T190" i="1"/>
  <c r="V220" i="1"/>
  <c r="T220" i="1"/>
  <c r="V117" i="1"/>
  <c r="T117" i="1"/>
  <c r="V199" i="1"/>
  <c r="T199" i="1"/>
  <c r="V227" i="1"/>
  <c r="T227" i="1"/>
  <c r="V437" i="1"/>
  <c r="T437" i="1"/>
  <c r="V120" i="1"/>
  <c r="T120" i="1"/>
  <c r="V490" i="1"/>
  <c r="T490" i="1"/>
  <c r="V298" i="1"/>
  <c r="T298" i="1"/>
  <c r="V64" i="1"/>
  <c r="T64" i="1"/>
  <c r="V79" i="1"/>
  <c r="T79" i="1"/>
  <c r="V153" i="1"/>
  <c r="T153" i="1"/>
  <c r="V65" i="1"/>
  <c r="T65" i="1"/>
  <c r="V200" i="1"/>
  <c r="T200" i="1"/>
  <c r="V447" i="1"/>
  <c r="T447" i="1"/>
  <c r="V91" i="1"/>
  <c r="T91" i="1"/>
  <c r="V114" i="1"/>
  <c r="T114" i="1"/>
  <c r="V183" i="1"/>
  <c r="T183" i="1"/>
  <c r="V136" i="1"/>
  <c r="T136" i="1"/>
  <c r="V398" i="1"/>
  <c r="T398" i="1"/>
  <c r="V144" i="1"/>
  <c r="T144" i="1"/>
  <c r="V279" i="1"/>
  <c r="T279" i="1"/>
  <c r="V88" i="1"/>
  <c r="T88" i="1"/>
  <c r="V351" i="1"/>
  <c r="T351" i="1"/>
  <c r="V36" i="1"/>
  <c r="T36" i="1"/>
  <c r="V455" i="1"/>
  <c r="T455" i="1"/>
  <c r="V311" i="1"/>
  <c r="T311" i="1"/>
  <c r="V355" i="1"/>
  <c r="T355" i="1"/>
  <c r="V282" i="1"/>
  <c r="T282" i="1"/>
  <c r="V151" i="1"/>
  <c r="T151" i="1"/>
  <c r="V193" i="1"/>
  <c r="T193" i="1"/>
  <c r="V263" i="1"/>
  <c r="T263" i="1"/>
  <c r="V305" i="1"/>
  <c r="T305" i="1"/>
  <c r="V186" i="1"/>
  <c r="T186" i="1"/>
  <c r="V70" i="1"/>
  <c r="T70" i="1"/>
  <c r="V241" i="1"/>
  <c r="T241" i="1"/>
  <c r="V275" i="1"/>
  <c r="T275" i="1"/>
  <c r="V119" i="1"/>
  <c r="T119" i="1"/>
  <c r="V257" i="1"/>
  <c r="T257" i="1"/>
  <c r="V116" i="1"/>
  <c r="T116" i="1"/>
  <c r="V77" i="1"/>
  <c r="T77" i="1"/>
  <c r="V358" i="1"/>
  <c r="T358" i="1"/>
  <c r="V217" i="1"/>
  <c r="T217" i="1"/>
  <c r="V57" i="1"/>
  <c r="T57" i="1"/>
  <c r="V471" i="1"/>
  <c r="T471" i="1"/>
  <c r="V310" i="1"/>
  <c r="T310" i="1"/>
  <c r="V349" i="1"/>
  <c r="T349" i="1"/>
  <c r="V21" i="1"/>
  <c r="T21" i="1"/>
  <c r="V286" i="1"/>
  <c r="T286" i="1"/>
  <c r="V469" i="1"/>
  <c r="T469" i="1"/>
  <c r="V175" i="1"/>
  <c r="T175" i="1"/>
  <c r="V11" i="1"/>
  <c r="T11" i="1"/>
  <c r="V39" i="1"/>
  <c r="T39" i="1"/>
  <c r="V299" i="1"/>
  <c r="T299" i="1"/>
  <c r="V250" i="1"/>
  <c r="T250" i="1"/>
  <c r="V273" i="1"/>
  <c r="T273" i="1"/>
  <c r="V72" i="1"/>
  <c r="T72" i="1"/>
  <c r="V179" i="1"/>
  <c r="T179" i="1"/>
  <c r="V41" i="1"/>
  <c r="T41" i="1"/>
  <c r="V93" i="1"/>
  <c r="T93" i="1"/>
  <c r="V139" i="1"/>
  <c r="T139" i="1"/>
  <c r="V134" i="1"/>
  <c r="T134" i="1"/>
  <c r="V5" i="1"/>
  <c r="T5" i="1"/>
  <c r="V137" i="1"/>
  <c r="T137" i="1"/>
  <c r="V100" i="1"/>
  <c r="T100" i="1"/>
  <c r="V184" i="1"/>
  <c r="T184" i="1"/>
  <c r="V53" i="1"/>
  <c r="T53" i="1"/>
  <c r="V436" i="1"/>
  <c r="T436" i="1"/>
  <c r="V131" i="1"/>
  <c r="T131" i="1"/>
  <c r="V2" i="1"/>
  <c r="T2" i="1"/>
  <c r="V334" i="1"/>
  <c r="T334" i="1"/>
  <c r="V317" i="1"/>
  <c r="T317" i="1"/>
  <c r="V375" i="1"/>
  <c r="T375" i="1"/>
  <c r="V284" i="1"/>
  <c r="T284" i="1"/>
  <c r="V429" i="1"/>
  <c r="T429" i="1"/>
  <c r="V216" i="1"/>
  <c r="T216" i="1"/>
  <c r="V487" i="1"/>
  <c r="T487" i="1"/>
  <c r="V328" i="1"/>
  <c r="T328" i="1"/>
  <c r="V422" i="1"/>
  <c r="T422" i="1"/>
  <c r="V252" i="1"/>
  <c r="T252" i="1"/>
  <c r="V177" i="1"/>
  <c r="T177" i="1"/>
  <c r="V126" i="1"/>
  <c r="T126" i="1"/>
  <c r="V360" i="1"/>
  <c r="T360" i="1"/>
  <c r="V308" i="1"/>
  <c r="T308" i="1"/>
  <c r="V323" i="1"/>
  <c r="T323" i="1"/>
  <c r="V235" i="1"/>
  <c r="T235" i="1"/>
  <c r="V10" i="1"/>
  <c r="T10" i="1"/>
  <c r="V125" i="1"/>
  <c r="T125" i="1"/>
  <c r="V470" i="1"/>
  <c r="T470" i="1"/>
  <c r="V352" i="1"/>
  <c r="T352" i="1"/>
  <c r="V221" i="1"/>
  <c r="T221" i="1"/>
  <c r="V54" i="1"/>
  <c r="T54" i="1"/>
  <c r="V357" i="1"/>
  <c r="T357" i="1"/>
  <c r="V319" i="1"/>
  <c r="T319" i="1"/>
  <c r="V147" i="1"/>
  <c r="T147" i="1"/>
  <c r="V34" i="1"/>
  <c r="T34" i="1"/>
  <c r="V172" i="1"/>
  <c r="T172" i="1"/>
  <c r="V435" i="1"/>
  <c r="T435" i="1"/>
  <c r="V103" i="1"/>
  <c r="T103" i="1"/>
  <c r="V271" i="1"/>
  <c r="T271" i="1"/>
  <c r="V430" i="1"/>
  <c r="T430" i="1"/>
  <c r="V427" i="1"/>
  <c r="T427" i="1"/>
  <c r="V210" i="1"/>
  <c r="T210" i="1"/>
  <c r="V148" i="1"/>
  <c r="T148" i="1"/>
  <c r="V26" i="1"/>
  <c r="T26" i="1"/>
  <c r="V270" i="1"/>
  <c r="T270" i="1"/>
  <c r="V84" i="1"/>
  <c r="T84" i="1"/>
  <c r="V482" i="1"/>
  <c r="T482" i="1"/>
  <c r="V215" i="1"/>
  <c r="T215" i="1"/>
  <c r="V133" i="1"/>
  <c r="T133" i="1"/>
  <c r="V316" i="1"/>
  <c r="T316" i="1"/>
  <c r="V421" i="1"/>
  <c r="T421" i="1"/>
  <c r="V7" i="1"/>
  <c r="T7" i="1"/>
  <c r="V124" i="1"/>
  <c r="T124" i="1"/>
  <c r="V47" i="1"/>
  <c r="T47" i="1"/>
  <c r="V170" i="1"/>
  <c r="T170" i="1"/>
  <c r="V314" i="1"/>
  <c r="T314" i="1"/>
  <c r="V76" i="1"/>
  <c r="T76" i="1"/>
  <c r="V493" i="1"/>
  <c r="T493" i="1"/>
  <c r="V129" i="1"/>
  <c r="T129" i="1"/>
  <c r="V346" i="1"/>
  <c r="T346" i="1"/>
  <c r="V303" i="1"/>
  <c r="T303" i="1"/>
  <c r="V324" i="1"/>
  <c r="T324" i="1"/>
  <c r="V354" i="1"/>
  <c r="T354" i="1"/>
  <c r="V477" i="1"/>
  <c r="T477" i="1"/>
  <c r="V515" i="1"/>
  <c r="T515" i="1"/>
  <c r="V150" i="1"/>
  <c r="T150" i="1"/>
  <c r="V96" i="1"/>
  <c r="T96" i="1"/>
  <c r="V89" i="1"/>
  <c r="T89" i="1"/>
  <c r="V537" i="1"/>
  <c r="T537" i="1"/>
  <c r="V289" i="1"/>
  <c r="T289" i="1"/>
  <c r="V370" i="1"/>
  <c r="T370" i="1"/>
  <c r="V24" i="1"/>
  <c r="T24" i="1"/>
  <c r="V264" i="1"/>
  <c r="T264" i="1"/>
  <c r="V197" i="1"/>
  <c r="T197" i="1"/>
  <c r="V38" i="1"/>
  <c r="T38" i="1"/>
  <c r="V342" i="1"/>
  <c r="T342" i="1"/>
  <c r="V367" i="1"/>
  <c r="T367" i="1"/>
  <c r="V167" i="1"/>
  <c r="T167" i="1"/>
  <c r="V231" i="1"/>
  <c r="T231" i="1"/>
  <c r="V439" i="1"/>
  <c r="T439" i="1"/>
  <c r="V376" i="1"/>
  <c r="T376" i="1"/>
  <c r="V356" i="1"/>
  <c r="T356" i="1"/>
  <c r="V242" i="1"/>
  <c r="T242" i="1"/>
  <c r="V105" i="1"/>
  <c r="T105" i="1"/>
  <c r="V290" i="1"/>
  <c r="T290" i="1"/>
  <c r="V378" i="1"/>
  <c r="T378" i="1"/>
  <c r="V154" i="1"/>
  <c r="T154" i="1"/>
  <c r="V25" i="1"/>
  <c r="T25" i="1"/>
  <c r="V288" i="1"/>
  <c r="T288" i="1"/>
  <c r="V300" i="1"/>
  <c r="T300" i="1"/>
  <c r="V517" i="1"/>
  <c r="T517" i="1"/>
  <c r="V419" i="1"/>
  <c r="T419" i="1"/>
  <c r="V178" i="1"/>
  <c r="T178" i="1"/>
  <c r="V535" i="1"/>
  <c r="T535" i="1"/>
  <c r="V48" i="1"/>
  <c r="T48" i="1"/>
  <c r="V97" i="1"/>
  <c r="T97" i="1"/>
  <c r="V12" i="1"/>
  <c r="T12" i="1"/>
  <c r="V155" i="1"/>
  <c r="T155" i="1"/>
  <c r="V384" i="1"/>
  <c r="T384" i="1"/>
  <c r="V472" i="1"/>
  <c r="T472" i="1"/>
  <c r="V6" i="1"/>
  <c r="T6" i="1"/>
  <c r="V3" i="1"/>
  <c r="T3" i="1"/>
  <c r="V545" i="1"/>
  <c r="T545" i="1"/>
  <c r="V18" i="1"/>
  <c r="T18" i="1"/>
  <c r="V135" i="1"/>
  <c r="T135" i="1"/>
  <c r="V115" i="1"/>
  <c r="T115" i="1"/>
  <c r="V399" i="1"/>
  <c r="T399" i="1"/>
  <c r="V161" i="1"/>
  <c r="T161" i="1"/>
  <c r="V102" i="1"/>
  <c r="T102" i="1"/>
  <c r="V280" i="1"/>
  <c r="T280" i="1"/>
  <c r="V397" i="1"/>
  <c r="T397" i="1"/>
  <c r="V40" i="1"/>
  <c r="T40" i="1"/>
  <c r="V222" i="1"/>
  <c r="T222" i="1"/>
  <c r="V431" i="1"/>
  <c r="T431" i="1"/>
  <c r="V118" i="1"/>
  <c r="T118" i="1"/>
  <c r="V237" i="1"/>
  <c r="T237" i="1"/>
  <c r="V539" i="1"/>
  <c r="T539" i="1"/>
  <c r="V50" i="1"/>
  <c r="T50" i="1"/>
  <c r="V101" i="1"/>
  <c r="T101" i="1"/>
  <c r="V388" i="1"/>
  <c r="T388" i="1"/>
  <c r="V138" i="1"/>
  <c r="T138" i="1"/>
  <c r="V251" i="1"/>
  <c r="T251" i="1"/>
  <c r="V268" i="1"/>
  <c r="T268" i="1"/>
  <c r="V416" i="1"/>
  <c r="T416" i="1"/>
  <c r="V386" i="1"/>
  <c r="T386" i="1"/>
  <c r="V43" i="1"/>
  <c r="T43" i="1"/>
  <c r="V82" i="1"/>
  <c r="T82" i="1"/>
  <c r="V285" i="1"/>
  <c r="T285" i="1"/>
  <c r="V169" i="1"/>
  <c r="T169" i="1"/>
  <c r="V165" i="1"/>
  <c r="T165" i="1"/>
  <c r="V22" i="1"/>
  <c r="T22" i="1"/>
  <c r="V444" i="1"/>
  <c r="T444" i="1"/>
  <c r="V433" i="1"/>
  <c r="T433" i="1"/>
  <c r="V394" i="1"/>
  <c r="T394" i="1"/>
  <c r="V81" i="1"/>
  <c r="T81" i="1"/>
  <c r="V225" i="1"/>
  <c r="T225" i="1"/>
  <c r="V372" i="1"/>
  <c r="T372" i="1"/>
  <c r="V295" i="1"/>
  <c r="T295" i="1"/>
  <c r="V9" i="1"/>
  <c r="T9" i="1"/>
  <c r="V247" i="1"/>
  <c r="T247" i="1"/>
  <c r="V522" i="1"/>
  <c r="T522" i="1"/>
  <c r="V99" i="1"/>
  <c r="T99" i="1"/>
  <c r="V132" i="1"/>
  <c r="T132" i="1"/>
  <c r="V45" i="1"/>
  <c r="T45" i="1"/>
  <c r="V8" i="1"/>
  <c r="T8" i="1"/>
  <c r="V236" i="1"/>
  <c r="T236" i="1"/>
  <c r="V309" i="1"/>
  <c r="T309" i="1"/>
  <c r="V380" i="1"/>
  <c r="T380" i="1"/>
  <c r="V274" i="1"/>
  <c r="T274" i="1"/>
  <c r="V473" i="1"/>
  <c r="T473" i="1"/>
  <c r="V464" i="1"/>
  <c r="T464" i="1"/>
  <c r="V107" i="1"/>
  <c r="T107" i="1"/>
  <c r="V196" i="1"/>
  <c r="T196" i="1"/>
  <c r="V396" i="1"/>
  <c r="T396" i="1"/>
  <c r="V536" i="1"/>
  <c r="T536" i="1"/>
  <c r="V17" i="1"/>
  <c r="T17" i="1"/>
  <c r="V353" i="1"/>
  <c r="T353" i="1"/>
  <c r="V13" i="1"/>
  <c r="T13" i="1"/>
  <c r="V395" i="1"/>
  <c r="T395" i="1"/>
  <c r="V95" i="1"/>
  <c r="T95" i="1"/>
  <c r="V454" i="1"/>
  <c r="T454" i="1"/>
  <c r="V374" i="1"/>
  <c r="T374" i="1"/>
  <c r="V27" i="1"/>
  <c r="T27" i="1"/>
  <c r="V192" i="1"/>
  <c r="T192" i="1"/>
  <c r="V74" i="1"/>
  <c r="T74" i="1"/>
  <c r="V110" i="1"/>
  <c r="T110" i="1"/>
  <c r="V181" i="1"/>
  <c r="T181" i="1"/>
  <c r="V381" i="1"/>
  <c r="T381" i="1"/>
  <c r="V514" i="1"/>
  <c r="T514" i="1"/>
  <c r="V142" i="1"/>
  <c r="T142" i="1"/>
  <c r="V152" i="1"/>
  <c r="T152" i="1"/>
  <c r="V306" i="1"/>
  <c r="T306" i="1"/>
  <c r="V52" i="1"/>
  <c r="T52" i="1"/>
  <c r="V112" i="1"/>
  <c r="T112" i="1"/>
  <c r="V379" i="1"/>
  <c r="T379" i="1"/>
  <c r="V20" i="1"/>
  <c r="T20" i="1"/>
  <c r="V258" i="1"/>
  <c r="T258" i="1"/>
  <c r="V208" i="1"/>
  <c r="T208" i="1"/>
  <c r="V504" i="1"/>
  <c r="T504" i="1"/>
  <c r="V246" i="1"/>
  <c r="T246" i="1"/>
  <c r="V51" i="1"/>
  <c r="T51" i="1"/>
  <c r="V122" i="1"/>
  <c r="T122" i="1"/>
  <c r="V269" i="1"/>
  <c r="T269" i="1"/>
  <c r="V219" i="1"/>
  <c r="T219" i="1"/>
  <c r="V66" i="1"/>
  <c r="T66" i="1"/>
  <c r="V149" i="1"/>
  <c r="T149" i="1"/>
  <c r="V121" i="1"/>
  <c r="T121" i="1"/>
  <c r="V468" i="1"/>
  <c r="T468" i="1"/>
  <c r="V87" i="1"/>
  <c r="T87" i="1"/>
  <c r="V423" i="1"/>
  <c r="T423" i="1"/>
  <c r="V145" i="1"/>
  <c r="T145" i="1"/>
  <c r="V156" i="1"/>
  <c r="T156" i="1"/>
  <c r="V229" i="1"/>
  <c r="T229" i="1"/>
  <c r="V410" i="1"/>
  <c r="T410" i="1"/>
  <c r="V293" i="1"/>
  <c r="T293" i="1"/>
  <c r="V392" i="1"/>
  <c r="T392" i="1"/>
  <c r="V19" i="1"/>
  <c r="T19" i="1"/>
  <c r="V383" i="1"/>
  <c r="T383" i="1"/>
  <c r="V68" i="1"/>
  <c r="T68" i="1"/>
  <c r="V322" i="1"/>
  <c r="T322" i="1"/>
  <c r="V85" i="1"/>
  <c r="T85" i="1"/>
  <c r="V449" i="1"/>
  <c r="T449" i="1"/>
  <c r="V141" i="1"/>
  <c r="T141" i="1"/>
  <c r="V337" i="1"/>
  <c r="T337" i="1"/>
  <c r="V207" i="1"/>
  <c r="T207" i="1"/>
  <c r="V502" i="1"/>
  <c r="T502" i="1"/>
  <c r="V214" i="1"/>
  <c r="T214" i="1"/>
  <c r="V361" i="1"/>
  <c r="T361" i="1"/>
  <c r="V287" i="1"/>
  <c r="T287" i="1"/>
  <c r="P573" i="1" l="1"/>
  <c r="T456" i="1"/>
  <c r="T467" i="1"/>
  <c r="P575" i="1" l="1"/>
  <c r="T2" i="2" l="1"/>
  <c r="V111" i="1" l="1"/>
  <c r="S111" i="1"/>
  <c r="T111" i="1" s="1"/>
  <c r="V580" i="1" l="1"/>
  <c r="V582" i="1" s="1"/>
  <c r="P57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BC80F-2CCA-4B1C-AD96-6B2BC48FD96F}" keepAlive="1" name="Query - Active LTA" description="Connection to the 'Active LTA' query in the workbook." type="5" refreshedVersion="0" background="1">
    <dbPr connection="Provider=Microsoft.Mashup.OleDb.1;Data Source=$Workbook$;Location=&quot;Active LTA&quot;;Extended Properties=&quot;&quot;" command="SELECT * FROM [Active LTA]"/>
  </connection>
  <connection id="2" xr16:uid="{4A4471F9-219A-480F-94BB-7959F7D6296D}" keepAlive="1" name="Query - Active LTA Lookup" description="Connection to the 'Active LTA Lookup' query in the workbook." type="5" refreshedVersion="0" background="1">
    <dbPr connection="Provider=Microsoft.Mashup.OleDb.1;Data Source=$Workbook$;Location=&quot;Active LTA Lookup&quot;;Extended Properties=&quot;&quot;" command="SELECT * FROM [Active LTA Lookup]"/>
  </connection>
  <connection id="3" xr16:uid="{433AA432-7176-4F5E-A5FE-5D4547A62862}" keepAlive="1" name="Query - OPDO" description="Connection to the 'OPDO' query in the workbook." type="5" refreshedVersion="0" background="1">
    <dbPr connection="Provider=Microsoft.Mashup.OleDb.1;Data Source=$Workbook$;Location=OPDO;Extended Properties=&quot;&quot;" command="SELECT * FROM [OPDO]"/>
  </connection>
  <connection id="4" xr16:uid="{35C0DAF2-B067-4F1D-90F9-A4403B8CB396}" keepAlive="1" name="Query - OPDO + OPSR" description="Connection to the 'OPDO + OPSR' query in the workbook." type="5" refreshedVersion="8" background="1" saveData="1">
    <dbPr connection="Provider=Microsoft.Mashup.OleDb.1;Data Source=$Workbook$;Location=&quot;OPDO + OPSR&quot;;Extended Properties=&quot;&quot;" command="SELECT * FROM [OPDO + OPSR]"/>
  </connection>
  <connection id="5" xr16:uid="{20359A0C-9A48-4FF9-A592-FFE2C0F0F22F}" keepAlive="1" name="Query - OPSR" description="Connection to the 'OPSR' query in the workbook." type="5" refreshedVersion="0" background="1">
    <dbPr connection="Provider=Microsoft.Mashup.OleDb.1;Data Source=$Workbook$;Location=OPSR;Extended Properties=&quot;&quot;" command="SELECT * FROM [OPSR]"/>
  </connection>
  <connection id="6" xr16:uid="{E71E6DEE-50FB-4769-8C19-CB684084966D}" keepAlive="1" name="Query - Production Calendar CSV" description="Connection to the 'Production Calendar CSV' query in the workbook." type="5" refreshedVersion="8" background="1" saveData="1">
    <dbPr connection="Provider=Microsoft.Mashup.OleDb.1;Data Source=$Workbook$;Location=&quot;Production Calendar CSV&quot;;Extended Properties=&quot;&quot;" command="SELECT * FROM [Production Calendar CSV]"/>
  </connection>
  <connection id="7" xr16:uid="{AED19E8C-FBD1-4C01-A219-FB0DB2172025}" keepAlive="1" name="Query - Segment" description="Connection to the 'Segment' query in the workbook." type="5" refreshedVersion="0" background="1">
    <dbPr connection="Provider=Microsoft.Mashup.OleDb.1;Data Source=$Workbook$;Location=Segment;Extended Properties=&quot;&quot;" command="SELECT * FROM [Segment]"/>
  </connection>
  <connection id="8" xr16:uid="{87F68389-BC61-418D-9ADD-CFE307C3B281}" keepAlive="1" name="Query - Value Codes" description="Connection to the 'Value Codes' query in the workbook." type="5" refreshedVersion="0" background="1">
    <dbPr connection="Provider=Microsoft.Mashup.OleDb.1;Data Source=$Workbook$;Location=&quot;Value Codes&quot;;Extended Properties=&quot;&quot;" command="SELECT * FROM [Value Codes]"/>
  </connection>
</connections>
</file>

<file path=xl/sharedStrings.xml><?xml version="1.0" encoding="utf-8"?>
<sst xmlns="http://schemas.openxmlformats.org/spreadsheetml/2006/main" count="18632" uniqueCount="1916">
  <si>
    <t>Item</t>
  </si>
  <si>
    <t>VC</t>
  </si>
  <si>
    <t>Segment</t>
  </si>
  <si>
    <t>On FY26 PN FCST?</t>
  </si>
  <si>
    <t>0141207E102</t>
  </si>
  <si>
    <t>0382303K</t>
  </si>
  <si>
    <t>0182416E100</t>
  </si>
  <si>
    <t>0382304</t>
  </si>
  <si>
    <t>0341303E016</t>
  </si>
  <si>
    <t>0382305</t>
  </si>
  <si>
    <t>0370308E101</t>
  </si>
  <si>
    <t>0382306</t>
  </si>
  <si>
    <t>0382364E101</t>
  </si>
  <si>
    <t>0382306K</t>
  </si>
  <si>
    <t>0382506M002</t>
  </si>
  <si>
    <t>0382308</t>
  </si>
  <si>
    <t>0728235086E100</t>
  </si>
  <si>
    <t>0382308CP</t>
  </si>
  <si>
    <t>0728242100E100</t>
  </si>
  <si>
    <t>0382308ZK</t>
  </si>
  <si>
    <t>1182416E100</t>
  </si>
  <si>
    <t>0382309</t>
  </si>
  <si>
    <t>179422</t>
  </si>
  <si>
    <t>0382310P</t>
  </si>
  <si>
    <t>179979</t>
  </si>
  <si>
    <t>0382312</t>
  </si>
  <si>
    <t>CJSA746F</t>
  </si>
  <si>
    <t>0382312P</t>
  </si>
  <si>
    <t>CJSA749F</t>
  </si>
  <si>
    <t>0382314</t>
  </si>
  <si>
    <t>0141204E107</t>
  </si>
  <si>
    <t>0382314P</t>
  </si>
  <si>
    <t>0144204</t>
  </si>
  <si>
    <t>0382316</t>
  </si>
  <si>
    <t>0352910E001</t>
  </si>
  <si>
    <t>0382403</t>
  </si>
  <si>
    <t>0382622</t>
  </si>
  <si>
    <t>0382403PK</t>
  </si>
  <si>
    <t>0382910E006</t>
  </si>
  <si>
    <t>0382404K</t>
  </si>
  <si>
    <t>0728208025E049</t>
  </si>
  <si>
    <t>0382404P</t>
  </si>
  <si>
    <t>0728210023E042</t>
  </si>
  <si>
    <t>0382405</t>
  </si>
  <si>
    <t>76601</t>
  </si>
  <si>
    <t>0382405K</t>
  </si>
  <si>
    <t>0141203E003</t>
  </si>
  <si>
    <t>0382405P</t>
  </si>
  <si>
    <t>0141204E006</t>
  </si>
  <si>
    <t>0382406</t>
  </si>
  <si>
    <t>0141204E021</t>
  </si>
  <si>
    <t>0382406P</t>
  </si>
  <si>
    <t>0141204E026</t>
  </si>
  <si>
    <t>0382407</t>
  </si>
  <si>
    <t>0141204E103</t>
  </si>
  <si>
    <t>0382408</t>
  </si>
  <si>
    <t>0141204E105</t>
  </si>
  <si>
    <t>0382408K</t>
  </si>
  <si>
    <t>0141204E111</t>
  </si>
  <si>
    <t>0382410</t>
  </si>
  <si>
    <t>0141205E037</t>
  </si>
  <si>
    <t>0382410K</t>
  </si>
  <si>
    <t>0141206E101</t>
  </si>
  <si>
    <t>0382412</t>
  </si>
  <si>
    <t>0141207E015</t>
  </si>
  <si>
    <t>0382503</t>
  </si>
  <si>
    <t>0141207E101</t>
  </si>
  <si>
    <t>0382503LZK</t>
  </si>
  <si>
    <t>0182003E021</t>
  </si>
  <si>
    <t>0382503ZK</t>
  </si>
  <si>
    <t>0182005E018</t>
  </si>
  <si>
    <t>0382504</t>
  </si>
  <si>
    <t>0182510E102</t>
  </si>
  <si>
    <t>0382504K</t>
  </si>
  <si>
    <t>0282008E002</t>
  </si>
  <si>
    <t>0382504LK</t>
  </si>
  <si>
    <t>0341205E001</t>
  </si>
  <si>
    <t>0382504LZ</t>
  </si>
  <si>
    <t>0341205E002</t>
  </si>
  <si>
    <t>0382504LZK</t>
  </si>
  <si>
    <t>0341205E006</t>
  </si>
  <si>
    <t>0382504P</t>
  </si>
  <si>
    <t>0341205E007</t>
  </si>
  <si>
    <t>0382504Z</t>
  </si>
  <si>
    <t>0341304E103</t>
  </si>
  <si>
    <t>0382505</t>
  </si>
  <si>
    <t>0341305E031</t>
  </si>
  <si>
    <t>0382505A</t>
  </si>
  <si>
    <t>0341307E003</t>
  </si>
  <si>
    <t>0382505AP</t>
  </si>
  <si>
    <t>0341308E015</t>
  </si>
  <si>
    <t>0382505AZ</t>
  </si>
  <si>
    <t>0341308E025</t>
  </si>
  <si>
    <t>0382505K</t>
  </si>
  <si>
    <t>0341312E010</t>
  </si>
  <si>
    <t>0382505ZK</t>
  </si>
  <si>
    <t>0341312E011</t>
  </si>
  <si>
    <t>0382506</t>
  </si>
  <si>
    <t>0341332E003</t>
  </si>
  <si>
    <t>0382506L</t>
  </si>
  <si>
    <t>0341332E010</t>
  </si>
  <si>
    <t>0382506LZ</t>
  </si>
  <si>
    <t>0341332E011</t>
  </si>
  <si>
    <t>0382506LZK</t>
  </si>
  <si>
    <t>0341332E012</t>
  </si>
  <si>
    <t>0382506P</t>
  </si>
  <si>
    <t>0341345E001</t>
  </si>
  <si>
    <t>0382506Z</t>
  </si>
  <si>
    <t>0341345E002</t>
  </si>
  <si>
    <t>0382507</t>
  </si>
  <si>
    <t>0345103</t>
  </si>
  <si>
    <t>0382508</t>
  </si>
  <si>
    <t>0345306</t>
  </si>
  <si>
    <t>0382508C</t>
  </si>
  <si>
    <t>0350604E101</t>
  </si>
  <si>
    <t>0382508K</t>
  </si>
  <si>
    <t>0355505E010</t>
  </si>
  <si>
    <t>0382508Z</t>
  </si>
  <si>
    <t>0355505E011</t>
  </si>
  <si>
    <t>0382509</t>
  </si>
  <si>
    <t>0355506E010</t>
  </si>
  <si>
    <t>0382509Z</t>
  </si>
  <si>
    <t>0355510E003</t>
  </si>
  <si>
    <t>0382509ZK</t>
  </si>
  <si>
    <t>0371618E002</t>
  </si>
  <si>
    <t>0382510</t>
  </si>
  <si>
    <t>0382324E102</t>
  </si>
  <si>
    <t>0382510ZK</t>
  </si>
  <si>
    <t>0382503E005</t>
  </si>
  <si>
    <t>0382512</t>
  </si>
  <si>
    <t>0382605E024</t>
  </si>
  <si>
    <t>0382512P</t>
  </si>
  <si>
    <t>0382612E102</t>
  </si>
  <si>
    <t>0382512Z</t>
  </si>
  <si>
    <t>0382614E012</t>
  </si>
  <si>
    <t>0382514</t>
  </si>
  <si>
    <t>0383605E002</t>
  </si>
  <si>
    <t>0382516</t>
  </si>
  <si>
    <t>0383605E003</t>
  </si>
  <si>
    <t>0382516P</t>
  </si>
  <si>
    <t>0383605E003SUB</t>
  </si>
  <si>
    <t>0382516Z</t>
  </si>
  <si>
    <t>0641412012E100</t>
  </si>
  <si>
    <t>0382604</t>
  </si>
  <si>
    <t>0728206054E100</t>
  </si>
  <si>
    <t>0382604K</t>
  </si>
  <si>
    <t>0741406006E100</t>
  </si>
  <si>
    <t>0382604LZ</t>
  </si>
  <si>
    <t>0741407008E100</t>
  </si>
  <si>
    <t>0382605</t>
  </si>
  <si>
    <t>0755504046E100</t>
  </si>
  <si>
    <t>0382605K</t>
  </si>
  <si>
    <t>0755505010E102</t>
  </si>
  <si>
    <t>0382605P</t>
  </si>
  <si>
    <t>0755505010E202</t>
  </si>
  <si>
    <t>0382606</t>
  </si>
  <si>
    <t>0755506011E212</t>
  </si>
  <si>
    <t>0382606L</t>
  </si>
  <si>
    <t>0755506011E213</t>
  </si>
  <si>
    <t>0382606LP</t>
  </si>
  <si>
    <t>0755506011E215</t>
  </si>
  <si>
    <t>0382606P</t>
  </si>
  <si>
    <t>0755506011E218</t>
  </si>
  <si>
    <t>0382607</t>
  </si>
  <si>
    <t>0755506011E219</t>
  </si>
  <si>
    <t>0382607A</t>
  </si>
  <si>
    <t>0755506012E212</t>
  </si>
  <si>
    <t>0382607L</t>
  </si>
  <si>
    <t>1141203E003</t>
  </si>
  <si>
    <t>0382607LC</t>
  </si>
  <si>
    <t>1141204E021</t>
  </si>
  <si>
    <t>0382608</t>
  </si>
  <si>
    <t>1141204E026</t>
  </si>
  <si>
    <t>0382608P</t>
  </si>
  <si>
    <t>1141205E037</t>
  </si>
  <si>
    <t>0382609P</t>
  </si>
  <si>
    <t>1141205E101</t>
  </si>
  <si>
    <t>0382610</t>
  </si>
  <si>
    <t>1141206E100</t>
  </si>
  <si>
    <t>0382610CZ</t>
  </si>
  <si>
    <t>1141207E016</t>
  </si>
  <si>
    <t>0382610P</t>
  </si>
  <si>
    <t>1141207E101</t>
  </si>
  <si>
    <t>0382612</t>
  </si>
  <si>
    <t>1151103E102</t>
  </si>
  <si>
    <t>0382612C</t>
  </si>
  <si>
    <t>1241206E001</t>
  </si>
  <si>
    <t>0382612P</t>
  </si>
  <si>
    <t>1783293</t>
  </si>
  <si>
    <t>0382614P</t>
  </si>
  <si>
    <t>1783753</t>
  </si>
  <si>
    <t>0382904</t>
  </si>
  <si>
    <t>1783763</t>
  </si>
  <si>
    <t>178848</t>
  </si>
  <si>
    <t>178860</t>
  </si>
  <si>
    <t>179011</t>
  </si>
  <si>
    <t>1790191</t>
  </si>
  <si>
    <t>1790211</t>
  </si>
  <si>
    <t>1790214</t>
  </si>
  <si>
    <t>1791511</t>
  </si>
  <si>
    <t>1791512</t>
  </si>
  <si>
    <t>1791513</t>
  </si>
  <si>
    <t>1791514</t>
  </si>
  <si>
    <t>1791515</t>
  </si>
  <si>
    <t>1792151</t>
  </si>
  <si>
    <t>1792152</t>
  </si>
  <si>
    <t>1792161</t>
  </si>
  <si>
    <t>1792771</t>
  </si>
  <si>
    <t>1792772</t>
  </si>
  <si>
    <t>1792773</t>
  </si>
  <si>
    <t>1792781</t>
  </si>
  <si>
    <t>179303</t>
  </si>
  <si>
    <t>179325</t>
  </si>
  <si>
    <t>179359</t>
  </si>
  <si>
    <t>179414</t>
  </si>
  <si>
    <t>179415</t>
  </si>
  <si>
    <t>179435</t>
  </si>
  <si>
    <t>179443</t>
  </si>
  <si>
    <t>179579</t>
  </si>
  <si>
    <t>179594</t>
  </si>
  <si>
    <t>179701</t>
  </si>
  <si>
    <t>179748</t>
  </si>
  <si>
    <t>179752</t>
  </si>
  <si>
    <t>179770</t>
  </si>
  <si>
    <t>179773</t>
  </si>
  <si>
    <t>79969</t>
  </si>
  <si>
    <t>90606</t>
  </si>
  <si>
    <t>L0044</t>
  </si>
  <si>
    <t>L01151</t>
  </si>
  <si>
    <t>L01152</t>
  </si>
  <si>
    <t>L01153</t>
  </si>
  <si>
    <t>L01154</t>
  </si>
  <si>
    <t>L01155</t>
  </si>
  <si>
    <t>L0134</t>
  </si>
  <si>
    <t>L0135</t>
  </si>
  <si>
    <t>L0136</t>
  </si>
  <si>
    <t>L0142</t>
  </si>
  <si>
    <t>L0231</t>
  </si>
  <si>
    <t>L0232</t>
  </si>
  <si>
    <t>L0234</t>
  </si>
  <si>
    <t>L0235</t>
  </si>
  <si>
    <t>L0237</t>
  </si>
  <si>
    <t>L0280</t>
  </si>
  <si>
    <t>L0308</t>
  </si>
  <si>
    <t>L0309</t>
  </si>
  <si>
    <t>L0310</t>
  </si>
  <si>
    <t>L0319</t>
  </si>
  <si>
    <t>L0320</t>
  </si>
  <si>
    <t>L0321</t>
  </si>
  <si>
    <t>L0334</t>
  </si>
  <si>
    <t>L0335</t>
  </si>
  <si>
    <t>L0336</t>
  </si>
  <si>
    <t>L0337</t>
  </si>
  <si>
    <t>L0338</t>
  </si>
  <si>
    <t>L0346</t>
  </si>
  <si>
    <t>L0363</t>
  </si>
  <si>
    <t>L0364</t>
  </si>
  <si>
    <t>L0366</t>
  </si>
  <si>
    <t>0169104</t>
  </si>
  <si>
    <t>0169105</t>
  </si>
  <si>
    <t>0269104</t>
  </si>
  <si>
    <t>0370505E001</t>
  </si>
  <si>
    <t>0370605E100</t>
  </si>
  <si>
    <t>0370906E100</t>
  </si>
  <si>
    <t>0382320M100</t>
  </si>
  <si>
    <t>0382604E104</t>
  </si>
  <si>
    <t>0382610E103</t>
  </si>
  <si>
    <t>0631116036E012</t>
  </si>
  <si>
    <t>0636154016E100</t>
  </si>
  <si>
    <t>77342</t>
  </si>
  <si>
    <t>0182004E004</t>
  </si>
  <si>
    <t>0382336E008</t>
  </si>
  <si>
    <t>0382340E009</t>
  </si>
  <si>
    <t>0382378E008</t>
  </si>
  <si>
    <t>0382395E008</t>
  </si>
  <si>
    <t>0382395E008GOV</t>
  </si>
  <si>
    <t>0382395E008GOV-PLT</t>
  </si>
  <si>
    <t>0382622E100</t>
  </si>
  <si>
    <t>0382628E100</t>
  </si>
  <si>
    <t>0382632E006</t>
  </si>
  <si>
    <t>0382634E008</t>
  </si>
  <si>
    <t>0386508E103</t>
  </si>
  <si>
    <t>0386528E105</t>
  </si>
  <si>
    <t>06311154183E001</t>
  </si>
  <si>
    <t>0631172106E007</t>
  </si>
  <si>
    <t>0728256200E001</t>
  </si>
  <si>
    <t>1182008E027</t>
  </si>
  <si>
    <t>178316</t>
  </si>
  <si>
    <t>178539</t>
  </si>
  <si>
    <t>178540</t>
  </si>
  <si>
    <t>178820</t>
  </si>
  <si>
    <t>178821</t>
  </si>
  <si>
    <t>79041</t>
  </si>
  <si>
    <t>90723</t>
  </si>
  <si>
    <t>0141203E011</t>
  </si>
  <si>
    <t>0141205E003</t>
  </si>
  <si>
    <t>0141205E004</t>
  </si>
  <si>
    <t>0141208E003</t>
  </si>
  <si>
    <t>0182008E027</t>
  </si>
  <si>
    <t>0340304E001</t>
  </si>
  <si>
    <t>0341205E005</t>
  </si>
  <si>
    <t>0341214E100</t>
  </si>
  <si>
    <t>0341303E008</t>
  </si>
  <si>
    <t>0341304E011</t>
  </si>
  <si>
    <t>0341304E017</t>
  </si>
  <si>
    <t>0341305E002</t>
  </si>
  <si>
    <t>0341305E010</t>
  </si>
  <si>
    <t>0341305E025</t>
  </si>
  <si>
    <t>0341306E025</t>
  </si>
  <si>
    <t>0341307E005</t>
  </si>
  <si>
    <t>0341307E006</t>
  </si>
  <si>
    <t>0345205E100</t>
  </si>
  <si>
    <t>0345305E002</t>
  </si>
  <si>
    <t>0345308E100</t>
  </si>
  <si>
    <t>0350506E017</t>
  </si>
  <si>
    <t>0350506E032</t>
  </si>
  <si>
    <t>0350605E007</t>
  </si>
  <si>
    <t>0350607E008</t>
  </si>
  <si>
    <t>0352504E009</t>
  </si>
  <si>
    <t>0352803E001</t>
  </si>
  <si>
    <t>0641404008E003</t>
  </si>
  <si>
    <t>0641406012E011</t>
  </si>
  <si>
    <t>0641412009E003</t>
  </si>
  <si>
    <t>0655505006E100</t>
  </si>
  <si>
    <t>0655509002E100</t>
  </si>
  <si>
    <t>0741404007E005</t>
  </si>
  <si>
    <t>0741410010E100</t>
  </si>
  <si>
    <t>0741416016E005</t>
  </si>
  <si>
    <t>0741416023E100</t>
  </si>
  <si>
    <t>0755509032E101</t>
  </si>
  <si>
    <t>1141205E005</t>
  </si>
  <si>
    <t>1141205E006</t>
  </si>
  <si>
    <t>1141205E031</t>
  </si>
  <si>
    <t>178018</t>
  </si>
  <si>
    <t>178191</t>
  </si>
  <si>
    <t>178254</t>
  </si>
  <si>
    <t>178274</t>
  </si>
  <si>
    <t>178290</t>
  </si>
  <si>
    <t>178531</t>
  </si>
  <si>
    <t>178726</t>
  </si>
  <si>
    <t>178784</t>
  </si>
  <si>
    <t>179122</t>
  </si>
  <si>
    <t>179173</t>
  </si>
  <si>
    <t>179188</t>
  </si>
  <si>
    <t>179376</t>
  </si>
  <si>
    <t>179407</t>
  </si>
  <si>
    <t>179675</t>
  </si>
  <si>
    <t>179678</t>
  </si>
  <si>
    <t>179702</t>
  </si>
  <si>
    <t>55591</t>
  </si>
  <si>
    <t>55772</t>
  </si>
  <si>
    <t>76422</t>
  </si>
  <si>
    <t>L0014</t>
  </si>
  <si>
    <t>L0015</t>
  </si>
  <si>
    <t>L0019</t>
  </si>
  <si>
    <t>L0024</t>
  </si>
  <si>
    <t>L0025</t>
  </si>
  <si>
    <t>L0026</t>
  </si>
  <si>
    <t>L0113</t>
  </si>
  <si>
    <t>L0114</t>
  </si>
  <si>
    <t>L0125</t>
  </si>
  <si>
    <t>L0170</t>
  </si>
  <si>
    <t>L0171</t>
  </si>
  <si>
    <t>L0243</t>
  </si>
  <si>
    <t>L0304</t>
  </si>
  <si>
    <t>L0306</t>
  </si>
  <si>
    <t>L0332</t>
  </si>
  <si>
    <t>L0367</t>
  </si>
  <si>
    <t>01002081</t>
  </si>
  <si>
    <t>0182012E009</t>
  </si>
  <si>
    <t>0300110</t>
  </si>
  <si>
    <t>0370304E003</t>
  </si>
  <si>
    <t>0382415E001</t>
  </si>
  <si>
    <t>0631116036E011</t>
  </si>
  <si>
    <t>063112816E001</t>
  </si>
  <si>
    <t>0731112024E011</t>
  </si>
  <si>
    <t>0731115030E011</t>
  </si>
  <si>
    <t>177253GOV</t>
  </si>
  <si>
    <t>178258</t>
  </si>
  <si>
    <t>178333</t>
  </si>
  <si>
    <t>179208</t>
  </si>
  <si>
    <t>56008</t>
  </si>
  <si>
    <t>76500</t>
  </si>
  <si>
    <t>79117</t>
  </si>
  <si>
    <t>91075</t>
  </si>
  <si>
    <t>91124</t>
  </si>
  <si>
    <t>0153104E100</t>
  </si>
  <si>
    <t>0153105E100</t>
  </si>
  <si>
    <t>0153105E101</t>
  </si>
  <si>
    <t>0153106E100</t>
  </si>
  <si>
    <t>0153108E100</t>
  </si>
  <si>
    <t>0153114E100</t>
  </si>
  <si>
    <t>0182012E111</t>
  </si>
  <si>
    <t>0182012E112</t>
  </si>
  <si>
    <t>0182012E113</t>
  </si>
  <si>
    <t>0182012E114</t>
  </si>
  <si>
    <t>0188006E100</t>
  </si>
  <si>
    <t>0188006E101</t>
  </si>
  <si>
    <t>0188008</t>
  </si>
  <si>
    <t>0188012</t>
  </si>
  <si>
    <t>0188012E100</t>
  </si>
  <si>
    <t>0188314</t>
  </si>
  <si>
    <t>0188408K</t>
  </si>
  <si>
    <t>0188507K</t>
  </si>
  <si>
    <t>0188508</t>
  </si>
  <si>
    <t>0188516K</t>
  </si>
  <si>
    <t>0324706E100</t>
  </si>
  <si>
    <t>0350604E102</t>
  </si>
  <si>
    <t>0350605E100</t>
  </si>
  <si>
    <t>0350606E102</t>
  </si>
  <si>
    <t>0350607E102</t>
  </si>
  <si>
    <t>0370608E100</t>
  </si>
  <si>
    <t>0382316DM</t>
  </si>
  <si>
    <t>0382506DM</t>
  </si>
  <si>
    <t>0382605DM</t>
  </si>
  <si>
    <t>0382608DM</t>
  </si>
  <si>
    <t>0382630E103</t>
  </si>
  <si>
    <t>0382632E100</t>
  </si>
  <si>
    <t>0382948E100</t>
  </si>
  <si>
    <t>0388108E101</t>
  </si>
  <si>
    <t>0388306</t>
  </si>
  <si>
    <t>0388314</t>
  </si>
  <si>
    <t>0388410</t>
  </si>
  <si>
    <t>0388505</t>
  </si>
  <si>
    <t>1153104E100</t>
  </si>
  <si>
    <t>1153106E100</t>
  </si>
  <si>
    <t>1153108E100</t>
  </si>
  <si>
    <t>1182012E107</t>
  </si>
  <si>
    <t>1188006E100</t>
  </si>
  <si>
    <t>1188006E101</t>
  </si>
  <si>
    <t>1188007</t>
  </si>
  <si>
    <t>1188012</t>
  </si>
  <si>
    <t>1188408K</t>
  </si>
  <si>
    <t>179984</t>
  </si>
  <si>
    <t>1799845</t>
  </si>
  <si>
    <t>L0361</t>
  </si>
  <si>
    <t>L0362</t>
  </si>
  <si>
    <t>1169104</t>
  </si>
  <si>
    <t>79404</t>
  </si>
  <si>
    <t>FY26 OB Ext. Val</t>
  </si>
  <si>
    <t>FY26 FCST Qty</t>
  </si>
  <si>
    <t>FY26 OB+FCST Ext. Value</t>
  </si>
  <si>
    <t>FY24 Qty</t>
  </si>
  <si>
    <t>FY24 Ext. Value</t>
  </si>
  <si>
    <t>FY25 Qty</t>
  </si>
  <si>
    <t>FY25 Ext. Value</t>
  </si>
  <si>
    <t>Variance</t>
  </si>
  <si>
    <t>0382607P</t>
  </si>
  <si>
    <t>0382616</t>
  </si>
  <si>
    <t>0382303</t>
  </si>
  <si>
    <t>0382503Z</t>
  </si>
  <si>
    <t>0382503K</t>
  </si>
  <si>
    <t>0382310</t>
  </si>
  <si>
    <t>0382404</t>
  </si>
  <si>
    <t>0382609</t>
  </si>
  <si>
    <t>0382414</t>
  </si>
  <si>
    <t>0382614</t>
  </si>
  <si>
    <t>0382608K</t>
  </si>
  <si>
    <t>0382506K</t>
  </si>
  <si>
    <t>0382306P</t>
  </si>
  <si>
    <t>0382603</t>
  </si>
  <si>
    <t>0382307</t>
  </si>
  <si>
    <t>0382409</t>
  </si>
  <si>
    <t>0382403K</t>
  </si>
  <si>
    <t>179972</t>
  </si>
  <si>
    <t>0641412009E003GOV</t>
  </si>
  <si>
    <t>L0216</t>
  </si>
  <si>
    <t>178455</t>
  </si>
  <si>
    <t>0631110020E011</t>
  </si>
  <si>
    <t>1153116E100</t>
  </si>
  <si>
    <t>178846</t>
  </si>
  <si>
    <t>178847</t>
  </si>
  <si>
    <t>178974</t>
  </si>
  <si>
    <t>0638226048E006</t>
  </si>
  <si>
    <t>CJSA743F</t>
  </si>
  <si>
    <t>0274012E006</t>
  </si>
  <si>
    <t>0341340E002</t>
  </si>
  <si>
    <t>0165704E005</t>
  </si>
  <si>
    <t>L0218</t>
  </si>
  <si>
    <t>0182007E005</t>
  </si>
  <si>
    <t>0350406</t>
  </si>
  <si>
    <t>0728210009E100</t>
  </si>
  <si>
    <t>76544</t>
  </si>
  <si>
    <t>1188010</t>
  </si>
  <si>
    <t>1188014</t>
  </si>
  <si>
    <t>0188014</t>
  </si>
  <si>
    <t>0641432020M002</t>
  </si>
  <si>
    <t>0641428020M002</t>
  </si>
  <si>
    <t>0382524E107</t>
  </si>
  <si>
    <t>0388307</t>
  </si>
  <si>
    <t>0188007</t>
  </si>
  <si>
    <t>0188010</t>
  </si>
  <si>
    <t>0641424020M002</t>
  </si>
  <si>
    <t>0270004E011GOV</t>
  </si>
  <si>
    <t>0182006E011</t>
  </si>
  <si>
    <t>0755509032E101GOV</t>
  </si>
  <si>
    <t>0270004E011</t>
  </si>
  <si>
    <t>78863AF</t>
  </si>
  <si>
    <t>0631106012E011</t>
  </si>
  <si>
    <t>0741406027E033</t>
  </si>
  <si>
    <t>0370948E100</t>
  </si>
  <si>
    <t>07211185024E001</t>
  </si>
  <si>
    <t>1141206E003</t>
  </si>
  <si>
    <t>0641435020M002</t>
  </si>
  <si>
    <t>1241205E002</t>
  </si>
  <si>
    <t>0688018020M100</t>
  </si>
  <si>
    <t>0728213012E100</t>
  </si>
  <si>
    <t>0182006E012GOV</t>
  </si>
  <si>
    <t>0355506E011</t>
  </si>
  <si>
    <t>0388508</t>
  </si>
  <si>
    <t>179975</t>
  </si>
  <si>
    <t>0388412E100</t>
  </si>
  <si>
    <t>0788012008M100</t>
  </si>
  <si>
    <t>0788025011M100</t>
  </si>
  <si>
    <t>0241206E001</t>
  </si>
  <si>
    <t>0341308E021</t>
  </si>
  <si>
    <t>178347</t>
  </si>
  <si>
    <t>0382628</t>
  </si>
  <si>
    <t>0341306E104</t>
  </si>
  <si>
    <t>178886</t>
  </si>
  <si>
    <t>0726108024</t>
  </si>
  <si>
    <t>06282131016E100</t>
  </si>
  <si>
    <t>0350510E105</t>
  </si>
  <si>
    <t>0382522E006</t>
  </si>
  <si>
    <t>0688050030M100</t>
  </si>
  <si>
    <t>1270004E012</t>
  </si>
  <si>
    <t>0182417M019</t>
  </si>
  <si>
    <t>0182004E020</t>
  </si>
  <si>
    <t>1153105E100</t>
  </si>
  <si>
    <t>0382514C</t>
  </si>
  <si>
    <t>0688065030M100</t>
  </si>
  <si>
    <t>0141205E032</t>
  </si>
  <si>
    <t>0688025015M100</t>
  </si>
  <si>
    <t>07211186122E002</t>
  </si>
  <si>
    <t>0788012009M100</t>
  </si>
  <si>
    <t>1188508K</t>
  </si>
  <si>
    <t>0726109014E002</t>
  </si>
  <si>
    <t>179034</t>
  </si>
  <si>
    <t>0188508K</t>
  </si>
  <si>
    <t>0170704E003</t>
  </si>
  <si>
    <t>179036</t>
  </si>
  <si>
    <t>0688045020M100</t>
  </si>
  <si>
    <t>0341310E002GOV</t>
  </si>
  <si>
    <t>179035</t>
  </si>
  <si>
    <t>0382512DM</t>
  </si>
  <si>
    <t>0788015009M100</t>
  </si>
  <si>
    <t>0382510DM</t>
  </si>
  <si>
    <t>0350612E101</t>
  </si>
  <si>
    <t>0382614DM</t>
  </si>
  <si>
    <t>0350614E100</t>
  </si>
  <si>
    <t>0350608E102</t>
  </si>
  <si>
    <t>0382906E007-FAT</t>
  </si>
  <si>
    <t>1792163</t>
  </si>
  <si>
    <t>1792166</t>
  </si>
  <si>
    <t>X</t>
  </si>
  <si>
    <t>Space</t>
  </si>
  <si>
    <t>B</t>
  </si>
  <si>
    <t>Mil.-Engine</t>
  </si>
  <si>
    <t>Mil.-Heli.</t>
  </si>
  <si>
    <t>Comm.-Engine</t>
  </si>
  <si>
    <t>Mil.-Airframe</t>
  </si>
  <si>
    <t>Comm.-Airframe</t>
  </si>
  <si>
    <t>F</t>
  </si>
  <si>
    <t>Comm.-Heli.</t>
  </si>
  <si>
    <t>Alt. Energy</t>
  </si>
  <si>
    <t>D</t>
  </si>
  <si>
    <t>A</t>
  </si>
  <si>
    <t>C</t>
  </si>
  <si>
    <t>Mil.-Misc.</t>
  </si>
  <si>
    <t>Other</t>
  </si>
  <si>
    <t>Program</t>
  </si>
  <si>
    <t>N</t>
  </si>
  <si>
    <t>TDC Aero Price Increases:</t>
  </si>
  <si>
    <t>Bond Only:</t>
  </si>
  <si>
    <t>Budget:</t>
  </si>
  <si>
    <t>% FCST:</t>
  </si>
  <si>
    <t>Total FCST Value:</t>
  </si>
  <si>
    <t>LTA</t>
  </si>
  <si>
    <t>Y</t>
  </si>
  <si>
    <t>MD500</t>
  </si>
  <si>
    <t>BE-4 Gimbal</t>
  </si>
  <si>
    <t>F135</t>
  </si>
  <si>
    <t>CH47</t>
  </si>
  <si>
    <t>Falcon 9</t>
  </si>
  <si>
    <t>AH64</t>
  </si>
  <si>
    <t>LEAP</t>
  </si>
  <si>
    <t>F18</t>
  </si>
  <si>
    <t>GEnx</t>
  </si>
  <si>
    <t>GE9X Variable Bleed Valve (VBV) Bellcrank</t>
  </si>
  <si>
    <t>A320</t>
  </si>
  <si>
    <t>GenX</t>
  </si>
  <si>
    <t>SpaceX Cryo Standards</t>
  </si>
  <si>
    <t>F404</t>
  </si>
  <si>
    <t>GE9x</t>
  </si>
  <si>
    <t>Blue Origin</t>
  </si>
  <si>
    <t>GE9X</t>
  </si>
  <si>
    <t>GTF-PW1000</t>
  </si>
  <si>
    <t>F414</t>
  </si>
  <si>
    <t>CFM56</t>
  </si>
  <si>
    <t>Trent XWB</t>
  </si>
  <si>
    <t>Starship</t>
  </si>
  <si>
    <t>CF34</t>
  </si>
  <si>
    <t>Trent 1000</t>
  </si>
  <si>
    <t>PW800</t>
  </si>
  <si>
    <t>R44/R22 Tail rotor pitch link</t>
  </si>
  <si>
    <t>Frame 7</t>
  </si>
  <si>
    <t>T901</t>
  </si>
  <si>
    <t>V2500</t>
  </si>
  <si>
    <t>GTF-PW1100G</t>
  </si>
  <si>
    <t>Passport 20</t>
  </si>
  <si>
    <t>F100</t>
  </si>
  <si>
    <t>F15</t>
  </si>
  <si>
    <t>F35</t>
  </si>
  <si>
    <t>GE90</t>
  </si>
  <si>
    <t>Wind Turbine Blade</t>
  </si>
  <si>
    <t>Space X Standards</t>
  </si>
  <si>
    <t>PW4000</t>
  </si>
  <si>
    <t>BR700</t>
  </si>
  <si>
    <t>F110</t>
  </si>
  <si>
    <t>C-5</t>
  </si>
  <si>
    <t>Space Standards</t>
  </si>
  <si>
    <t>F118</t>
  </si>
  <si>
    <t>F16</t>
  </si>
  <si>
    <t>C5</t>
  </si>
  <si>
    <t>New Glenn</t>
  </si>
  <si>
    <t>Enstrom</t>
  </si>
  <si>
    <t>F-35 STOVL</t>
  </si>
  <si>
    <t>Hughes 369</t>
  </si>
  <si>
    <t>V22</t>
  </si>
  <si>
    <t>Siemens Gas Turbine</t>
  </si>
  <si>
    <t>F414INS</t>
  </si>
  <si>
    <t>Amazon - Kuiper Satellite</t>
  </si>
  <si>
    <t>FT8</t>
  </si>
  <si>
    <t>J-85 ENGINE</t>
  </si>
  <si>
    <t>TF40</t>
  </si>
  <si>
    <t>GTF-PW1500G</t>
  </si>
  <si>
    <t>Satellite</t>
  </si>
  <si>
    <t>PW300</t>
  </si>
  <si>
    <t>Bell47</t>
  </si>
  <si>
    <t>CH53</t>
  </si>
  <si>
    <t>AW139</t>
  </si>
  <si>
    <t>LM2500</t>
  </si>
  <si>
    <t>AW169</t>
  </si>
  <si>
    <t>Unknown-Development Test Rigs</t>
  </si>
  <si>
    <t>Bell 406</t>
  </si>
  <si>
    <t>Terran R</t>
  </si>
  <si>
    <t xml:space="preserve">CF34-10 </t>
  </si>
  <si>
    <t>Genx VBV Bellcrank</t>
  </si>
  <si>
    <t>Eurocopter</t>
  </si>
  <si>
    <t>CF34-10</t>
  </si>
  <si>
    <t>F101 &amp; CFM56</t>
  </si>
  <si>
    <t>Trent</t>
  </si>
  <si>
    <t>Bell 525</t>
  </si>
  <si>
    <t>RB211 / TRENT</t>
  </si>
  <si>
    <t>CF6</t>
  </si>
  <si>
    <t>CF34-3B</t>
  </si>
  <si>
    <t>Blue Moon lunar lander</t>
  </si>
  <si>
    <t>AETP</t>
  </si>
  <si>
    <t>A321XLR/A380</t>
  </si>
  <si>
    <t>PW300 Series</t>
  </si>
  <si>
    <t>C919</t>
  </si>
  <si>
    <t>CFM</t>
  </si>
  <si>
    <t>TF39</t>
  </si>
  <si>
    <t>Unknown</t>
  </si>
  <si>
    <t>Frame 9</t>
  </si>
  <si>
    <t>PW306</t>
  </si>
  <si>
    <t>SpaceX Standards</t>
  </si>
  <si>
    <t>CFM/F108</t>
  </si>
  <si>
    <t>J85</t>
  </si>
  <si>
    <t>PW2000, F117</t>
  </si>
  <si>
    <t>PW305</t>
  </si>
  <si>
    <t>F18EF Horizontal Stabilizer</t>
  </si>
  <si>
    <t>CFM56-3</t>
  </si>
  <si>
    <t>F101</t>
  </si>
  <si>
    <t>LM9000</t>
  </si>
  <si>
    <t>AN200</t>
  </si>
  <si>
    <t>B-2</t>
  </si>
  <si>
    <t>FMC Assault Amphibious Vehicle</t>
  </si>
  <si>
    <t>KC135</t>
  </si>
  <si>
    <t>T56</t>
  </si>
  <si>
    <t>T38</t>
  </si>
  <si>
    <t>F5</t>
  </si>
  <si>
    <t>Max Turbine</t>
  </si>
  <si>
    <t>GS2 Swing Link</t>
  </si>
  <si>
    <t>Aeon-R</t>
  </si>
  <si>
    <t xml:space="preserve">NH3-Ground Power </t>
  </si>
  <si>
    <t>RB211</t>
  </si>
  <si>
    <t>Bell 205</t>
  </si>
  <si>
    <t>Bell 429</t>
  </si>
  <si>
    <t>PW309</t>
  </si>
  <si>
    <t>QTY Bal. To Book FY26</t>
  </si>
  <si>
    <t>Ext. Value Bal. to Book</t>
  </si>
  <si>
    <t>07311200891E001</t>
  </si>
  <si>
    <t>Current Orderbook Specials:</t>
  </si>
  <si>
    <t>Current Orderbook MS:</t>
  </si>
  <si>
    <t>Total Orderbook:</t>
  </si>
  <si>
    <t>Total Forecast Specials to Book:</t>
  </si>
  <si>
    <t>Data as of 3/14/25</t>
  </si>
  <si>
    <t>0141203E013</t>
  </si>
  <si>
    <t>0141204E022</t>
  </si>
  <si>
    <t>0182006E112</t>
  </si>
  <si>
    <t>0182505E100</t>
  </si>
  <si>
    <t>0350520E101</t>
  </si>
  <si>
    <t>0350608E010</t>
  </si>
  <si>
    <t>0365604E101</t>
  </si>
  <si>
    <t>0370364E100</t>
  </si>
  <si>
    <t>0382507Z</t>
  </si>
  <si>
    <t>0382616E100</t>
  </si>
  <si>
    <t>0383605E002SUB</t>
  </si>
  <si>
    <t>0388308</t>
  </si>
  <si>
    <t>06211152398E100</t>
  </si>
  <si>
    <t>1141203E011</t>
  </si>
  <si>
    <t>1141203E012</t>
  </si>
  <si>
    <t>1141207E102</t>
  </si>
  <si>
    <t>1188512K</t>
  </si>
  <si>
    <t>CJSA750F</t>
  </si>
  <si>
    <t>FMJA1510E001</t>
  </si>
  <si>
    <t>L0347</t>
  </si>
  <si>
    <t>Notes</t>
  </si>
  <si>
    <t>PLT/FAT conerns, reduced FC comp to OB</t>
  </si>
  <si>
    <t>Ball availability concerns, Aaron checking</t>
  </si>
  <si>
    <t>launch SM to convert 7? 3 in stock</t>
  </si>
  <si>
    <t>RYG FY26</t>
  </si>
  <si>
    <t>07272166158E100</t>
  </si>
  <si>
    <t>07272166320E100</t>
  </si>
  <si>
    <t>07282112186E100</t>
  </si>
  <si>
    <t>0382634E101</t>
  </si>
  <si>
    <t>0241216E101</t>
  </si>
  <si>
    <t>0341216E101</t>
  </si>
  <si>
    <t>C130 Wear Strips:</t>
  </si>
  <si>
    <t>GG8, FT8</t>
  </si>
  <si>
    <t>CF34-8</t>
  </si>
  <si>
    <t>FY26 Shipped (4.10.25)</t>
  </si>
  <si>
    <t>FY26 ASP (SM Removed)</t>
  </si>
  <si>
    <t>FY26 Backlog Qty 4.10.25 (SM Included)</t>
  </si>
  <si>
    <t>0341310E007</t>
  </si>
  <si>
    <t>0350405</t>
  </si>
  <si>
    <t>0341308E007</t>
  </si>
  <si>
    <t>0341340E001</t>
  </si>
  <si>
    <t>1792153</t>
  </si>
  <si>
    <t>765433</t>
  </si>
  <si>
    <t>0</t>
  </si>
  <si>
    <t>PW308</t>
  </si>
  <si>
    <t>T700</t>
  </si>
  <si>
    <t>NACE-Compressor</t>
  </si>
  <si>
    <t>G500/G600</t>
  </si>
  <si>
    <t>Move to Inconel Part Equivalent</t>
  </si>
  <si>
    <t>SpaceX RM availability still uncertain. Reduced by 25%</t>
  </si>
  <si>
    <t>Only 1300 Comps available for FY26</t>
  </si>
  <si>
    <t>Ball supply a concern due to LT &amp; Tarrifs. 95 pcs safe all others risk</t>
  </si>
  <si>
    <t>Raw Material Concerns, reduced FC comp to OB. Need confirmation from WPA on what they can convert. Still not planned.</t>
  </si>
  <si>
    <t>Main Customer</t>
  </si>
  <si>
    <t>Exp.</t>
  </si>
  <si>
    <t>Pratt &amp; Whitney</t>
  </si>
  <si>
    <t>GE</t>
  </si>
  <si>
    <t>Gov</t>
  </si>
  <si>
    <t>Ti Squared</t>
  </si>
  <si>
    <t>Adept</t>
  </si>
  <si>
    <t>SpaceX</t>
  </si>
  <si>
    <t>Triumph</t>
  </si>
  <si>
    <t>Robinson Heli.</t>
  </si>
  <si>
    <t>BDSI</t>
  </si>
  <si>
    <t>B &amp; B Manufacturing</t>
  </si>
  <si>
    <t>BAE - Wincanton</t>
  </si>
  <si>
    <t>Pattonair</t>
  </si>
  <si>
    <t>Pratt/Baker Hill</t>
  </si>
  <si>
    <t>BDI</t>
  </si>
  <si>
    <t>LM Wind</t>
  </si>
  <si>
    <t>Boeing</t>
  </si>
  <si>
    <t>Marubeni</t>
  </si>
  <si>
    <t>GE Power</t>
  </si>
  <si>
    <t>Schaublin</t>
  </si>
  <si>
    <t>Pratt Canada</t>
  </si>
  <si>
    <t>Relativity Space</t>
  </si>
  <si>
    <t>McBraida</t>
  </si>
  <si>
    <t>Orizon</t>
  </si>
  <si>
    <t>Wesco</t>
  </si>
  <si>
    <t>ABCO</t>
  </si>
  <si>
    <t>Wencor</t>
  </si>
  <si>
    <t>Parker</t>
  </si>
  <si>
    <t>BDSI/National</t>
  </si>
  <si>
    <t>Amazon</t>
  </si>
  <si>
    <t>U-Swage</t>
  </si>
  <si>
    <t>Woodward</t>
  </si>
  <si>
    <t>IBSCO</t>
  </si>
  <si>
    <t>Ronaldsway</t>
  </si>
  <si>
    <t>BAE Systems</t>
  </si>
  <si>
    <t>Agustawestland</t>
  </si>
  <si>
    <t>Martin Aerospace</t>
  </si>
  <si>
    <t>Arkwin/Gov</t>
  </si>
  <si>
    <t>Mitsubishi</t>
  </si>
  <si>
    <t>Vericor</t>
  </si>
  <si>
    <t>Entrom</t>
  </si>
  <si>
    <t>Arkwin</t>
  </si>
  <si>
    <t>Tusas</t>
  </si>
  <si>
    <t>Proponent</t>
  </si>
  <si>
    <t>Able</t>
  </si>
  <si>
    <t>Famat</t>
  </si>
  <si>
    <t>Gulfstream</t>
  </si>
  <si>
    <t>Polamer Precision</t>
  </si>
  <si>
    <t>PCX</t>
  </si>
  <si>
    <t>Diamond Fast.</t>
  </si>
  <si>
    <t>Heroux Devtek</t>
  </si>
  <si>
    <t>Lockheed</t>
  </si>
  <si>
    <t>Moog</t>
  </si>
  <si>
    <t>MD Heli</t>
  </si>
  <si>
    <t>Bell</t>
  </si>
  <si>
    <t>GS Precision</t>
  </si>
  <si>
    <t>Baker Hill</t>
  </si>
  <si>
    <t>Alloy Specialties</t>
  </si>
  <si>
    <t>TATA Sikorsky</t>
  </si>
  <si>
    <t>Prattonair</t>
  </si>
  <si>
    <t>Connecticut Tool</t>
  </si>
  <si>
    <t>Jet Avion</t>
  </si>
  <si>
    <t>National</t>
  </si>
  <si>
    <t>Euclid</t>
  </si>
  <si>
    <t>MD Heli.</t>
  </si>
  <si>
    <t>Arrowhead</t>
  </si>
  <si>
    <t>Atlas Copco</t>
  </si>
  <si>
    <t>RA Rodriguez</t>
  </si>
  <si>
    <t>ADT/Airbus</t>
  </si>
  <si>
    <t>ADT</t>
  </si>
  <si>
    <t>Airbus</t>
  </si>
  <si>
    <t>ADT/Airbus/Embraer</t>
  </si>
  <si>
    <t>ADT/Amazon/Airbus</t>
  </si>
  <si>
    <t>Amazon/ADT</t>
  </si>
  <si>
    <t>Airbus/Embraer</t>
  </si>
  <si>
    <t>Wesco/Accurus</t>
  </si>
  <si>
    <t>Dynamatic</t>
  </si>
  <si>
    <t>Embraer</t>
  </si>
  <si>
    <t>L3</t>
  </si>
  <si>
    <t>AVIC</t>
  </si>
  <si>
    <t>FY27 FCST Qty</t>
  </si>
  <si>
    <t>FY27 Ext. Value</t>
  </si>
  <si>
    <t>FY27 Backlog Qty</t>
  </si>
  <si>
    <t>FY27 Qty FCST Qty to Fill</t>
  </si>
  <si>
    <t>FY27 Backlog Value</t>
  </si>
  <si>
    <t>FY27 ASP (SM Removed)</t>
  </si>
  <si>
    <t>FY26 Sales+Backlog Ext. Value (9.23)</t>
  </si>
  <si>
    <t>FY26 Sales + Backlog Qty (9.23)</t>
  </si>
  <si>
    <t>0151108E104</t>
  </si>
  <si>
    <t>0345104</t>
  </si>
  <si>
    <t>0386519E100</t>
  </si>
  <si>
    <t>0382510E104</t>
  </si>
  <si>
    <t>0382416</t>
  </si>
  <si>
    <t>0382524E105</t>
  </si>
  <si>
    <t>0382630E102</t>
  </si>
  <si>
    <t>0382612DM</t>
  </si>
  <si>
    <t>0382416C</t>
  </si>
  <si>
    <t>0382505ACP</t>
  </si>
  <si>
    <t>0141204E018</t>
  </si>
  <si>
    <t>0341306E022</t>
  </si>
  <si>
    <t>0188512K</t>
  </si>
  <si>
    <t>CJSA745F</t>
  </si>
  <si>
    <t>0341304E104</t>
  </si>
  <si>
    <t>SPE153</t>
  </si>
  <si>
    <t>76991</t>
  </si>
  <si>
    <t>FTS0612</t>
  </si>
  <si>
    <t>0350607E004</t>
  </si>
  <si>
    <t>SPE152</t>
  </si>
  <si>
    <t>0341205E008</t>
  </si>
  <si>
    <t>FTS0510</t>
  </si>
  <si>
    <t>0736111020E100</t>
  </si>
  <si>
    <t>0188510K</t>
  </si>
  <si>
    <t>77508</t>
  </si>
  <si>
    <t>179368</t>
  </si>
  <si>
    <t>L0163</t>
  </si>
  <si>
    <t>1800003</t>
  </si>
  <si>
    <t>179299</t>
  </si>
  <si>
    <t>0382514E019</t>
  </si>
  <si>
    <t>0382610L</t>
  </si>
  <si>
    <t>1188406K</t>
  </si>
  <si>
    <t>0188406K</t>
  </si>
  <si>
    <t>0154108E100</t>
  </si>
  <si>
    <t>062112048E100</t>
  </si>
  <si>
    <t>0388808</t>
  </si>
  <si>
    <t>0388532E100</t>
  </si>
  <si>
    <t>0350603E004</t>
  </si>
  <si>
    <t>062112286E100</t>
  </si>
  <si>
    <t>0341309E100</t>
  </si>
  <si>
    <t>0371618E100</t>
  </si>
  <si>
    <t>1188516K</t>
  </si>
  <si>
    <t>0154106E100</t>
  </si>
  <si>
    <t>0154112E100</t>
  </si>
  <si>
    <t>0388108</t>
  </si>
  <si>
    <t>0382364E100</t>
  </si>
  <si>
    <t>0382509LZ</t>
  </si>
  <si>
    <t>0382903E015</t>
  </si>
  <si>
    <t>FTS2442GOV</t>
  </si>
  <si>
    <t>0382332E016</t>
  </si>
  <si>
    <t>0382516DM</t>
  </si>
  <si>
    <t>0182008E109</t>
  </si>
  <si>
    <t>0182004E040</t>
  </si>
  <si>
    <t>0655507026E100</t>
  </si>
  <si>
    <t>0382508P</t>
  </si>
  <si>
    <t>FTS523F</t>
  </si>
  <si>
    <t>1188510K</t>
  </si>
  <si>
    <t>0382503E026</t>
  </si>
  <si>
    <t>07272166210E100</t>
  </si>
  <si>
    <t>0382514P</t>
  </si>
  <si>
    <t>179948B</t>
  </si>
  <si>
    <t>B32F</t>
  </si>
  <si>
    <t>179745</t>
  </si>
  <si>
    <t>0741410016E027</t>
  </si>
  <si>
    <t>179948A</t>
  </si>
  <si>
    <t>1153112E100</t>
  </si>
  <si>
    <t>0755517024E100</t>
  </si>
  <si>
    <t>179948C</t>
  </si>
  <si>
    <t>179948E</t>
  </si>
  <si>
    <t>0382508E012</t>
  </si>
  <si>
    <t>179948D</t>
  </si>
  <si>
    <t>CJSA694F</t>
  </si>
  <si>
    <t>0731110014E006</t>
  </si>
  <si>
    <t>CJSA692F</t>
  </si>
  <si>
    <t>0628216016E101</t>
  </si>
  <si>
    <t>0382507P</t>
  </si>
  <si>
    <t>0383508E100</t>
  </si>
  <si>
    <t>0383506E100</t>
  </si>
  <si>
    <t>0382607AP</t>
  </si>
  <si>
    <t>0382305P</t>
  </si>
  <si>
    <t>MS</t>
  </si>
  <si>
    <t>FY26</t>
  </si>
  <si>
    <t>Aero:</t>
  </si>
  <si>
    <t>MS:</t>
  </si>
  <si>
    <t>MISC08:</t>
  </si>
  <si>
    <t>FY27</t>
  </si>
  <si>
    <t>0382604P</t>
  </si>
  <si>
    <t>0382606LZK</t>
  </si>
  <si>
    <t>0382609C</t>
  </si>
  <si>
    <t>0382610E102</t>
  </si>
  <si>
    <t>0382608E102</t>
  </si>
  <si>
    <t>0345312</t>
  </si>
  <si>
    <t>1792782</t>
  </si>
  <si>
    <t>178298</t>
  </si>
  <si>
    <t>035953201</t>
  </si>
  <si>
    <t>0185808CK</t>
  </si>
  <si>
    <t>1792162</t>
  </si>
  <si>
    <t>1792164</t>
  </si>
  <si>
    <t>0382604E105</t>
  </si>
  <si>
    <t>0382505E106</t>
  </si>
  <si>
    <t>1790216</t>
  </si>
  <si>
    <t>1153114E100</t>
  </si>
  <si>
    <t>03824100E105</t>
  </si>
  <si>
    <t>0350610E101</t>
  </si>
  <si>
    <t>0388104</t>
  </si>
  <si>
    <t>0382510PK</t>
  </si>
  <si>
    <t>0382906E007</t>
  </si>
  <si>
    <t>0382520E104</t>
  </si>
  <si>
    <t>0341306E106</t>
  </si>
  <si>
    <t>L0368</t>
  </si>
  <si>
    <t>0350346E001</t>
  </si>
  <si>
    <t>0383508E101</t>
  </si>
  <si>
    <t>0383506E101</t>
  </si>
  <si>
    <t>179205</t>
  </si>
  <si>
    <t>F-16</t>
  </si>
  <si>
    <t>Boeing 737 H-Stab</t>
  </si>
  <si>
    <t>Patriot Missile Launcher</t>
  </si>
  <si>
    <t>T64</t>
  </si>
  <si>
    <t>LRHW</t>
  </si>
  <si>
    <t>F18 Landing Gear</t>
  </si>
  <si>
    <t>F22 H. Stab</t>
  </si>
  <si>
    <t>ULA</t>
  </si>
  <si>
    <t>LEAP (1B), LEAP (1A)</t>
  </si>
  <si>
    <t>F119</t>
  </si>
  <si>
    <t>PW307</t>
  </si>
  <si>
    <t>R88</t>
  </si>
  <si>
    <t xml:space="preserve">R88 </t>
  </si>
  <si>
    <t>LM1600</t>
  </si>
  <si>
    <t>BE-3U</t>
  </si>
  <si>
    <t>SpaceX VLM Tower</t>
  </si>
  <si>
    <t>F-35 CV</t>
  </si>
  <si>
    <t>Lunar Permanence</t>
  </si>
  <si>
    <t>JSF</t>
  </si>
  <si>
    <t>Black Program-TBD</t>
  </si>
  <si>
    <t>Bell 214</t>
  </si>
  <si>
    <t>GS1</t>
  </si>
  <si>
    <t>Ground Support</t>
  </si>
  <si>
    <t>F135A/B/C</t>
  </si>
  <si>
    <t>Black Project/NA</t>
  </si>
  <si>
    <t>Military</t>
  </si>
  <si>
    <t>GTF</t>
  </si>
  <si>
    <t>AJT</t>
  </si>
  <si>
    <t>Frame 6</t>
  </si>
  <si>
    <t>TEST</t>
  </si>
  <si>
    <t>R88 Helicopter</t>
  </si>
  <si>
    <t>Robinson R88</t>
  </si>
  <si>
    <t>Kyle</t>
  </si>
  <si>
    <t>JR</t>
  </si>
  <si>
    <t>Onilda</t>
  </si>
  <si>
    <t>Grant / Ricardo</t>
  </si>
  <si>
    <t>FY27 FCST Ext. Value</t>
  </si>
  <si>
    <t>RYG FY27</t>
  </si>
  <si>
    <t>Nikki</t>
  </si>
  <si>
    <t>Benni</t>
  </si>
  <si>
    <t>Total FY27 FCST Qty</t>
  </si>
  <si>
    <t>Jess</t>
  </si>
  <si>
    <t>Total</t>
  </si>
  <si>
    <t>FY27 Qty SM + FCST</t>
  </si>
  <si>
    <t>ASTK</t>
  </si>
  <si>
    <t>DLA</t>
  </si>
  <si>
    <t>Kratos</t>
  </si>
  <si>
    <t>Dynamics NC</t>
  </si>
  <si>
    <t>Hanwha</t>
  </si>
  <si>
    <t>B&amp;F Machine</t>
  </si>
  <si>
    <t>GE Energy</t>
  </si>
  <si>
    <t>Integral Industries</t>
  </si>
  <si>
    <t>BISCO</t>
  </si>
  <si>
    <t>Avior</t>
  </si>
  <si>
    <t>Traffimex</t>
  </si>
  <si>
    <t>Circor</t>
  </si>
  <si>
    <t>AIDC</t>
  </si>
  <si>
    <t>Abipa</t>
  </si>
  <si>
    <t>Marion</t>
  </si>
  <si>
    <t>Honeybee</t>
  </si>
  <si>
    <t>Southwest Research</t>
  </si>
  <si>
    <t>IPT</t>
  </si>
  <si>
    <t>BAE/Wenor</t>
  </si>
  <si>
    <t>Noranco</t>
  </si>
  <si>
    <t>Kimura</t>
  </si>
  <si>
    <t>Pattonair/Parker</t>
  </si>
  <si>
    <t>0188024</t>
  </si>
  <si>
    <t>0388506</t>
  </si>
  <si>
    <t>0738216019</t>
  </si>
  <si>
    <t>1188024</t>
  </si>
  <si>
    <t>179434</t>
  </si>
  <si>
    <t>MHI</t>
  </si>
  <si>
    <t>179961</t>
  </si>
  <si>
    <t>C130 Engine Cowling</t>
  </si>
  <si>
    <t>Jett Avion</t>
  </si>
  <si>
    <t>BE-4</t>
  </si>
  <si>
    <t>Space Whitespace:</t>
  </si>
  <si>
    <t>E</t>
  </si>
  <si>
    <t>NSN now forecasts 1500 per year</t>
  </si>
  <si>
    <t>LTA in place, expecting a follow up release for 75 ea. SM in place.</t>
  </si>
  <si>
    <t>huge 150 order from Arkwin for FMS.</t>
  </si>
  <si>
    <t>See -GOV part number for DLA</t>
  </si>
  <si>
    <t>NSN now forecasts 1402 pcs as of 8/25. 871 pcs on order book and DLA has 1500 pcs on hand</t>
  </si>
  <si>
    <t>PO's are written to have 500 pieces delivered each month for 10 months straight. Expecting similar PO next FY</t>
  </si>
  <si>
    <t xml:space="preserve">Quoting a couple of RFQ now. </t>
  </si>
  <si>
    <t>Sole Source, new soliciation like due Q2 and 20 MOQ will be demanded.</t>
  </si>
  <si>
    <t>On spot buy demand now. NSN now forecasts 75 pcs per year. Sole sourced</t>
  </si>
  <si>
    <t>Additional demand will come from FMS (RAR), DLA 91 on hand and 49 on order</t>
  </si>
  <si>
    <t>DLA is hot for these. I would expect another order in Q2 or Q3. Waiting for final approval</t>
  </si>
  <si>
    <t>NO DLA direct demand. Likely forecasted thru Heroux</t>
  </si>
  <si>
    <t xml:space="preserve">12 pieces in backlog will be good for FY27 demand. N SN now projects 14 per year so this is good. </t>
  </si>
  <si>
    <t>100 pieces in backlog will support several years of demand</t>
  </si>
  <si>
    <t>back order in place through NPB</t>
  </si>
  <si>
    <t>Customer has shared an EAU of 200 per year</t>
  </si>
  <si>
    <t>RAR demand, not competitive at DLA</t>
  </si>
  <si>
    <t>Diamond forcasting, from customer. Inventory on hand to support</t>
  </si>
  <si>
    <t>Customer has shared a demand of 250 - 300 per year</t>
  </si>
  <si>
    <t>Great recent history, sole source, DLA on Hand 6months.</t>
  </si>
  <si>
    <t>Current backlog will likely be enough to suppor MD for FY27</t>
  </si>
  <si>
    <t>receiveing an order from Jamaica to depleate our inventory before transfering to Kahr (130)</t>
  </si>
  <si>
    <t>DLA Inventory: 34 pieces (useage is ~18 pcs per year)</t>
  </si>
  <si>
    <t>FMS current demand</t>
  </si>
  <si>
    <t>not competitive with DLA market</t>
  </si>
  <si>
    <t>Single sourced, NHBB no longer approved with DLA</t>
  </si>
  <si>
    <t>DLA has 50 pieces in stock and we have plenty on hand as well to likely supply the next two years of demand</t>
  </si>
  <si>
    <t>LTA EAU is 32 pieces and is the max buy.</t>
  </si>
  <si>
    <t>DLA has 8 in stock and forecaasts 14 per year. We have 16 on back order. Likely see a small order at end of FY27 agianst LTA</t>
  </si>
  <si>
    <t>NSN now forecasts 3337 per year. We have 53 in stock to support partial shipment on first order</t>
  </si>
  <si>
    <t>Sole sourced with Arkwin consistant demand</t>
  </si>
  <si>
    <t>DLA is forecast 6 pieces per year. Current solicitation for 18 units</t>
  </si>
  <si>
    <t>Not competitive with NHBB</t>
  </si>
  <si>
    <t>LTA is for 72 - 289 pieces. We have 211 in stock, I belive we are good to go.</t>
  </si>
  <si>
    <t>DLA forcasts 4 pieces per year. We have 4 in stock to support</t>
  </si>
  <si>
    <t>LTA is for 72 - 289 pieces. We have 29 in stock, DLA is forcasting 157 per yr, DLA O/H 237 ea</t>
  </si>
  <si>
    <t>DLA only forecasts 1 pc per year. We have the stock to support</t>
  </si>
  <si>
    <t>79 pcs soliciaiton pending award. We seem to be single sourced or COI</t>
  </si>
  <si>
    <t xml:space="preserve">Sole sourced. DLA is forecaasting 26 pieces per year with 151 in stock. Gov should be good with their inventroy for FY27 </t>
  </si>
  <si>
    <t xml:space="preserve"> single soruced, on LTA with 45 pcs as the min and 85 as the max. last year to buy</t>
  </si>
  <si>
    <t>Current backlog will keep MD busy with parts for FY27</t>
  </si>
  <si>
    <t>DLA usage 4 with 5 in stock.   C5 is picking up more hours recently. Open solicitation for 9</t>
  </si>
  <si>
    <t>DLA is forecasting 459 pcs as of 6/25. LTA is for 148 - 590 pcs.</t>
  </si>
  <si>
    <t xml:space="preserve">LTA has been extended to 2026. NSN now forecasts </t>
  </si>
  <si>
    <t>Competitive with our pricing to beat NHBB on next sol. We have inventory</t>
  </si>
  <si>
    <t>See non-PLT part number</t>
  </si>
  <si>
    <t>Robinson will be going with the E101 design</t>
  </si>
  <si>
    <t>LTA Option period two has expired and GE has been awarded a LTC with DLA. Looks like NHBB is supporting GE</t>
  </si>
  <si>
    <t>no bid fiberglide VI sphericals</t>
  </si>
  <si>
    <t>NSN now: 27 pcs per year. Sole sourced. Likely see an order for 30 in two years</t>
  </si>
  <si>
    <t>See GOV PN below</t>
  </si>
  <si>
    <t xml:space="preserve">DLA dmeand is decreasing substantially. NSN now only is forecasting 5 pcs per year. Last Adept order gave the DLA plenty of stock. Might not see any demand for this for quite some time given DLA has 104 in their stock. </t>
  </si>
  <si>
    <t>LTA is for 13-54 pieces per year.</t>
  </si>
  <si>
    <t>sole sourced. NSN now is forecasting 0 pcs per year as of 6/25. They have 7 in stock so I bet we see a demeand in FY28.</t>
  </si>
  <si>
    <t>Compettive item</t>
  </si>
  <si>
    <t>Single sourced, FMS out of Korea, expect spot buy soon</t>
  </si>
  <si>
    <t xml:space="preserve">Sole sourced, usage207 pcs per year. DLA has had 0 stock since 2021. We shipped 107 pieces in 2018, should be expecting a RFQ soon. </t>
  </si>
  <si>
    <t>TransAero beat us on pricing and won an LTA. They must be distributing parts for RTX, which we are supporting thru Pratt with the -non gov pn. Kyle will liekly forecast this part</t>
  </si>
  <si>
    <t xml:space="preserve">LTA has expired, should see demand soon. NSN now is forecasting 67 per year. </t>
  </si>
  <si>
    <t xml:space="preserve">3 pcs per year. We may not be competitive for only 3 pieces so forecasting nothing. </t>
  </si>
  <si>
    <t xml:space="preserve">LTA is for 7 - 28 pieces </t>
  </si>
  <si>
    <t>FY27 Qty SM</t>
  </si>
  <si>
    <t>179051</t>
  </si>
  <si>
    <t>1792165</t>
  </si>
  <si>
    <t>76569</t>
  </si>
  <si>
    <t>L0369</t>
  </si>
  <si>
    <t>Pratt</t>
  </si>
  <si>
    <t>Trent 700</t>
  </si>
  <si>
    <t>GS1 Tunnel</t>
  </si>
  <si>
    <t>Derek</t>
  </si>
  <si>
    <t>FY27 OB Ext. Val</t>
  </si>
  <si>
    <t>FY27 Shipped Qty</t>
  </si>
  <si>
    <t>FY27 Shipped Ext. Val</t>
  </si>
  <si>
    <t>FY27 OB Qty</t>
  </si>
  <si>
    <t>FY26 Shipped Qty</t>
  </si>
  <si>
    <t>FY26 Shipped Ext. Val</t>
  </si>
  <si>
    <t>FY26 OB Qty</t>
  </si>
  <si>
    <t>ITEM</t>
  </si>
  <si>
    <t>B &amp; B MANUFACTURING</t>
  </si>
  <si>
    <t>RBC TRANSPORT DYNAMICS COR</t>
  </si>
  <si>
    <t>765002</t>
  </si>
  <si>
    <t>DFLSLIDE</t>
  </si>
  <si>
    <t>SK5244</t>
  </si>
  <si>
    <t>180005</t>
  </si>
  <si>
    <t>180006</t>
  </si>
  <si>
    <t>180008</t>
  </si>
  <si>
    <t>180009</t>
  </si>
  <si>
    <t>180007</t>
  </si>
  <si>
    <t>180010</t>
  </si>
  <si>
    <t>180011</t>
  </si>
  <si>
    <t>180012</t>
  </si>
  <si>
    <t>0141204E110</t>
  </si>
  <si>
    <t>1141204E111</t>
  </si>
  <si>
    <t>0141208E101</t>
  </si>
  <si>
    <t>180017</t>
  </si>
  <si>
    <t>0182412E101</t>
  </si>
  <si>
    <t>180024</t>
  </si>
  <si>
    <t>SK5079</t>
  </si>
  <si>
    <t>0182406</t>
  </si>
  <si>
    <t>0282406</t>
  </si>
  <si>
    <t>RBC SOUTHWEST PRODUCTS INC</t>
  </si>
  <si>
    <t>KSSB45-3</t>
  </si>
  <si>
    <t>768441</t>
  </si>
  <si>
    <t>MOTION NEW ZEALAND LTD</t>
  </si>
  <si>
    <t>RBC AEROSTRUCTURES</t>
  </si>
  <si>
    <t>MISC08</t>
  </si>
  <si>
    <t>SCHAUBLIN SA</t>
  </si>
  <si>
    <t>ARKWIN INDUSTRIES INCORPOR</t>
  </si>
  <si>
    <t>BELL TEXTRON FORT WORTH</t>
  </si>
  <si>
    <t>BELL HELICOPTER TEXTRON</t>
  </si>
  <si>
    <t>PCX AEROSTRUCTURES LLC</t>
  </si>
  <si>
    <t>DIAMOND FASTENERS</t>
  </si>
  <si>
    <t>R A RODRIGUEZ</t>
  </si>
  <si>
    <t>WHIPPANY ACTUATION SYSTEMS</t>
  </si>
  <si>
    <t>177253</t>
  </si>
  <si>
    <t>THE BOEING COMPANY</t>
  </si>
  <si>
    <t>ROSS PRECISION MFG</t>
  </si>
  <si>
    <t>ALLOY SPECIALTIES INC</t>
  </si>
  <si>
    <t>ENJET AERO NEW BRITAIN,LLC</t>
  </si>
  <si>
    <t>ENJET</t>
  </si>
  <si>
    <t>B &amp; F MACHINE CO INC</t>
  </si>
  <si>
    <t>0182007E108</t>
  </si>
  <si>
    <t>1182007E106</t>
  </si>
  <si>
    <t>0182707E100</t>
  </si>
  <si>
    <t>1182707E100</t>
  </si>
  <si>
    <t>CONNECTICUT TOOL &amp; MFG</t>
  </si>
  <si>
    <t>PURSUIT AERO</t>
  </si>
  <si>
    <t>PURSUIT AEROSPACE</t>
  </si>
  <si>
    <t>ENJET AERO NEWINGTON</t>
  </si>
  <si>
    <t>J &amp; L MACHINE</t>
  </si>
  <si>
    <t>MB AEROSPACE</t>
  </si>
  <si>
    <t>MARUBENI-ITOCHU STEEL INC</t>
  </si>
  <si>
    <t>MITSUBISHI POWER AERO LLC</t>
  </si>
  <si>
    <t>0341303E104</t>
  </si>
  <si>
    <t>POLAMER PRECISION INC</t>
  </si>
  <si>
    <t>GENERAL ELECTRIC CO</t>
  </si>
  <si>
    <t>0355408E001</t>
  </si>
  <si>
    <t>PRATT &amp; WHITNEY</t>
  </si>
  <si>
    <t>JET INDUSTRIES</t>
  </si>
  <si>
    <t>NUMET MACHINE TECHNIQUES I</t>
  </si>
  <si>
    <t>GICHNER SHELTER SYSTEMS</t>
  </si>
  <si>
    <t>W25G1U</t>
  </si>
  <si>
    <t>HOLD</t>
  </si>
  <si>
    <t>76500-FAT</t>
  </si>
  <si>
    <t>76500-PLT</t>
  </si>
  <si>
    <t>W62G2T</t>
  </si>
  <si>
    <t>0341304E011GOV</t>
  </si>
  <si>
    <t>SW3210</t>
  </si>
  <si>
    <t>ABLE AEROSPACE SERVICES,IN</t>
  </si>
  <si>
    <t>BAE SYSTEMS</t>
  </si>
  <si>
    <t>BO2621</t>
  </si>
  <si>
    <t>BO2627</t>
  </si>
  <si>
    <t>BO2622</t>
  </si>
  <si>
    <t>BO2626</t>
  </si>
  <si>
    <t>THE BOEING COMPANY-MESA</t>
  </si>
  <si>
    <t>176465</t>
  </si>
  <si>
    <t>MD HELICOPTERS, INC</t>
  </si>
  <si>
    <t>EMBRAER AIRCRAFT CORPORATI</t>
  </si>
  <si>
    <t>EMBRAER AIRCRAFT CUSTOMER</t>
  </si>
  <si>
    <t>GULFSTREAM AEROSPACE CORP</t>
  </si>
  <si>
    <t>TRIUMPH ACTUATION SYSTEMS</t>
  </si>
  <si>
    <t>FB2029</t>
  </si>
  <si>
    <t>SW3113</t>
  </si>
  <si>
    <t>SW3122</t>
  </si>
  <si>
    <t>178293X</t>
  </si>
  <si>
    <t>SW3218</t>
  </si>
  <si>
    <t>SW3222</t>
  </si>
  <si>
    <t>76500GOV</t>
  </si>
  <si>
    <t>W25P02</t>
  </si>
  <si>
    <t>W31POW</t>
  </si>
  <si>
    <t>W45N7V</t>
  </si>
  <si>
    <t>SW3211</t>
  </si>
  <si>
    <t>LM WIND POWER BLADES(INDIA</t>
  </si>
  <si>
    <t>GE GAS TURBINES LLC</t>
  </si>
  <si>
    <t>GE TOSHIBA TURBINE COMPONE</t>
  </si>
  <si>
    <t>ROUSH YATES MFG SOLUTIONS</t>
  </si>
  <si>
    <t>AIRPRO CORPORATION OF AMER</t>
  </si>
  <si>
    <t>0382422E004</t>
  </si>
  <si>
    <t>JET AVION</t>
  </si>
  <si>
    <t>179736</t>
  </si>
  <si>
    <t>WENCOR LLC</t>
  </si>
  <si>
    <t>BAKER HILL INDUSTRIES</t>
  </si>
  <si>
    <t>BO2686</t>
  </si>
  <si>
    <t>VERICOR POWER SYSTEMS</t>
  </si>
  <si>
    <t>WESCO AIRCRAFT</t>
  </si>
  <si>
    <t>BOEING DISTRIBUTION SERV I</t>
  </si>
  <si>
    <t>HANWHA AEROSPACE</t>
  </si>
  <si>
    <t>HAU AERO PRECISION</t>
  </si>
  <si>
    <t>HAU AERO PRECISION COMPONE</t>
  </si>
  <si>
    <t>G S PRECISION, INC</t>
  </si>
  <si>
    <t>BO2264</t>
  </si>
  <si>
    <t>HUPP AEROSPACE/DEFENSE</t>
  </si>
  <si>
    <t>ENSTROM HELICOPTER CORPORA</t>
  </si>
  <si>
    <t>HAU PRECISION COMPONENTS</t>
  </si>
  <si>
    <t>3BG SUPPLY CO</t>
  </si>
  <si>
    <t>URSCHEL LABORATORIES INC</t>
  </si>
  <si>
    <t>HADER-SEITZ INC.</t>
  </si>
  <si>
    <t>SEILER INSTRUMENT &amp; MFG CO</t>
  </si>
  <si>
    <t>ENJET AERO AMA</t>
  </si>
  <si>
    <t>DYNAMIC NC LLC</t>
  </si>
  <si>
    <t>HONEYBEE ROBOTICS</t>
  </si>
  <si>
    <t>ISPACE TECHNOLOGIES, INC</t>
  </si>
  <si>
    <t>0188710K</t>
  </si>
  <si>
    <t>0188706K</t>
  </si>
  <si>
    <t>ORIZON AEROSTRUCTURES</t>
  </si>
  <si>
    <t>ACCURUS AEROSPACE WICHITA,</t>
  </si>
  <si>
    <t>WOODWARD DRAKE</t>
  </si>
  <si>
    <t>0341308E103</t>
  </si>
  <si>
    <t>0341308E107</t>
  </si>
  <si>
    <t>PCC AEROSTRUCTURES</t>
  </si>
  <si>
    <t>BISCO INDUSTRIES INC</t>
  </si>
  <si>
    <t>OEM PARTS NETWORK INC</t>
  </si>
  <si>
    <t>INTERCONTINENTAL BEARING</t>
  </si>
  <si>
    <t>SOUTHWEST RESEARCH INSTITU</t>
  </si>
  <si>
    <t>BOEING DISTRIBUTION INC.</t>
  </si>
  <si>
    <t>AIR TRACTOR INC.</t>
  </si>
  <si>
    <t>LOCKHEED MARTIN</t>
  </si>
  <si>
    <t>1154108E100</t>
  </si>
  <si>
    <t>ARROWHEAD PRODUCTS CORP</t>
  </si>
  <si>
    <t>CIRCOR AEROSPACE</t>
  </si>
  <si>
    <t>MAXIMUM TURBINE SUPPORT</t>
  </si>
  <si>
    <t>PARKER HANNIFIN CORPORATIO</t>
  </si>
  <si>
    <t>RELATIVITY SPACE</t>
  </si>
  <si>
    <t>RELATIVITY SPACE INC</t>
  </si>
  <si>
    <t>RELATIVITY SPACE INC,</t>
  </si>
  <si>
    <t>RELATIVITY SPACE INC, HQ</t>
  </si>
  <si>
    <t>SPACE EXPLORATION TECHNOLO</t>
  </si>
  <si>
    <t>0382308DM</t>
  </si>
  <si>
    <t>0153112E100</t>
  </si>
  <si>
    <t>0382514DM</t>
  </si>
  <si>
    <t>ROBINSON HELICOPTER CO</t>
  </si>
  <si>
    <t>KIMURA CORPORATION</t>
  </si>
  <si>
    <t>SELMET, INC</t>
  </si>
  <si>
    <t>T I SQUARED</t>
  </si>
  <si>
    <t>NATIONAL PRECISION BEARING</t>
  </si>
  <si>
    <t>AMAZON KUIPER</t>
  </si>
  <si>
    <t>AMAZON.COM SERVICES LLC</t>
  </si>
  <si>
    <t>BLUE ORIGIN LLC</t>
  </si>
  <si>
    <t>0388310</t>
  </si>
  <si>
    <t>0388312</t>
  </si>
  <si>
    <t>0388116</t>
  </si>
  <si>
    <t>UNIVERSITY SWAGING/PRIMUS</t>
  </si>
  <si>
    <t>EVERGREEN AVIATION TECH</t>
  </si>
  <si>
    <t>HUNAN SOUTH GENERAL</t>
  </si>
  <si>
    <t>AVITRON PRIVATE LTD</t>
  </si>
  <si>
    <t>SAM PRECISION (THAILAND)</t>
  </si>
  <si>
    <t>PRIMUS INTERNATIONAL (SUZH</t>
  </si>
  <si>
    <t>FAMAT</t>
  </si>
  <si>
    <t>ADEPT FASTENERS</t>
  </si>
  <si>
    <t>AEROSPACE DYNAMICS INT'L</t>
  </si>
  <si>
    <t>AEROSPACE TECHNOLOGY OF KO</t>
  </si>
  <si>
    <t>KYEONGIN TECH  CUSTOMS OFF</t>
  </si>
  <si>
    <t>WOODWARD HRT</t>
  </si>
  <si>
    <t>HSIEH CHANG BEARINGS CO</t>
  </si>
  <si>
    <t>BAE SYSTEMS  WINCANTON</t>
  </si>
  <si>
    <t>MOOG WOLVERHAMPTON LTD</t>
  </si>
  <si>
    <t>TRIUMPH ACTUATION SYSTEM</t>
  </si>
  <si>
    <t>TRIUMPH AEROSPACE OPERATIO</t>
  </si>
  <si>
    <t>0728208017E100</t>
  </si>
  <si>
    <t>0728210015E100</t>
  </si>
  <si>
    <t>MCBRAIDA PLC</t>
  </si>
  <si>
    <t>GE ENERGY PARTS INC</t>
  </si>
  <si>
    <t>RONALDSWAY AIRCRAFT CO INC</t>
  </si>
  <si>
    <t>PATTONAIR LIMITED</t>
  </si>
  <si>
    <t>AGRIM MRO SOLUTIONS</t>
  </si>
  <si>
    <t>0382606K</t>
  </si>
  <si>
    <t>AZAD ENGINEERING LTD</t>
  </si>
  <si>
    <t>CIM TOOLS PRIVATE LTD</t>
  </si>
  <si>
    <t>DYNAMATIC TECHNOLOGIES LIM</t>
  </si>
  <si>
    <t>MAGELLAN AEROSPACE (TUMKUR</t>
  </si>
  <si>
    <t>GE INDIA INDUSTRIAL PVT LT</t>
  </si>
  <si>
    <t>TATA ADVANCED SYSTEMS LTD</t>
  </si>
  <si>
    <t>TATA SIKORSKY AEROSPACE LT</t>
  </si>
  <si>
    <t>ALP AVIATION</t>
  </si>
  <si>
    <t>1141204E110</t>
  </si>
  <si>
    <t>L0358</t>
  </si>
  <si>
    <t>TUSAS MOTOR SANAYII A.S.</t>
  </si>
  <si>
    <t>GE ENERGY PRODUCTS FRANCE</t>
  </si>
  <si>
    <t>CITELE INDUSTRIE</t>
  </si>
  <si>
    <t>ABIPA CANADA INC</t>
  </si>
  <si>
    <t>BELL HELICOPTER TEXTRON CA</t>
  </si>
  <si>
    <t>COMTEK</t>
  </si>
  <si>
    <t>CYCLONE MANUFACTURING INC</t>
  </si>
  <si>
    <t>DCM GROUP INC</t>
  </si>
  <si>
    <t>EMBRAER S/A</t>
  </si>
  <si>
    <t>0382312PK</t>
  </si>
  <si>
    <t>EMBRAER S.A.</t>
  </si>
  <si>
    <t>HÉROUX-DEVTEK</t>
  </si>
  <si>
    <t>HEROUX DEVTEK</t>
  </si>
  <si>
    <t>AVIOR INTEGRATED PRODUCTS</t>
  </si>
  <si>
    <t>1790193</t>
  </si>
  <si>
    <t>1792783</t>
  </si>
  <si>
    <t>1792784</t>
  </si>
  <si>
    <t>1792785</t>
  </si>
  <si>
    <t>1792775</t>
  </si>
  <si>
    <t>1792774</t>
  </si>
  <si>
    <t>PRATT &amp; WHITNEY CANADA</t>
  </si>
  <si>
    <t>NORANCO MANUFACTURING LTD</t>
  </si>
  <si>
    <t>BOEING DISTRIBUTION SERV INC</t>
  </si>
  <si>
    <t>BOEING ROTORCRAFTS</t>
  </si>
  <si>
    <t>APPLIED IND'L TECHNOLOGIES</t>
  </si>
  <si>
    <t>BELL HELICOPTER TEXTRON CANADA</t>
  </si>
  <si>
    <t>EASTERN INDUSTRIAL AUTOMATION</t>
  </si>
  <si>
    <t>ENSTROM HELICOPTER CORPORATION</t>
  </si>
  <si>
    <t>PARKER HANNIFIN CORPORATION</t>
  </si>
  <si>
    <t>RBC TRANSPORT DYNAMICS CORP</t>
  </si>
  <si>
    <t>TRIUMPH ACTUATION SYSTEMS LLS</t>
  </si>
  <si>
    <t>BDI (D99 DIST CENTER)</t>
  </si>
  <si>
    <t>MOTION INDUSTRIES INC  MO35</t>
  </si>
  <si>
    <t>MOTION INDUSTRIES INC  AL17</t>
  </si>
  <si>
    <t>MOTION INDUSTRIES INC  MO10</t>
  </si>
  <si>
    <t>DLA AVIATION</t>
  </si>
  <si>
    <t>EUCLID MACHINE CO.</t>
  </si>
  <si>
    <t>WOORAE PARK</t>
  </si>
  <si>
    <t>EDAC AERO PRECISION COMPONENTS</t>
  </si>
  <si>
    <t>PARADIGM PRECISION</t>
  </si>
  <si>
    <t>BSC INDUSTRIES INC</t>
  </si>
  <si>
    <t>MOTION INDUSTRIES INC  MN14</t>
  </si>
  <si>
    <t>STEVENS MFG CO INC</t>
  </si>
  <si>
    <t>GE INDIA INDUSTRIAL PVT LTD</t>
  </si>
  <si>
    <t>NASMYTHBULWELL PRECISION ENG</t>
  </si>
  <si>
    <t>BO2574</t>
  </si>
  <si>
    <t>AEROSPACE COMPOSITE CENTER</t>
  </si>
  <si>
    <t>GE GAS TURBINES GREENVILLE LLC</t>
  </si>
  <si>
    <t>SW3119</t>
  </si>
  <si>
    <t>MARTIN AEROSPACE LTD</t>
  </si>
  <si>
    <t>SELMET INC.</t>
  </si>
  <si>
    <t>PURVIS INDUSTRIES</t>
  </si>
  <si>
    <t>MISC</t>
  </si>
  <si>
    <t>INTEGRAL INDUSTRIES INC</t>
  </si>
  <si>
    <t>BO2685</t>
  </si>
  <si>
    <t>MECAER SYSTEMS CANADA</t>
  </si>
  <si>
    <t>MOTION INDUSTRIES INC  MA20</t>
  </si>
  <si>
    <t>RBC FRANCE</t>
  </si>
  <si>
    <t>MOTION INDUSTRIES INC  OH65</t>
  </si>
  <si>
    <t>MOTION INDUSTRIES INC  NY04</t>
  </si>
  <si>
    <t>PATTONAIR ASIA PTE LTD</t>
  </si>
  <si>
    <t>MOTION INDUSTRIES INC  MD73</t>
  </si>
  <si>
    <t>MORRIS MACHINE</t>
  </si>
  <si>
    <t>BO2561</t>
  </si>
  <si>
    <t>MOTION INDUSTRIES INC  GA50</t>
  </si>
  <si>
    <t>RBC CREDIT CARD</t>
  </si>
  <si>
    <t>MOTION INDUSTRIES INC  IL64</t>
  </si>
  <si>
    <t>AUGER INDUSTRIES, INC</t>
  </si>
  <si>
    <t>BO2575</t>
  </si>
  <si>
    <t>MOTION INDUSTRIES INC  NY39</t>
  </si>
  <si>
    <t>H &amp; H EXPORT</t>
  </si>
  <si>
    <t>0382606E018</t>
  </si>
  <si>
    <t>SHANGHAI MOTION CONTROL TECH</t>
  </si>
  <si>
    <t>PBA SYSTEMS PTE LTD</t>
  </si>
  <si>
    <t>SONIC INDUSTRIES INC</t>
  </si>
  <si>
    <t>MOTION INDUSTRIES INC  WI22</t>
  </si>
  <si>
    <t>CROWN PRECISION MACHINING</t>
  </si>
  <si>
    <t>MOTION INDUSTRIES INC  NJ18</t>
  </si>
  <si>
    <t>MOTION INDUSTRIES INC  FL04</t>
  </si>
  <si>
    <t>BDI (85)</t>
  </si>
  <si>
    <t>MOTION INDUSTRIES INC  IL33</t>
  </si>
  <si>
    <t>WHITCRAFT SOUTH WINDSOR LLC</t>
  </si>
  <si>
    <t>ACORN IND'L SERVICES LTD</t>
  </si>
  <si>
    <t>BROWN BEARING &amp; DRIVE</t>
  </si>
  <si>
    <t>INTEGRATED PROCUREMENT</t>
  </si>
  <si>
    <t>MOTION INDUSTRIES INC  IN52</t>
  </si>
  <si>
    <t>MOTION INDUSTRIES INC  CT12</t>
  </si>
  <si>
    <t>ATLANTIC PRECISION INC</t>
  </si>
  <si>
    <t>BO2813</t>
  </si>
  <si>
    <t>MOTION INDUSTRIES INC  TX97</t>
  </si>
  <si>
    <t>0365410E002</t>
  </si>
  <si>
    <t>ABLE AEROSPACE SERVICES,INC</t>
  </si>
  <si>
    <t>ARKWIN INDUSTRIES INCORPORATED</t>
  </si>
  <si>
    <t>MOTION INDUSTRIES INC  AL63</t>
  </si>
  <si>
    <t>SARGENT AEROSPACE &amp; DEFENSE</t>
  </si>
  <si>
    <t>PATTONAIR (US INCORA)</t>
  </si>
  <si>
    <t>ACCURUS AEROSPACE WICHITA, LLC</t>
  </si>
  <si>
    <t>HADER-SEITZ, INC</t>
  </si>
  <si>
    <t>MOTION INDUSTRIES INC  CA11</t>
  </si>
  <si>
    <t>CHRIS STRICKER</t>
  </si>
  <si>
    <t>MOTION INDUSTRIES INC  MI01</t>
  </si>
  <si>
    <t>BLAIR INDUSTRIES</t>
  </si>
  <si>
    <t>BO2446</t>
  </si>
  <si>
    <t>0382505APK</t>
  </si>
  <si>
    <t>GE ENERGY PRODUCTS FRANCE SNC</t>
  </si>
  <si>
    <t>BO2051</t>
  </si>
  <si>
    <t>BO2358</t>
  </si>
  <si>
    <t>BO2837</t>
  </si>
  <si>
    <t>BO2047</t>
  </si>
  <si>
    <t>AIDC AEROSPACE IND'L DEV CO</t>
  </si>
  <si>
    <t>179948F</t>
  </si>
  <si>
    <t>MOTION INDUSTRIES INC  CA24</t>
  </si>
  <si>
    <t>LM WIND POWER BLADES (INDIA)</t>
  </si>
  <si>
    <t>BOEING DISTRIBUTION SERVICES</t>
  </si>
  <si>
    <t>MOTION INDUSTRIES INC  MN29</t>
  </si>
  <si>
    <t>BO2135</t>
  </si>
  <si>
    <t>MOTION INDUSTRIES INC  FL02</t>
  </si>
  <si>
    <t>LYNN HUNTER</t>
  </si>
  <si>
    <t>BO2119</t>
  </si>
  <si>
    <t>CBT</t>
  </si>
  <si>
    <t>MAY TECHNOLOGY &amp; MFG INC</t>
  </si>
  <si>
    <t>BO2783</t>
  </si>
  <si>
    <t>CM MANUFACTURING</t>
  </si>
  <si>
    <t>MOTION INDUSTRIES INC  CA20</t>
  </si>
  <si>
    <t>BO2843</t>
  </si>
  <si>
    <t>BDI (27)</t>
  </si>
  <si>
    <t>SPACE EXPLORATION TECHNOLOGIES</t>
  </si>
  <si>
    <t>R A RODRIGUEZ INC</t>
  </si>
  <si>
    <t>AERONNVA COMPONENTS MEXICO SA</t>
  </si>
  <si>
    <t>MOTION INDUSTRIES INC  IN01</t>
  </si>
  <si>
    <t>BELL HELICOPTER</t>
  </si>
  <si>
    <t>MOTION INDUSTRIES INC  EC01</t>
  </si>
  <si>
    <t>EURAVIA NORTH AMERICA</t>
  </si>
  <si>
    <t>BO2853</t>
  </si>
  <si>
    <t>BO2854</t>
  </si>
  <si>
    <t>BO2859</t>
  </si>
  <si>
    <t>NUMET MACHINE TECHNIQUES INC</t>
  </si>
  <si>
    <t>AIRPORT BEARING COMPANY LTD</t>
  </si>
  <si>
    <t>MOTION INDUSTRIES INC  TN06</t>
  </si>
  <si>
    <t>BO2711</t>
  </si>
  <si>
    <t>POWER INDUSTRIES       CA38</t>
  </si>
  <si>
    <t>EASTERN INDL AUTOMATION 02</t>
  </si>
  <si>
    <t>BO2116</t>
  </si>
  <si>
    <t>ALPINE BEARING COMPANY</t>
  </si>
  <si>
    <t>MOTION INDUSTRIES INC  UT13</t>
  </si>
  <si>
    <t>BDI (41)</t>
  </si>
  <si>
    <t>GOLD-TEK CO LTD</t>
  </si>
  <si>
    <t>BDI (78)</t>
  </si>
  <si>
    <t>MARION MANUFACTURING</t>
  </si>
  <si>
    <t>BO2873</t>
  </si>
  <si>
    <t>LEFIELL MFG COMPANY</t>
  </si>
  <si>
    <t>BO2734</t>
  </si>
  <si>
    <t>BO2733</t>
  </si>
  <si>
    <t>BO2735</t>
  </si>
  <si>
    <t>BO2732</t>
  </si>
  <si>
    <t>L-3 TECHNOLOGIES CORPORATION</t>
  </si>
  <si>
    <t>MOTION INDUSTRIES INC  FL05</t>
  </si>
  <si>
    <t>TATA SIKORSKY AEROSPACE LTD</t>
  </si>
  <si>
    <t>FARSOUND AVIATION</t>
  </si>
  <si>
    <t>SAFERACK MANUFACTURING</t>
  </si>
  <si>
    <t>MOTION INDUSTRIES INC  FL85</t>
  </si>
  <si>
    <t>JOBY AERO INC</t>
  </si>
  <si>
    <t>BO2127</t>
  </si>
  <si>
    <t>0382605E018</t>
  </si>
  <si>
    <t>MOTION INDUSTRIES INC  IN11</t>
  </si>
  <si>
    <t>AEROSPACE TECHNOLOGY OF KOREA</t>
  </si>
  <si>
    <t>BO2133</t>
  </si>
  <si>
    <t>MOTION INDUSTRIES INC  CA78</t>
  </si>
  <si>
    <t>MOTION INDUSTRIES INC  IN18</t>
  </si>
  <si>
    <t>DODGE INDUSTRIAL CANADA, INC</t>
  </si>
  <si>
    <t>1151112E102</t>
  </si>
  <si>
    <t>0151112E103</t>
  </si>
  <si>
    <t>WOODWARD MPC INC</t>
  </si>
  <si>
    <t>59229</t>
  </si>
  <si>
    <t>MOTION INDUSTRIES INC  SC76</t>
  </si>
  <si>
    <t>DERCO AEROSPACE INC</t>
  </si>
  <si>
    <t>PROPONENT</t>
  </si>
  <si>
    <t>COMPETITION TIRE EAST</t>
  </si>
  <si>
    <t>LOCKHEED MARTIN AEROPARTS INC</t>
  </si>
  <si>
    <t>BO2142</t>
  </si>
  <si>
    <t>DYNAMATIC AEROTROPOLIS</t>
  </si>
  <si>
    <t>FASTENAL COMPANY     BR:CQIN</t>
  </si>
  <si>
    <t>LAMB COMPONENTS</t>
  </si>
  <si>
    <t>JAMES REPKA</t>
  </si>
  <si>
    <t>MOTION INDUSTRIES INC  UT04</t>
  </si>
  <si>
    <t>K2 SPACE</t>
  </si>
  <si>
    <t>2165912E002</t>
  </si>
  <si>
    <t>MAGELLAN AEROSPACE BANGALORE</t>
  </si>
  <si>
    <t>BO2224</t>
  </si>
  <si>
    <t>MOTION INDUSTRIES INC  WI02</t>
  </si>
  <si>
    <t>BELVAC PRODUCTION MACHINERY</t>
  </si>
  <si>
    <t>AVIC INTL HOLDING CORPORATION</t>
  </si>
  <si>
    <t>MOTION INDUSTRIES INC  CA04</t>
  </si>
  <si>
    <t>KYEONGIN TECH  CUSTOMS OFFICE</t>
  </si>
  <si>
    <t>ROYTECH AEROSPACE LTD</t>
  </si>
  <si>
    <t>MILLENNIUM MACHINE &amp; TOOL INC</t>
  </si>
  <si>
    <t>GREENE MACHINE &amp; MFG INC</t>
  </si>
  <si>
    <t>179881</t>
  </si>
  <si>
    <t>MOTION INDUSTRIES INC  NY01</t>
  </si>
  <si>
    <t>BO2900</t>
  </si>
  <si>
    <t>FRANK CALLAHAN CO INC</t>
  </si>
  <si>
    <t>B69209000000LCS</t>
  </si>
  <si>
    <t>ACCURATE METAL MACHINING INC</t>
  </si>
  <si>
    <t>MOTION INDUSTRIES INC  MI27</t>
  </si>
  <si>
    <t>RBH AEROSPACE, INC</t>
  </si>
  <si>
    <t>MHI RJ AVIATION INC</t>
  </si>
  <si>
    <t>MOTION INDUSTRIES INC  WI06</t>
  </si>
  <si>
    <t>90886</t>
  </si>
  <si>
    <t>908873</t>
  </si>
  <si>
    <t>BETA TECHNOLOGIES, INC</t>
  </si>
  <si>
    <t>APPLIED IND'L TECHNOLOGIES BR.</t>
  </si>
  <si>
    <t>BDI (38)</t>
  </si>
  <si>
    <t>PACIFIC INTERNATIONAL BEARING</t>
  </si>
  <si>
    <t>CUSTOMER</t>
  </si>
  <si>
    <t>0755505010E101</t>
  </si>
  <si>
    <t>0755505010E103</t>
  </si>
  <si>
    <t>0755505010E201</t>
  </si>
  <si>
    <t>0755506011E214</t>
  </si>
  <si>
    <t>0755506011E216</t>
  </si>
  <si>
    <t>0755506011E217</t>
  </si>
  <si>
    <t>0382304K</t>
  </si>
  <si>
    <t>0382503PK</t>
  </si>
  <si>
    <t>0382516K</t>
  </si>
  <si>
    <t>0356514E001</t>
  </si>
  <si>
    <t>0382314CP</t>
  </si>
  <si>
    <t>0382608CP</t>
  </si>
  <si>
    <t>0731106014E012</t>
  </si>
  <si>
    <t>1141204E022</t>
  </si>
  <si>
    <t>178299</t>
  </si>
  <si>
    <t>50130</t>
  </si>
  <si>
    <t>0370612E001</t>
  </si>
  <si>
    <t>0151104E051</t>
  </si>
  <si>
    <t>0241205E002</t>
  </si>
  <si>
    <t>0382505AK</t>
  </si>
  <si>
    <t>0721108006</t>
  </si>
  <si>
    <t>178975</t>
  </si>
  <si>
    <t>179078</t>
  </si>
  <si>
    <t>179292</t>
  </si>
  <si>
    <t>0382510P</t>
  </si>
  <si>
    <t>0382607C</t>
  </si>
  <si>
    <t>0382607E101</t>
  </si>
  <si>
    <t>0382610C</t>
  </si>
  <si>
    <t>0382612E104</t>
  </si>
  <si>
    <t>0382905E104</t>
  </si>
  <si>
    <t>0382907E103</t>
  </si>
  <si>
    <t>0382504ZK</t>
  </si>
  <si>
    <t>0382505LZK</t>
  </si>
  <si>
    <t>BO1633</t>
  </si>
  <si>
    <t>BO1800</t>
  </si>
  <si>
    <t>BO1919</t>
  </si>
  <si>
    <t>BO2016</t>
  </si>
  <si>
    <t>BO2126</t>
  </si>
  <si>
    <t>BO2369</t>
  </si>
  <si>
    <t>BO2470</t>
  </si>
  <si>
    <t>BO2473</t>
  </si>
  <si>
    <t>BO2517</t>
  </si>
  <si>
    <t>BO2543</t>
  </si>
  <si>
    <t>BO2560</t>
  </si>
  <si>
    <t>BO2616</t>
  </si>
  <si>
    <t>BO2858</t>
  </si>
  <si>
    <t>BO2864</t>
  </si>
  <si>
    <t>BO2865</t>
  </si>
  <si>
    <t>BO2875</t>
  </si>
  <si>
    <t>BO2876</t>
  </si>
  <si>
    <t>BO2878</t>
  </si>
  <si>
    <t>BO2879</t>
  </si>
  <si>
    <t>BO2881</t>
  </si>
  <si>
    <t>BO2883</t>
  </si>
  <si>
    <t>BO2886</t>
  </si>
  <si>
    <t>L0161</t>
  </si>
  <si>
    <t>L0233</t>
  </si>
  <si>
    <t>L0357</t>
  </si>
  <si>
    <t>0141205E105</t>
  </si>
  <si>
    <t>0151116E103</t>
  </si>
  <si>
    <t>0153116E100</t>
  </si>
  <si>
    <t>0182004E110</t>
  </si>
  <si>
    <t>0182008E110</t>
  </si>
  <si>
    <t>0188505K</t>
  </si>
  <si>
    <t>0188506K</t>
  </si>
  <si>
    <t>0188708K</t>
  </si>
  <si>
    <t>0241205E001</t>
  </si>
  <si>
    <t>0282405E021</t>
  </si>
  <si>
    <t>0282408</t>
  </si>
  <si>
    <t>0282430M001</t>
  </si>
  <si>
    <t>0341303E007</t>
  </si>
  <si>
    <t>0341304E008</t>
  </si>
  <si>
    <t>0341305E032</t>
  </si>
  <si>
    <t>0341306E028</t>
  </si>
  <si>
    <t>0341310E002</t>
  </si>
  <si>
    <t>0345106E100</t>
  </si>
  <si>
    <t>0350504E037</t>
  </si>
  <si>
    <t>0350616E101</t>
  </si>
  <si>
    <t>0358032E001</t>
  </si>
  <si>
    <t>0365320E001</t>
  </si>
  <si>
    <t>0365408E102</t>
  </si>
  <si>
    <t>0370803E100</t>
  </si>
  <si>
    <t>0382305K</t>
  </si>
  <si>
    <t>0382306PK</t>
  </si>
  <si>
    <t>0382308K</t>
  </si>
  <si>
    <t>03823120E001</t>
  </si>
  <si>
    <t>0382316Z</t>
  </si>
  <si>
    <t>0382330E001</t>
  </si>
  <si>
    <t>0382332E008</t>
  </si>
  <si>
    <t>0382340E001</t>
  </si>
  <si>
    <t>0382414K</t>
  </si>
  <si>
    <t>0382415E100</t>
  </si>
  <si>
    <t>0382417M006</t>
  </si>
  <si>
    <t>0382460M001</t>
  </si>
  <si>
    <t>0382503LZ</t>
  </si>
  <si>
    <t>0382503P</t>
  </si>
  <si>
    <t>0382505Z</t>
  </si>
  <si>
    <t>0382507C</t>
  </si>
  <si>
    <t>0382508E106</t>
  </si>
  <si>
    <t>0382508LZ</t>
  </si>
  <si>
    <t>0382510LZ</t>
  </si>
  <si>
    <t>0382512C</t>
  </si>
  <si>
    <t>0382512LC</t>
  </si>
  <si>
    <t>0382514E020</t>
  </si>
  <si>
    <t>0382516C</t>
  </si>
  <si>
    <t>0382516E104</t>
  </si>
  <si>
    <t>0382519M100</t>
  </si>
  <si>
    <t>0382603K</t>
  </si>
  <si>
    <t>0382603P</t>
  </si>
  <si>
    <t>0382603PK</t>
  </si>
  <si>
    <t>0382604Z</t>
  </si>
  <si>
    <t>0382605CP</t>
  </si>
  <si>
    <t>0382605Z</t>
  </si>
  <si>
    <t>0382607AL</t>
  </si>
  <si>
    <t>0382607E100</t>
  </si>
  <si>
    <t>0382608L</t>
  </si>
  <si>
    <t>0382610DM</t>
  </si>
  <si>
    <t>0382622E021</t>
  </si>
  <si>
    <t>0382632E008</t>
  </si>
  <si>
    <t>0382632E009</t>
  </si>
  <si>
    <t>0382812E100</t>
  </si>
  <si>
    <t>0382814E100</t>
  </si>
  <si>
    <t>0382903E100</t>
  </si>
  <si>
    <t>0382904E104</t>
  </si>
  <si>
    <t>0382906E007-PLT</t>
  </si>
  <si>
    <t>0383606E100</t>
  </si>
  <si>
    <t>0386403</t>
  </si>
  <si>
    <t>0386405</t>
  </si>
  <si>
    <t>03881014M100</t>
  </si>
  <si>
    <t>0388108E100</t>
  </si>
  <si>
    <t>0388408</t>
  </si>
  <si>
    <t>0388503K</t>
  </si>
  <si>
    <t>0388507</t>
  </si>
  <si>
    <t>0388510</t>
  </si>
  <si>
    <t>0388510K</t>
  </si>
  <si>
    <t>0388512</t>
  </si>
  <si>
    <t>0628217016E100</t>
  </si>
  <si>
    <t>0631156098E005</t>
  </si>
  <si>
    <t>0631195182E001</t>
  </si>
  <si>
    <t>0636124068E100</t>
  </si>
  <si>
    <t>0636124068E101</t>
  </si>
  <si>
    <t>0641411028M001</t>
  </si>
  <si>
    <t>0641428030M001</t>
  </si>
  <si>
    <t>0688004019E100</t>
  </si>
  <si>
    <t>0688006009</t>
  </si>
  <si>
    <t>0688006010</t>
  </si>
  <si>
    <t>0688006011</t>
  </si>
  <si>
    <t>0711047042E100</t>
  </si>
  <si>
    <t>0728210013E051</t>
  </si>
  <si>
    <t>0728210047E044</t>
  </si>
  <si>
    <t>0728216016E043</t>
  </si>
  <si>
    <t>0728219025E003</t>
  </si>
  <si>
    <t>0728220032</t>
  </si>
  <si>
    <t>0736140046E001</t>
  </si>
  <si>
    <t>0741420103E100</t>
  </si>
  <si>
    <t>1141205E032</t>
  </si>
  <si>
    <t>1169105</t>
  </si>
  <si>
    <t>1188008</t>
  </si>
  <si>
    <t>1188506K</t>
  </si>
  <si>
    <t>1282405E021</t>
  </si>
  <si>
    <t>176227</t>
  </si>
  <si>
    <t>177202</t>
  </si>
  <si>
    <t>178175</t>
  </si>
  <si>
    <t>178626</t>
  </si>
  <si>
    <t>178849</t>
  </si>
  <si>
    <t>179023</t>
  </si>
  <si>
    <t>179967</t>
  </si>
  <si>
    <t>56009</t>
  </si>
  <si>
    <t>791461</t>
  </si>
  <si>
    <t>79313</t>
  </si>
  <si>
    <t>79328</t>
  </si>
  <si>
    <t>90724</t>
  </si>
  <si>
    <t>FY25 EXT VAL</t>
  </si>
  <si>
    <t>FY24 EXT VAL</t>
  </si>
  <si>
    <t>TURBINE KINETICS INC</t>
  </si>
  <si>
    <t>0182008E033</t>
  </si>
  <si>
    <t>JAMAICA BEARINGS COMPANY INC</t>
  </si>
  <si>
    <t>SYSTIMA TECHNOLOGIES</t>
  </si>
  <si>
    <t>CAMBRIDGE SPECIALTY CO INC</t>
  </si>
  <si>
    <t>MITSUBISHI HEAVY IND AMERICA</t>
  </si>
  <si>
    <t>ATTCO MACHINE PRODUCTS</t>
  </si>
  <si>
    <t>J F  FREDERICKS TOOL CO., INC.</t>
  </si>
  <si>
    <t>NETUR</t>
  </si>
  <si>
    <t>PCC STRUCTUAL INC</t>
  </si>
  <si>
    <t>EMBRAER AVIATION INTERNATIONAL</t>
  </si>
  <si>
    <t>EMBRAER S A</t>
  </si>
  <si>
    <t>BOEING COMMERCIAL AIRPLANE</t>
  </si>
  <si>
    <t>ALL-SYSTEM AEROSPACE INT'L</t>
  </si>
  <si>
    <t>COLUMBIA HELICOPTERS, INC.</t>
  </si>
  <si>
    <t>FASTENAL COMPANY</t>
  </si>
  <si>
    <t>WICHITA AEROSPACE</t>
  </si>
  <si>
    <t>AEROJET ROCKETDYNE</t>
  </si>
  <si>
    <t>GOLDEN INDUSTRIAL SUPPLY CO</t>
  </si>
  <si>
    <t>MOTION INDUSTRIES INC  CA22</t>
  </si>
  <si>
    <t>MOTION INDUSTRIES INC  LA51</t>
  </si>
  <si>
    <t>MOTION INDUSTRIES INC  WI09</t>
  </si>
  <si>
    <t>MOTION INDUSTRIES INC  IN03</t>
  </si>
  <si>
    <t>WIPRO GIVON USA. INC</t>
  </si>
  <si>
    <t>A CHEMLANI TECHNOLOGY</t>
  </si>
  <si>
    <t>BDI (22)</t>
  </si>
  <si>
    <t>BLUE BIRD BODY COMPANY</t>
  </si>
  <si>
    <t>BLUE BIRD SERVICE PARTS</t>
  </si>
  <si>
    <t>MOTION INDUSTRIES INC  CT16</t>
  </si>
  <si>
    <t>MOTION INDUSTRIES INC  IL30</t>
  </si>
  <si>
    <t>MOTION INDUSTRIES INC  MO36</t>
  </si>
  <si>
    <t>MOTION INDUSTRIES INC  NY18</t>
  </si>
  <si>
    <t>MOTION INDUSTRIES INC  WI27</t>
  </si>
  <si>
    <t>TRI-STATE BEARING CO INC</t>
  </si>
  <si>
    <t>MOTION INDUSTRIES INC  MI06</t>
  </si>
  <si>
    <t>MOTION INDUSTRIES INC  VA09</t>
  </si>
  <si>
    <t>MOTION MEXICO S.DE RL DE CV</t>
  </si>
  <si>
    <t>BEARINGS INCORPORATED SOUTH</t>
  </si>
  <si>
    <t>MOTION INDUSTRIES INC  AR55</t>
  </si>
  <si>
    <t>MOTION INDUSTRIES INC  CA18</t>
  </si>
  <si>
    <t>MOTION INDUSTRIES INC  NY03</t>
  </si>
  <si>
    <t>WEIMER BEARING &amp; TRANSMISSION</t>
  </si>
  <si>
    <t>BDI (089)</t>
  </si>
  <si>
    <t>MOTION INDUSTRIES INC  OK07</t>
  </si>
  <si>
    <t>ANN EVORA ESTRUTURAS METALICAS</t>
  </si>
  <si>
    <t>MOTION INDUSTRIES INC  GA12</t>
  </si>
  <si>
    <t>MOTION INDUSTRIES INC  OK09</t>
  </si>
  <si>
    <t>MOTION INDUSTRIES INC  VA05</t>
  </si>
  <si>
    <t>RBC BEARINGS CANADA</t>
  </si>
  <si>
    <t>BOEING SPACE &amp; DEFENSE</t>
  </si>
  <si>
    <t>DYNETICS TECHNICAL SOLUTIONS</t>
  </si>
  <si>
    <t>MOTION INDUSTRIES INC  CA05</t>
  </si>
  <si>
    <t>MOTION INDUSTRIES INC  CO81</t>
  </si>
  <si>
    <t>MOTION INDUSTRIES INC  FL03</t>
  </si>
  <si>
    <t>MOTION INDUSTRIES INC  LA40</t>
  </si>
  <si>
    <t>GENERAL TOOL &amp; SUPPLY  WA17</t>
  </si>
  <si>
    <t>APPLIED IND'L TECH BR 2264</t>
  </si>
  <si>
    <t>BDI (036)</t>
  </si>
  <si>
    <t>ERIE TEC INC</t>
  </si>
  <si>
    <t>MOTION INDUSTRIES INC  ME02</t>
  </si>
  <si>
    <t>MOTION INDUSTRIES INC  WA33</t>
  </si>
  <si>
    <t>APPLIED IND'L TECH BR 2286</t>
  </si>
  <si>
    <t>BDI (23)</t>
  </si>
  <si>
    <t>BDI (30)</t>
  </si>
  <si>
    <t>GIPSON BEARING &amp; SUPPLY</t>
  </si>
  <si>
    <t>MOTION INDUSTRIES INC  FC10</t>
  </si>
  <si>
    <t>MOTION INDUSTRIES INC  PA01</t>
  </si>
  <si>
    <t>MOTION INDUSTRIES INC  WA21</t>
  </si>
  <si>
    <t>NORTHROP GRUMMAN</t>
  </si>
  <si>
    <t>SYSTEMS 3 INC</t>
  </si>
  <si>
    <t>APPLIED IND'L TECH BR 2279</t>
  </si>
  <si>
    <t>IBT, INC #03 (BUYER #76)</t>
  </si>
  <si>
    <t>IBT, INC #05</t>
  </si>
  <si>
    <t>JARP INDUSTRIES INC</t>
  </si>
  <si>
    <t>MOTION INDUSTRIES INC  TX28</t>
  </si>
  <si>
    <t>ELEB EQUIPAMENTOS LTDA</t>
  </si>
  <si>
    <t>MOTION INDUSTRIES INC  CA85</t>
  </si>
  <si>
    <t>RBC HEIM</t>
  </si>
  <si>
    <t>VAC DEVELOPMENTS INC</t>
  </si>
  <si>
    <t>ARCHER AVIATION</t>
  </si>
  <si>
    <t>KS INDUSTRIAL SOLUTIONS</t>
  </si>
  <si>
    <t>SPIRIT AEROSYSTEMS, INC</t>
  </si>
  <si>
    <t>BDI (087)</t>
  </si>
  <si>
    <t>BDI (09)</t>
  </si>
  <si>
    <t>BEARING ENTERPRISES</t>
  </si>
  <si>
    <t>DXP ENTERPRISES INC</t>
  </si>
  <si>
    <t>HERMEUS CORP</t>
  </si>
  <si>
    <t>BFC AVIATION TECHNOLOGY CO.LTD</t>
  </si>
  <si>
    <t>MOTION INDUSTRIES INC  NC11</t>
  </si>
  <si>
    <t>MOTION INDUSTRIES INC  OR21</t>
  </si>
  <si>
    <t>SAMS (SUZHOU) CO.,LTD</t>
  </si>
  <si>
    <t>FDH AERO, LLC</t>
  </si>
  <si>
    <t>AIRCRAFT TECHNOLOGY INC</t>
  </si>
  <si>
    <t>RBC SOUTHWEST PRODUCTS INC.</t>
  </si>
  <si>
    <t>BEARING HEADQUARTERS CO</t>
  </si>
  <si>
    <t>C E MACHINE COMPANY</t>
  </si>
  <si>
    <t>FRACCARO INDUSTRIES INC</t>
  </si>
  <si>
    <t>AVIOR INTEGRATED PRODUCTS INC</t>
  </si>
  <si>
    <t>JONATHAN BRIDWELL</t>
  </si>
  <si>
    <t>MOTION INDUSTRIES INC  CA10</t>
  </si>
  <si>
    <t>TRAFFIMEX INC</t>
  </si>
  <si>
    <t>MOTION INDUSTRIES INC  OH61</t>
  </si>
  <si>
    <t>MOTION INDUSTRIES INC  IL08</t>
  </si>
  <si>
    <t>MSC INDUSTRIAL SUPPLY HBL</t>
  </si>
  <si>
    <t>BDI (017)</t>
  </si>
  <si>
    <t>MOTION INDUSTRIES INC  AR56</t>
  </si>
  <si>
    <t>MOTION INDUSTRIES INC  MO37</t>
  </si>
  <si>
    <t>MOTION INDUSTRIES INC  TX30</t>
  </si>
  <si>
    <t>MOTION INDUSTRIES INC  TX58</t>
  </si>
  <si>
    <t>LISEGA INC</t>
  </si>
  <si>
    <t>MAVERICK AEROSPACE LLC</t>
  </si>
  <si>
    <t>HEROUX DEVTEK - CLEVELAND</t>
  </si>
  <si>
    <t>INDUSTRIA BEARINGS &amp; TRANS LTD</t>
  </si>
  <si>
    <t>AGUSTAWESTLAND PHILADELPHIA</t>
  </si>
  <si>
    <t>ELECTRO METHODS INC</t>
  </si>
  <si>
    <t>AEROSPACE IND DEVELOPMENT CORP</t>
  </si>
  <si>
    <t>1182008E033</t>
  </si>
  <si>
    <t>VENTURI ASTROLAB, INC.</t>
  </si>
  <si>
    <t>15678</t>
  </si>
  <si>
    <t>ALL POWER MANUFACTURING CO.</t>
  </si>
  <si>
    <t>RBC LUBRON BEARING SYSTEMS INC</t>
  </si>
  <si>
    <t>RUAG INC.</t>
  </si>
  <si>
    <t>ETA GLOBAL</t>
  </si>
  <si>
    <t>179439</t>
  </si>
  <si>
    <t>179440</t>
  </si>
  <si>
    <t>2150604E102</t>
  </si>
  <si>
    <t>2165912E002B1</t>
  </si>
  <si>
    <t>2170105</t>
  </si>
  <si>
    <t>2170107</t>
  </si>
  <si>
    <t>2170108</t>
  </si>
  <si>
    <t>2170108C</t>
  </si>
  <si>
    <t>2170112</t>
  </si>
  <si>
    <t>2170116</t>
  </si>
  <si>
    <t>2370309</t>
  </si>
  <si>
    <t>5382524E105</t>
  </si>
  <si>
    <t>6153104E100</t>
  </si>
  <si>
    <t>6188508K</t>
  </si>
  <si>
    <t>7153104E100</t>
  </si>
  <si>
    <t>KAMAN AEROSPACE CORP</t>
  </si>
  <si>
    <t>MISSION SUPPORT INC</t>
  </si>
  <si>
    <t>TENS MACHINE CO., INC.</t>
  </si>
  <si>
    <t>BILLINGS FLYING SERVICE</t>
  </si>
  <si>
    <t>FREDON CORPORATION</t>
  </si>
  <si>
    <t>WHITCRAFT, LLC</t>
  </si>
  <si>
    <t>TRUE POSITION TECHNOLOGIES</t>
  </si>
  <si>
    <t>RTC AEROSPACE</t>
  </si>
  <si>
    <t>D-J ENGINEERING</t>
  </si>
  <si>
    <t>NEW BREED SUPPLY CHAIN - 3PL</t>
  </si>
  <si>
    <t>L03191</t>
  </si>
  <si>
    <t>L03201</t>
  </si>
  <si>
    <t>L03211</t>
  </si>
  <si>
    <t>L03571</t>
  </si>
  <si>
    <t>L03581</t>
  </si>
  <si>
    <t>MOTION INDUSTRIES INC  AL09</t>
  </si>
  <si>
    <t>FY24 QTY</t>
  </si>
  <si>
    <t>FY25 QTY</t>
  </si>
  <si>
    <t>FY26 OB Qty (SM Removed)</t>
  </si>
  <si>
    <t>FY27 OB Qty (SM Removed)</t>
  </si>
  <si>
    <t>FY26 Sales + OB Qty</t>
  </si>
  <si>
    <t>FY27 Sales + OB Qty</t>
  </si>
  <si>
    <t>FY26 Sales + OB Ext. Value</t>
  </si>
  <si>
    <t>FY27 Sales + OB Ext. Value</t>
  </si>
  <si>
    <t>Heli</t>
  </si>
  <si>
    <t>Engine</t>
  </si>
  <si>
    <t>Airframe</t>
  </si>
  <si>
    <t>Trent 900</t>
  </si>
  <si>
    <t>LM500</t>
  </si>
  <si>
    <t xml:space="preserve">Space X Development </t>
  </si>
  <si>
    <t>HTF7000 / PW307</t>
  </si>
  <si>
    <t>Dragon</t>
  </si>
  <si>
    <t>Apex Lander</t>
  </si>
  <si>
    <t>SGT100</t>
  </si>
  <si>
    <t>Commercial</t>
  </si>
  <si>
    <t>HTF7000</t>
  </si>
  <si>
    <t xml:space="preserve">BE-4 </t>
  </si>
  <si>
    <t>Phenom 100</t>
  </si>
  <si>
    <t>747, 767, 777</t>
  </si>
  <si>
    <t>MA600</t>
  </si>
  <si>
    <t>Surgical Machine</t>
  </si>
  <si>
    <t>B1</t>
  </si>
  <si>
    <t>F-18E/F</t>
  </si>
  <si>
    <t>NP200</t>
  </si>
  <si>
    <t>F22</t>
  </si>
  <si>
    <t>T45</t>
  </si>
  <si>
    <t>MQ25</t>
  </si>
  <si>
    <t>CFM56 Thrust Mount</t>
  </si>
  <si>
    <t>E2-109/195</t>
  </si>
  <si>
    <t>Boeing Flagship Production</t>
  </si>
  <si>
    <t>Next Gen Interceptor</t>
  </si>
  <si>
    <t xml:space="preserve">Airbus- UpNext X- Wing </t>
  </si>
  <si>
    <t>Next Gen Liner (Boeing)</t>
  </si>
  <si>
    <t>Hydrogen Engine</t>
  </si>
  <si>
    <t>Blue-Ring</t>
  </si>
  <si>
    <t>Rolls</t>
  </si>
  <si>
    <t>A321XLR</t>
  </si>
  <si>
    <t>A380</t>
  </si>
  <si>
    <t xml:space="preserve">Interstellar Rocket </t>
  </si>
  <si>
    <t>FT4000</t>
  </si>
  <si>
    <t>PW1100G</t>
  </si>
  <si>
    <t>Liner</t>
  </si>
  <si>
    <t>SpaceX Cryo</t>
  </si>
  <si>
    <t>UH60</t>
  </si>
  <si>
    <t>AIrframe</t>
  </si>
  <si>
    <t>A10</t>
  </si>
  <si>
    <t>OH58</t>
  </si>
  <si>
    <t>206A/B HELICOPTER</t>
  </si>
  <si>
    <t>CANADAIR CHALLENGER PROG - C99</t>
  </si>
  <si>
    <t>PWA</t>
  </si>
  <si>
    <t>SH60</t>
  </si>
  <si>
    <t>B1 SHOCK STRUT NLG</t>
  </si>
  <si>
    <t>F-18</t>
  </si>
  <si>
    <t>Cessna</t>
  </si>
  <si>
    <t>P-8 Sonobuy</t>
  </si>
  <si>
    <t>RS25</t>
  </si>
  <si>
    <t>Midnight Nose Landing Gear</t>
  </si>
  <si>
    <t>Canning (Industrial)</t>
  </si>
  <si>
    <t>Various Engines</t>
  </si>
  <si>
    <t>777X</t>
  </si>
  <si>
    <t>A320neo - Torque Box Solid Link</t>
  </si>
  <si>
    <t>LTA 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</si>
</sst>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C00000"/>
      <name val="Calibri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5">
    <xf numFmtId="0" fontId="0" fillId="0" borderId="0" xfId="0"/>
    <xf numFmtId="0" fontId="3" fillId="0" borderId="0" xfId="0" applyFont="1"/>
    <xf numFmtId="164" fontId="3" fillId="0" borderId="0" xfId="1" applyNumberFormat="1" applyFont="1"/>
    <xf numFmtId="164" fontId="3" fillId="0" borderId="0" xfId="0" applyNumberFormat="1" applyFont="1"/>
    <xf numFmtId="3" fontId="3" fillId="0" borderId="0" xfId="0" applyNumberFormat="1" applyFont="1"/>
    <xf numFmtId="1" fontId="3" fillId="0" borderId="0" xfId="0" applyNumberFormat="1" applyFont="1"/>
    <xf numFmtId="38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38" fontId="2" fillId="3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/>
    <xf numFmtId="164" fontId="2" fillId="4" borderId="1" xfId="1" applyNumberFormat="1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38" fontId="2" fillId="5" borderId="2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164" fontId="3" fillId="0" borderId="6" xfId="1" applyNumberFormat="1" applyFont="1" applyBorder="1"/>
    <xf numFmtId="164" fontId="3" fillId="0" borderId="0" xfId="1" applyNumberFormat="1" applyFont="1" applyBorder="1" applyAlignment="1">
      <alignment horizontal="right"/>
    </xf>
    <xf numFmtId="164" fontId="3" fillId="0" borderId="0" xfId="1" applyNumberFormat="1" applyFont="1" applyBorder="1"/>
    <xf numFmtId="0" fontId="2" fillId="3" borderId="4" xfId="0" applyFont="1" applyFill="1" applyBorder="1" applyAlignment="1">
      <alignment horizontal="center" vertical="center" wrapText="1"/>
    </xf>
    <xf numFmtId="164" fontId="3" fillId="0" borderId="9" xfId="1" applyNumberFormat="1" applyFont="1" applyBorder="1"/>
    <xf numFmtId="3" fontId="2" fillId="4" borderId="2" xfId="0" applyNumberFormat="1" applyFont="1" applyFill="1" applyBorder="1" applyAlignment="1">
      <alignment horizontal="center" vertical="center" wrapText="1"/>
    </xf>
    <xf numFmtId="3" fontId="3" fillId="0" borderId="0" xfId="1" applyNumberFormat="1" applyFont="1"/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3" fontId="2" fillId="4" borderId="2" xfId="1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3" fontId="3" fillId="2" borderId="16" xfId="0" applyNumberFormat="1" applyFont="1" applyFill="1" applyBorder="1"/>
    <xf numFmtId="164" fontId="3" fillId="2" borderId="16" xfId="1" applyNumberFormat="1" applyFont="1" applyFill="1" applyBorder="1"/>
    <xf numFmtId="164" fontId="3" fillId="0" borderId="16" xfId="1" applyNumberFormat="1" applyFont="1" applyBorder="1"/>
    <xf numFmtId="49" fontId="3" fillId="0" borderId="16" xfId="1" applyNumberFormat="1" applyFont="1" applyBorder="1" applyAlignment="1">
      <alignment horizontal="right"/>
    </xf>
    <xf numFmtId="38" fontId="3" fillId="0" borderId="16" xfId="0" applyNumberFormat="1" applyFont="1" applyBorder="1"/>
    <xf numFmtId="3" fontId="3" fillId="0" borderId="16" xfId="0" applyNumberFormat="1" applyFont="1" applyBorder="1"/>
    <xf numFmtId="164" fontId="3" fillId="0" borderId="16" xfId="0" applyNumberFormat="1" applyFont="1" applyBorder="1"/>
    <xf numFmtId="0" fontId="3" fillId="0" borderId="17" xfId="0" applyFont="1" applyBorder="1"/>
    <xf numFmtId="164" fontId="3" fillId="0" borderId="16" xfId="1" applyNumberFormat="1" applyFont="1" applyFill="1" applyBorder="1"/>
    <xf numFmtId="49" fontId="3" fillId="0" borderId="16" xfId="1" applyNumberFormat="1" applyFont="1" applyFill="1" applyBorder="1" applyAlignment="1">
      <alignment horizontal="right"/>
    </xf>
    <xf numFmtId="49" fontId="3" fillId="0" borderId="15" xfId="0" applyNumberFormat="1" applyFont="1" applyBorder="1"/>
    <xf numFmtId="0" fontId="3" fillId="3" borderId="16" xfId="0" applyFont="1" applyFill="1" applyBorder="1"/>
    <xf numFmtId="0" fontId="3" fillId="3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3" fontId="3" fillId="0" borderId="19" xfId="0" applyNumberFormat="1" applyFont="1" applyBorder="1"/>
    <xf numFmtId="164" fontId="3" fillId="0" borderId="19" xfId="1" applyNumberFormat="1" applyFont="1" applyBorder="1"/>
    <xf numFmtId="0" fontId="3" fillId="3" borderId="19" xfId="0" applyFont="1" applyFill="1" applyBorder="1" applyAlignment="1">
      <alignment horizontal="center"/>
    </xf>
    <xf numFmtId="38" fontId="3" fillId="0" borderId="19" xfId="0" applyNumberFormat="1" applyFont="1" applyBorder="1"/>
    <xf numFmtId="164" fontId="3" fillId="0" borderId="19" xfId="0" applyNumberFormat="1" applyFont="1" applyBorder="1"/>
    <xf numFmtId="0" fontId="3" fillId="0" borderId="20" xfId="0" applyFont="1" applyBorder="1"/>
    <xf numFmtId="0" fontId="3" fillId="0" borderId="18" xfId="0" applyFont="1" applyBorder="1"/>
    <xf numFmtId="3" fontId="3" fillId="2" borderId="19" xfId="0" applyNumberFormat="1" applyFont="1" applyFill="1" applyBorder="1"/>
    <xf numFmtId="164" fontId="3" fillId="2" borderId="19" xfId="1" applyNumberFormat="1" applyFont="1" applyFill="1" applyBorder="1"/>
    <xf numFmtId="164" fontId="2" fillId="8" borderId="21" xfId="1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3" fontId="2" fillId="2" borderId="25" xfId="0" applyNumberFormat="1" applyFont="1" applyFill="1" applyBorder="1" applyAlignment="1">
      <alignment horizontal="center" vertical="center" wrapText="1"/>
    </xf>
    <xf numFmtId="164" fontId="2" fillId="2" borderId="25" xfId="1" applyNumberFormat="1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164" fontId="2" fillId="8" borderId="25" xfId="1" applyNumberFormat="1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38" fontId="2" fillId="8" borderId="25" xfId="0" applyNumberFormat="1" applyFont="1" applyFill="1" applyBorder="1" applyAlignment="1">
      <alignment horizontal="center" vertical="center" wrapText="1"/>
    </xf>
    <xf numFmtId="3" fontId="2" fillId="8" borderId="25" xfId="0" applyNumberFormat="1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3" fontId="3" fillId="2" borderId="13" xfId="0" applyNumberFormat="1" applyFont="1" applyFill="1" applyBorder="1"/>
    <xf numFmtId="164" fontId="3" fillId="2" borderId="13" xfId="1" applyNumberFormat="1" applyFont="1" applyFill="1" applyBorder="1"/>
    <xf numFmtId="164" fontId="3" fillId="0" borderId="13" xfId="1" applyNumberFormat="1" applyFont="1" applyBorder="1"/>
    <xf numFmtId="49" fontId="3" fillId="0" borderId="13" xfId="1" applyNumberFormat="1" applyFont="1" applyBorder="1" applyAlignment="1">
      <alignment horizontal="right"/>
    </xf>
    <xf numFmtId="38" fontId="3" fillId="0" borderId="13" xfId="0" applyNumberFormat="1" applyFont="1" applyBorder="1"/>
    <xf numFmtId="3" fontId="3" fillId="0" borderId="13" xfId="0" applyNumberFormat="1" applyFont="1" applyBorder="1"/>
    <xf numFmtId="164" fontId="3" fillId="0" borderId="13" xfId="0" applyNumberFormat="1" applyFont="1" applyBorder="1"/>
    <xf numFmtId="164" fontId="3" fillId="0" borderId="14" xfId="0" applyNumberFormat="1" applyFont="1" applyBorder="1"/>
    <xf numFmtId="164" fontId="3" fillId="0" borderId="17" xfId="0" applyNumberFormat="1" applyFont="1" applyBorder="1"/>
    <xf numFmtId="164" fontId="3" fillId="0" borderId="20" xfId="0" applyNumberFormat="1" applyFont="1" applyBorder="1"/>
    <xf numFmtId="0" fontId="2" fillId="9" borderId="24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3" fillId="0" borderId="14" xfId="0" applyFont="1" applyBorder="1"/>
    <xf numFmtId="1" fontId="3" fillId="0" borderId="13" xfId="0" applyNumberFormat="1" applyFont="1" applyBorder="1"/>
    <xf numFmtId="1" fontId="3" fillId="0" borderId="16" xfId="0" applyNumberFormat="1" applyFont="1" applyBorder="1"/>
    <xf numFmtId="1" fontId="3" fillId="0" borderId="19" xfId="0" applyNumberFormat="1" applyFont="1" applyBorder="1"/>
    <xf numFmtId="3" fontId="2" fillId="9" borderId="25" xfId="0" applyNumberFormat="1" applyFont="1" applyFill="1" applyBorder="1" applyAlignment="1">
      <alignment horizontal="center" vertical="center" wrapText="1"/>
    </xf>
    <xf numFmtId="164" fontId="2" fillId="9" borderId="25" xfId="1" applyNumberFormat="1" applyFont="1" applyFill="1" applyBorder="1" applyAlignment="1">
      <alignment horizontal="center" vertical="center" wrapText="1"/>
    </xf>
    <xf numFmtId="164" fontId="3" fillId="0" borderId="12" xfId="1" applyNumberFormat="1" applyFont="1" applyBorder="1"/>
    <xf numFmtId="164" fontId="3" fillId="0" borderId="15" xfId="1" applyNumberFormat="1" applyFont="1" applyBorder="1"/>
    <xf numFmtId="164" fontId="3" fillId="0" borderId="18" xfId="1" applyNumberFormat="1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3" fontId="3" fillId="0" borderId="13" xfId="1" applyNumberFormat="1" applyFont="1" applyBorder="1"/>
    <xf numFmtId="0" fontId="3" fillId="3" borderId="13" xfId="0" applyFont="1" applyFill="1" applyBorder="1"/>
    <xf numFmtId="164" fontId="3" fillId="0" borderId="14" xfId="1" applyNumberFormat="1" applyFont="1" applyBorder="1"/>
    <xf numFmtId="3" fontId="3" fillId="0" borderId="16" xfId="1" applyNumberFormat="1" applyFont="1" applyBorder="1"/>
    <xf numFmtId="164" fontId="3" fillId="0" borderId="17" xfId="1" applyNumberFormat="1" applyFont="1" applyBorder="1"/>
    <xf numFmtId="3" fontId="3" fillId="0" borderId="19" xfId="1" applyNumberFormat="1" applyFont="1" applyBorder="1"/>
    <xf numFmtId="164" fontId="3" fillId="0" borderId="20" xfId="1" applyNumberFormat="1" applyFont="1" applyBorder="1"/>
    <xf numFmtId="164" fontId="2" fillId="9" borderId="26" xfId="1" applyNumberFormat="1" applyFont="1" applyFill="1" applyBorder="1" applyAlignment="1">
      <alignment horizontal="center" vertical="center" wrapText="1"/>
    </xf>
    <xf numFmtId="164" fontId="3" fillId="0" borderId="21" xfId="1" applyNumberFormat="1" applyFont="1" applyBorder="1"/>
    <xf numFmtId="164" fontId="3" fillId="0" borderId="22" xfId="1" applyNumberFormat="1" applyFont="1" applyBorder="1"/>
    <xf numFmtId="164" fontId="3" fillId="0" borderId="23" xfId="1" applyNumberFormat="1" applyFont="1" applyBorder="1"/>
    <xf numFmtId="0" fontId="3" fillId="3" borderId="13" xfId="0" applyFont="1" applyFill="1" applyBorder="1" applyAlignment="1">
      <alignment horizontal="center"/>
    </xf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7" borderId="27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164" fontId="3" fillId="0" borderId="37" xfId="1" applyNumberFormat="1" applyFont="1" applyBorder="1"/>
    <xf numFmtId="3" fontId="3" fillId="0" borderId="37" xfId="0" applyNumberFormat="1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38" fontId="3" fillId="0" borderId="6" xfId="0" applyNumberFormat="1" applyFont="1" applyBorder="1"/>
    <xf numFmtId="3" fontId="3" fillId="0" borderId="9" xfId="0" applyNumberFormat="1" applyFont="1" applyBorder="1"/>
    <xf numFmtId="164" fontId="3" fillId="0" borderId="7" xfId="1" applyNumberFormat="1" applyFont="1" applyBorder="1"/>
    <xf numFmtId="164" fontId="3" fillId="0" borderId="38" xfId="1" applyNumberFormat="1" applyFont="1" applyBorder="1"/>
    <xf numFmtId="0" fontId="3" fillId="0" borderId="38" xfId="0" applyFont="1" applyBorder="1"/>
    <xf numFmtId="164" fontId="4" fillId="0" borderId="38" xfId="1" applyNumberFormat="1" applyFont="1" applyBorder="1" applyAlignment="1">
      <alignment horizontal="center"/>
    </xf>
    <xf numFmtId="38" fontId="3" fillId="0" borderId="38" xfId="0" applyNumberFormat="1" applyFont="1" applyBorder="1"/>
    <xf numFmtId="3" fontId="3" fillId="0" borderId="39" xfId="0" applyNumberFormat="1" applyFont="1" applyBorder="1" applyAlignment="1">
      <alignment horizontal="right"/>
    </xf>
    <xf numFmtId="164" fontId="3" fillId="0" borderId="39" xfId="1" applyNumberFormat="1" applyFont="1" applyBorder="1"/>
    <xf numFmtId="164" fontId="3" fillId="0" borderId="40" xfId="1" applyNumberFormat="1" applyFont="1" applyBorder="1" applyAlignment="1">
      <alignment horizontal="right"/>
    </xf>
    <xf numFmtId="164" fontId="3" fillId="0" borderId="40" xfId="1" applyNumberFormat="1" applyFont="1" applyBorder="1"/>
    <xf numFmtId="164" fontId="3" fillId="0" borderId="10" xfId="1" applyNumberFormat="1" applyFont="1" applyBorder="1"/>
    <xf numFmtId="3" fontId="3" fillId="0" borderId="9" xfId="0" applyNumberFormat="1" applyFont="1" applyBorder="1" applyAlignment="1">
      <alignment horizontal="right"/>
    </xf>
    <xf numFmtId="9" fontId="3" fillId="0" borderId="9" xfId="2" applyFont="1" applyBorder="1"/>
    <xf numFmtId="9" fontId="3" fillId="0" borderId="9" xfId="2" applyFont="1" applyBorder="1" applyAlignment="1">
      <alignment horizontal="center"/>
    </xf>
    <xf numFmtId="164" fontId="3" fillId="0" borderId="5" xfId="1" applyNumberFormat="1" applyFont="1" applyBorder="1"/>
    <xf numFmtId="164" fontId="3" fillId="0" borderId="41" xfId="1" applyNumberFormat="1" applyFont="1" applyBorder="1"/>
    <xf numFmtId="0" fontId="3" fillId="0" borderId="41" xfId="0" applyFont="1" applyBorder="1"/>
    <xf numFmtId="38" fontId="3" fillId="0" borderId="41" xfId="0" applyNumberFormat="1" applyFont="1" applyBorder="1"/>
    <xf numFmtId="3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14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14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14" fontId="2" fillId="0" borderId="25" xfId="0" applyNumberFormat="1" applyFont="1" applyBorder="1" applyAlignment="1">
      <alignment horizontal="center" vertical="center" wrapText="1"/>
    </xf>
    <xf numFmtId="49" fontId="3" fillId="0" borderId="0" xfId="1" applyNumberFormat="1" applyFont="1" applyBorder="1" applyAlignment="1">
      <alignment horizontal="right"/>
    </xf>
    <xf numFmtId="0" fontId="5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44" fontId="3" fillId="0" borderId="0" xfId="0" applyNumberFormat="1" applyFont="1"/>
    <xf numFmtId="0" fontId="3" fillId="3" borderId="19" xfId="0" applyFont="1" applyFill="1" applyBorder="1"/>
    <xf numFmtId="9" fontId="3" fillId="0" borderId="0" xfId="2" applyFont="1" applyBorder="1" applyAlignment="1">
      <alignment horizontal="center"/>
    </xf>
    <xf numFmtId="3" fontId="3" fillId="0" borderId="34" xfId="0" applyNumberFormat="1" applyFont="1" applyBorder="1" applyAlignment="1">
      <alignment horizontal="center" vertical="center"/>
    </xf>
    <xf numFmtId="3" fontId="3" fillId="0" borderId="42" xfId="0" applyNumberFormat="1" applyFont="1" applyBorder="1" applyAlignment="1">
      <alignment horizontal="center" vertical="center"/>
    </xf>
    <xf numFmtId="3" fontId="3" fillId="0" borderId="36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12" xfId="0" applyNumberFormat="1" applyFont="1" applyBorder="1"/>
    <xf numFmtId="3" fontId="3" fillId="0" borderId="43" xfId="0" applyNumberFormat="1" applyFont="1" applyBorder="1"/>
    <xf numFmtId="3" fontId="3" fillId="0" borderId="14" xfId="0" applyNumberFormat="1" applyFont="1" applyBorder="1"/>
    <xf numFmtId="3" fontId="3" fillId="0" borderId="28" xfId="0" applyNumberFormat="1" applyFont="1" applyBorder="1"/>
    <xf numFmtId="3" fontId="3" fillId="0" borderId="15" xfId="0" applyNumberFormat="1" applyFont="1" applyBorder="1"/>
    <xf numFmtId="3" fontId="3" fillId="0" borderId="44" xfId="0" applyNumberFormat="1" applyFont="1" applyBorder="1"/>
    <xf numFmtId="3" fontId="3" fillId="0" borderId="17" xfId="0" applyNumberFormat="1" applyFont="1" applyBorder="1"/>
    <xf numFmtId="3" fontId="3" fillId="0" borderId="29" xfId="0" applyNumberFormat="1" applyFont="1" applyBorder="1"/>
    <xf numFmtId="3" fontId="3" fillId="0" borderId="18" xfId="0" applyNumberFormat="1" applyFont="1" applyBorder="1"/>
    <xf numFmtId="3" fontId="3" fillId="0" borderId="45" xfId="0" applyNumberFormat="1" applyFont="1" applyBorder="1"/>
    <xf numFmtId="3" fontId="3" fillId="0" borderId="20" xfId="0" applyNumberFormat="1" applyFont="1" applyBorder="1"/>
    <xf numFmtId="3" fontId="3" fillId="0" borderId="30" xfId="0" applyNumberFormat="1" applyFont="1" applyBorder="1"/>
    <xf numFmtId="0" fontId="5" fillId="0" borderId="16" xfId="0" applyFont="1" applyBorder="1"/>
    <xf numFmtId="0" fontId="3" fillId="0" borderId="46" xfId="0" applyFont="1" applyBorder="1"/>
    <xf numFmtId="0" fontId="3" fillId="0" borderId="47" xfId="0" applyFont="1" applyBorder="1" applyAlignment="1">
      <alignment horizontal="center"/>
    </xf>
    <xf numFmtId="14" fontId="3" fillId="0" borderId="47" xfId="0" applyNumberFormat="1" applyFont="1" applyBorder="1" applyAlignment="1">
      <alignment horizontal="center"/>
    </xf>
    <xf numFmtId="0" fontId="3" fillId="0" borderId="47" xfId="0" applyFont="1" applyBorder="1" applyAlignment="1">
      <alignment horizontal="left"/>
    </xf>
    <xf numFmtId="0" fontId="3" fillId="0" borderId="47" xfId="0" applyFont="1" applyBorder="1"/>
    <xf numFmtId="3" fontId="3" fillId="2" borderId="47" xfId="0" applyNumberFormat="1" applyFont="1" applyFill="1" applyBorder="1"/>
    <xf numFmtId="164" fontId="3" fillId="2" borderId="47" xfId="1" applyNumberFormat="1" applyFont="1" applyFill="1" applyBorder="1"/>
    <xf numFmtId="0" fontId="3" fillId="3" borderId="47" xfId="0" applyFont="1" applyFill="1" applyBorder="1" applyAlignment="1">
      <alignment horizontal="center"/>
    </xf>
    <xf numFmtId="164" fontId="3" fillId="0" borderId="47" xfId="1" applyNumberFormat="1" applyFont="1" applyBorder="1"/>
    <xf numFmtId="38" fontId="3" fillId="0" borderId="47" xfId="0" applyNumberFormat="1" applyFont="1" applyBorder="1"/>
    <xf numFmtId="3" fontId="3" fillId="0" borderId="47" xfId="0" applyNumberFormat="1" applyFont="1" applyBorder="1"/>
    <xf numFmtId="164" fontId="3" fillId="0" borderId="47" xfId="0" applyNumberFormat="1" applyFont="1" applyBorder="1"/>
    <xf numFmtId="164" fontId="3" fillId="0" borderId="48" xfId="0" applyNumberFormat="1" applyFont="1" applyBorder="1"/>
    <xf numFmtId="0" fontId="3" fillId="0" borderId="49" xfId="0" applyFont="1" applyBorder="1"/>
    <xf numFmtId="0" fontId="3" fillId="0" borderId="48" xfId="0" applyFont="1" applyBorder="1"/>
    <xf numFmtId="0" fontId="3" fillId="0" borderId="50" xfId="0" applyFont="1" applyBorder="1"/>
    <xf numFmtId="0" fontId="5" fillId="0" borderId="13" xfId="0" applyFont="1" applyBorder="1" applyAlignment="1">
      <alignment horizontal="center"/>
    </xf>
    <xf numFmtId="49" fontId="3" fillId="0" borderId="47" xfId="1" applyNumberFormat="1" applyFont="1" applyBorder="1" applyAlignment="1">
      <alignment horizontal="right"/>
    </xf>
    <xf numFmtId="164" fontId="3" fillId="3" borderId="16" xfId="1" applyNumberFormat="1" applyFont="1" applyFill="1" applyBorder="1" applyAlignment="1">
      <alignment horizontal="center"/>
    </xf>
    <xf numFmtId="164" fontId="3" fillId="0" borderId="0" xfId="1" applyNumberFormat="1" applyFont="1" applyFill="1" applyBorder="1"/>
    <xf numFmtId="164" fontId="3" fillId="0" borderId="12" xfId="1" applyNumberFormat="1" applyFont="1" applyFill="1" applyBorder="1"/>
    <xf numFmtId="164" fontId="3" fillId="0" borderId="15" xfId="1" applyNumberFormat="1" applyFont="1" applyFill="1" applyBorder="1"/>
    <xf numFmtId="164" fontId="3" fillId="0" borderId="46" xfId="1" applyNumberFormat="1" applyFont="1" applyFill="1" applyBorder="1"/>
    <xf numFmtId="164" fontId="3" fillId="0" borderId="18" xfId="1" applyNumberFormat="1" applyFont="1" applyFill="1" applyBorder="1"/>
    <xf numFmtId="11" fontId="3" fillId="0" borderId="15" xfId="0" applyNumberFormat="1" applyFont="1" applyBorder="1"/>
    <xf numFmtId="0" fontId="3" fillId="0" borderId="46" xfId="0" applyFont="1" applyBorder="1" applyAlignment="1">
      <alignment horizontal="left"/>
    </xf>
    <xf numFmtId="1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"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tdcfile\Shared%20Company%20Documents\Sales\Customers\Pattonair\LTA's\2026-2028\Pattonair%20LTA.xlsx" TargetMode="External"/><Relationship Id="rId1" Type="http://schemas.openxmlformats.org/officeDocument/2006/relationships/externalLinkPath" Target="file:///\\tdcfile\Shared%20Company%20Documents\Sales\Customers\Pattonair\LTA's\2026-2028\Pattonair%20L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LTA"/>
      <sheetName val="2026-2028"/>
      <sheetName val="Parameters"/>
    </sheetNames>
    <sheetDataSet>
      <sheetData sheetId="0"/>
      <sheetData sheetId="1">
        <row r="3">
          <cell r="B3" t="str">
            <v>0341345E001</v>
          </cell>
          <cell r="C3" t="str">
            <v>V2500</v>
          </cell>
          <cell r="D3" t="str">
            <v>Y</v>
          </cell>
          <cell r="E3" t="str">
            <v>1</v>
          </cell>
          <cell r="F3">
            <v>188.20000000000002</v>
          </cell>
          <cell r="G3">
            <v>188.20000000000002</v>
          </cell>
          <cell r="H3">
            <v>188.20000000000002</v>
          </cell>
          <cell r="I3">
            <v>100</v>
          </cell>
          <cell r="J3">
            <v>50</v>
          </cell>
          <cell r="K3">
            <v>52</v>
          </cell>
          <cell r="L3">
            <v>564.6</v>
          </cell>
          <cell r="M3">
            <v>67.436000000000007</v>
          </cell>
          <cell r="N3">
            <v>38074.365600000005</v>
          </cell>
          <cell r="O3">
            <v>45.879999999999995</v>
          </cell>
          <cell r="P3">
            <v>25903.847999999998</v>
          </cell>
          <cell r="Q3">
            <v>6.8819999999999988</v>
          </cell>
          <cell r="R3">
            <v>3885.5771999999993</v>
          </cell>
          <cell r="S3">
            <v>306.19749999999999</v>
          </cell>
          <cell r="T3">
            <v>7.814897394416144E-2</v>
          </cell>
          <cell r="U3">
            <v>172879.1085</v>
          </cell>
          <cell r="V3">
            <v>392905.14</v>
          </cell>
          <cell r="W3">
            <v>695.9</v>
          </cell>
          <cell r="X3">
            <v>862.91599999999994</v>
          </cell>
        </row>
        <row r="4">
          <cell r="B4" t="str">
            <v>0341345E002</v>
          </cell>
          <cell r="C4" t="str">
            <v>V2500</v>
          </cell>
          <cell r="D4" t="str">
            <v>Y</v>
          </cell>
          <cell r="E4" t="str">
            <v>1</v>
          </cell>
          <cell r="F4">
            <v>114.95999999999998</v>
          </cell>
          <cell r="G4">
            <v>114.95999999999998</v>
          </cell>
          <cell r="H4">
            <v>114.95999999999998</v>
          </cell>
          <cell r="I4">
            <v>100</v>
          </cell>
          <cell r="J4">
            <v>50</v>
          </cell>
          <cell r="K4">
            <v>52</v>
          </cell>
          <cell r="L4">
            <v>344.87999999999994</v>
          </cell>
          <cell r="M4">
            <v>70.168999999999997</v>
          </cell>
          <cell r="N4">
            <v>24199.884719999995</v>
          </cell>
          <cell r="O4">
            <v>45.879999999999995</v>
          </cell>
          <cell r="P4">
            <v>15823.094399999996</v>
          </cell>
          <cell r="Q4">
            <v>6.8819999999999988</v>
          </cell>
          <cell r="R4">
            <v>2373.4641599999991</v>
          </cell>
          <cell r="S4">
            <v>389.80579999999998</v>
          </cell>
          <cell r="T4">
            <v>8.6779670239973877E-2</v>
          </cell>
          <cell r="U4">
            <v>134436.22430399997</v>
          </cell>
          <cell r="V4">
            <v>240001.99199999994</v>
          </cell>
          <cell r="W4">
            <v>695.9</v>
          </cell>
          <cell r="X4">
            <v>862.91599999999994</v>
          </cell>
        </row>
        <row r="5">
          <cell r="B5" t="str">
            <v>179701</v>
          </cell>
          <cell r="C5" t="str">
            <v>BR700</v>
          </cell>
          <cell r="D5" t="str">
            <v>N</v>
          </cell>
          <cell r="E5" t="str">
            <v>2</v>
          </cell>
          <cell r="F5">
            <v>72.05</v>
          </cell>
          <cell r="G5">
            <v>72.05</v>
          </cell>
          <cell r="H5">
            <v>72.05</v>
          </cell>
          <cell r="I5">
            <v>100</v>
          </cell>
          <cell r="J5">
            <v>50</v>
          </cell>
          <cell r="K5">
            <v>36</v>
          </cell>
          <cell r="L5">
            <v>216.15</v>
          </cell>
          <cell r="M5">
            <v>103.687</v>
          </cell>
          <cell r="N5">
            <v>22411.945049999998</v>
          </cell>
          <cell r="O5">
            <v>14.36</v>
          </cell>
          <cell r="P5">
            <v>3103.9139999999998</v>
          </cell>
          <cell r="Q5">
            <v>2.1539999999999999</v>
          </cell>
          <cell r="R5">
            <v>465.58710000000002</v>
          </cell>
          <cell r="S5">
            <v>325</v>
          </cell>
          <cell r="T5">
            <v>0.11363686180025111</v>
          </cell>
          <cell r="U5">
            <v>70248.75</v>
          </cell>
          <cell r="V5">
            <v>159051.81600000002</v>
          </cell>
          <cell r="W5">
            <v>735.84</v>
          </cell>
          <cell r="X5">
            <v>912.44159999999999</v>
          </cell>
        </row>
        <row r="6">
          <cell r="B6" t="str">
            <v>179748</v>
          </cell>
          <cell r="C6" t="str">
            <v>Trent 1000</v>
          </cell>
          <cell r="D6" t="str">
            <v>Y</v>
          </cell>
          <cell r="E6" t="str">
            <v>24</v>
          </cell>
          <cell r="F6">
            <v>702.43999999999994</v>
          </cell>
          <cell r="G6">
            <v>702.43999999999994</v>
          </cell>
          <cell r="H6">
            <v>702.43999999999994</v>
          </cell>
          <cell r="I6">
            <v>500</v>
          </cell>
          <cell r="J6">
            <v>250</v>
          </cell>
          <cell r="K6">
            <v>36</v>
          </cell>
          <cell r="L6">
            <v>2107.3199999999997</v>
          </cell>
          <cell r="M6">
            <v>1.9589999999999999</v>
          </cell>
          <cell r="N6">
            <v>4128.2398799999992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9.0429999999999993</v>
          </cell>
          <cell r="T6">
            <v>2.8698250856992173E-2</v>
          </cell>
          <cell r="U6">
            <v>19056.494759999994</v>
          </cell>
          <cell r="V6">
            <v>116007.96599999997</v>
          </cell>
          <cell r="W6">
            <v>55.05</v>
          </cell>
          <cell r="X6">
            <v>68.262</v>
          </cell>
        </row>
        <row r="7">
          <cell r="B7" t="str">
            <v>0241206E001</v>
          </cell>
          <cell r="C7" t="str">
            <v>V2500</v>
          </cell>
          <cell r="D7" t="str">
            <v>Y</v>
          </cell>
          <cell r="E7" t="str">
            <v>2</v>
          </cell>
          <cell r="F7">
            <v>278.06666666666666</v>
          </cell>
          <cell r="G7">
            <v>278.06666666666666</v>
          </cell>
          <cell r="H7">
            <v>278.06666666666666</v>
          </cell>
          <cell r="I7">
            <v>250</v>
          </cell>
          <cell r="J7">
            <v>125</v>
          </cell>
          <cell r="K7">
            <v>40</v>
          </cell>
          <cell r="L7">
            <v>834.19999999999993</v>
          </cell>
          <cell r="M7">
            <v>42.046999999999997</v>
          </cell>
          <cell r="N7">
            <v>35075.607399999994</v>
          </cell>
          <cell r="O7">
            <v>16</v>
          </cell>
          <cell r="P7">
            <v>13347.199999999999</v>
          </cell>
          <cell r="Q7">
            <v>2.4</v>
          </cell>
          <cell r="R7">
            <v>2002.0799999999997</v>
          </cell>
          <cell r="S7">
            <v>81.672700000000006</v>
          </cell>
          <cell r="T7">
            <v>0.25499193314428925</v>
          </cell>
          <cell r="U7">
            <v>68131.366339999993</v>
          </cell>
          <cell r="V7">
            <v>71891.356</v>
          </cell>
          <cell r="W7">
            <v>86.18</v>
          </cell>
          <cell r="X7">
            <v>164.89541249999999</v>
          </cell>
        </row>
        <row r="8">
          <cell r="B8" t="str">
            <v>0141205E037</v>
          </cell>
          <cell r="C8" t="str">
            <v>V2500</v>
          </cell>
          <cell r="D8" t="str">
            <v>Y</v>
          </cell>
          <cell r="E8" t="str">
            <v>4</v>
          </cell>
          <cell r="F8">
            <v>350.2</v>
          </cell>
          <cell r="G8">
            <v>350.2</v>
          </cell>
          <cell r="H8">
            <v>350.2</v>
          </cell>
          <cell r="I8">
            <v>250</v>
          </cell>
          <cell r="J8">
            <v>125</v>
          </cell>
          <cell r="K8">
            <v>40</v>
          </cell>
          <cell r="L8">
            <v>1050.5999999999999</v>
          </cell>
          <cell r="M8">
            <v>17.367000000000001</v>
          </cell>
          <cell r="N8">
            <v>18245.770199999999</v>
          </cell>
          <cell r="O8">
            <v>17.72</v>
          </cell>
          <cell r="P8">
            <v>18616.631999999998</v>
          </cell>
          <cell r="Q8">
            <v>2.6579999999999999</v>
          </cell>
          <cell r="R8">
            <v>2792.4947999999995</v>
          </cell>
          <cell r="S8">
            <v>40.928800000000003</v>
          </cell>
          <cell r="T8">
            <v>0.14031662437807441</v>
          </cell>
          <cell r="U8">
            <v>42999.797279999999</v>
          </cell>
          <cell r="V8">
            <v>65578.45199999999</v>
          </cell>
          <cell r="W8">
            <v>62.42</v>
          </cell>
          <cell r="X8">
            <v>123.77008125</v>
          </cell>
        </row>
        <row r="9">
          <cell r="B9" t="str">
            <v>1241206E001</v>
          </cell>
          <cell r="C9" t="str">
            <v>V2500</v>
          </cell>
          <cell r="D9" t="str">
            <v>Y</v>
          </cell>
          <cell r="E9" t="str">
            <v>2</v>
          </cell>
          <cell r="F9">
            <v>218.29999999999998</v>
          </cell>
          <cell r="G9">
            <v>218.29999999999998</v>
          </cell>
          <cell r="H9">
            <v>218.29999999999998</v>
          </cell>
          <cell r="I9">
            <v>250</v>
          </cell>
          <cell r="J9">
            <v>125</v>
          </cell>
          <cell r="K9">
            <v>40</v>
          </cell>
          <cell r="L9">
            <v>654.9</v>
          </cell>
          <cell r="M9">
            <v>25.245999999999999</v>
          </cell>
          <cell r="N9">
            <v>16533.605399999997</v>
          </cell>
          <cell r="O9">
            <v>16</v>
          </cell>
          <cell r="P9">
            <v>10478.4</v>
          </cell>
          <cell r="Q9">
            <v>2.4</v>
          </cell>
          <cell r="R9">
            <v>1571.76</v>
          </cell>
          <cell r="S9">
            <v>67.777299999999997</v>
          </cell>
          <cell r="T9">
            <v>0.15817138070525774</v>
          </cell>
          <cell r="U9">
            <v>44387.353769999994</v>
          </cell>
          <cell r="V9">
            <v>51782.942999999992</v>
          </cell>
          <cell r="W9">
            <v>79.069999999999993</v>
          </cell>
          <cell r="X9">
            <v>159.61168125</v>
          </cell>
        </row>
        <row r="10">
          <cell r="B10" t="str">
            <v>1141205E037</v>
          </cell>
          <cell r="C10" t="str">
            <v>V2500</v>
          </cell>
          <cell r="D10" t="str">
            <v>Y</v>
          </cell>
          <cell r="E10" t="str">
            <v>3</v>
          </cell>
          <cell r="F10">
            <v>308.71999999999997</v>
          </cell>
          <cell r="G10">
            <v>308.71999999999997</v>
          </cell>
          <cell r="H10">
            <v>308.71999999999997</v>
          </cell>
          <cell r="I10">
            <v>250</v>
          </cell>
          <cell r="J10">
            <v>125</v>
          </cell>
          <cell r="K10">
            <v>40</v>
          </cell>
          <cell r="L10">
            <v>926.15999999999985</v>
          </cell>
          <cell r="M10">
            <v>17.937999999999999</v>
          </cell>
          <cell r="N10">
            <v>16613.458079999997</v>
          </cell>
          <cell r="O10">
            <v>17.72</v>
          </cell>
          <cell r="P10">
            <v>16411.555199999995</v>
          </cell>
          <cell r="Q10">
            <v>2.6579999999999999</v>
          </cell>
          <cell r="R10">
            <v>2461.7332799999995</v>
          </cell>
          <cell r="S10">
            <v>43.304699999999997</v>
          </cell>
          <cell r="T10">
            <v>0.16698651183247765</v>
          </cell>
          <cell r="U10">
            <v>40107.080951999989</v>
          </cell>
          <cell r="V10">
            <v>79075.540799999988</v>
          </cell>
          <cell r="W10">
            <v>85.38</v>
          </cell>
          <cell r="X10">
            <v>123.77008125</v>
          </cell>
        </row>
        <row r="11">
          <cell r="B11" t="str">
            <v>0341340E002</v>
          </cell>
          <cell r="C11" t="str">
            <v>V2500</v>
          </cell>
          <cell r="D11" t="str">
            <v>Y</v>
          </cell>
          <cell r="E11" t="str">
            <v>1</v>
          </cell>
          <cell r="F11">
            <v>39.35</v>
          </cell>
          <cell r="G11">
            <v>39.35</v>
          </cell>
          <cell r="H11">
            <v>39.35</v>
          </cell>
          <cell r="I11">
            <v>100</v>
          </cell>
          <cell r="J11">
            <v>50</v>
          </cell>
          <cell r="K11">
            <v>52</v>
          </cell>
          <cell r="L11">
            <v>118.05</v>
          </cell>
          <cell r="M11">
            <v>63.552999999999997</v>
          </cell>
          <cell r="N11">
            <v>7502.4316499999995</v>
          </cell>
          <cell r="O11">
            <v>45.879999999999995</v>
          </cell>
          <cell r="P11">
            <v>5416.1339999999991</v>
          </cell>
          <cell r="Q11">
            <v>6.8819999999999988</v>
          </cell>
          <cell r="R11">
            <v>812.42009999999982</v>
          </cell>
          <cell r="S11">
            <v>458.91660000000002</v>
          </cell>
          <cell r="T11">
            <v>7.6166671678470563E-2</v>
          </cell>
          <cell r="U11">
            <v>54175.104630000002</v>
          </cell>
          <cell r="V11">
            <v>52241.847000000002</v>
          </cell>
          <cell r="W11">
            <v>442.54</v>
          </cell>
          <cell r="X11">
            <v>834.39381818181812</v>
          </cell>
        </row>
        <row r="12">
          <cell r="B12" t="str">
            <v>179443</v>
          </cell>
          <cell r="C12" t="str">
            <v>Trent 1000</v>
          </cell>
          <cell r="D12" t="str">
            <v>Y</v>
          </cell>
          <cell r="E12" t="str">
            <v>24</v>
          </cell>
          <cell r="F12">
            <v>317.48</v>
          </cell>
          <cell r="G12">
            <v>317.48</v>
          </cell>
          <cell r="H12">
            <v>317.48</v>
          </cell>
          <cell r="I12">
            <v>500</v>
          </cell>
          <cell r="J12">
            <v>250</v>
          </cell>
          <cell r="K12">
            <v>36</v>
          </cell>
          <cell r="L12">
            <v>952.44</v>
          </cell>
          <cell r="M12">
            <v>2.028</v>
          </cell>
          <cell r="N12">
            <v>1931.5483200000001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6.8105000000000002</v>
          </cell>
          <cell r="T12">
            <v>2.9817390537242333E-2</v>
          </cell>
          <cell r="U12">
            <v>6486.5926200000004</v>
          </cell>
          <cell r="V12">
            <v>52241.334000000003</v>
          </cell>
          <cell r="W12">
            <v>54.85</v>
          </cell>
          <cell r="X12">
            <v>68.013999999999996</v>
          </cell>
        </row>
        <row r="13">
          <cell r="B13" t="str">
            <v>179325</v>
          </cell>
          <cell r="C13" t="str">
            <v>Trent</v>
          </cell>
          <cell r="D13" t="str">
            <v>Y</v>
          </cell>
          <cell r="E13" t="str">
            <v>1</v>
          </cell>
          <cell r="F13">
            <v>298.39999999999998</v>
          </cell>
          <cell r="G13">
            <v>298.39999999999998</v>
          </cell>
          <cell r="H13">
            <v>298.39999999999998</v>
          </cell>
          <cell r="I13">
            <v>500</v>
          </cell>
          <cell r="J13">
            <v>250</v>
          </cell>
          <cell r="K13">
            <v>36</v>
          </cell>
          <cell r="L13">
            <v>895.19999999999993</v>
          </cell>
          <cell r="M13">
            <v>18.004999999999999</v>
          </cell>
          <cell r="N13">
            <v>16118.075999999997</v>
          </cell>
          <cell r="O13">
            <v>20.49</v>
          </cell>
          <cell r="P13">
            <v>18342.647999999997</v>
          </cell>
          <cell r="Q13">
            <v>3.0734999999999997</v>
          </cell>
          <cell r="R13">
            <v>2751.3971999999994</v>
          </cell>
          <cell r="S13">
            <v>27.47</v>
          </cell>
          <cell r="T13">
            <v>0.32772115034583182</v>
          </cell>
          <cell r="U13">
            <v>24591.143999999997</v>
          </cell>
          <cell r="V13">
            <v>18038.28</v>
          </cell>
          <cell r="W13">
            <v>20.149999999999999</v>
          </cell>
          <cell r="X13">
            <v>54.94</v>
          </cell>
        </row>
        <row r="14">
          <cell r="B14" t="str">
            <v>1141206E003</v>
          </cell>
          <cell r="C14" t="str">
            <v>V2500</v>
          </cell>
          <cell r="D14" t="str">
            <v>Y</v>
          </cell>
          <cell r="E14" t="str">
            <v>2</v>
          </cell>
          <cell r="F14">
            <v>103.05</v>
          </cell>
          <cell r="G14">
            <v>103.05</v>
          </cell>
          <cell r="H14">
            <v>103.05</v>
          </cell>
          <cell r="I14">
            <v>250</v>
          </cell>
          <cell r="J14">
            <v>125</v>
          </cell>
          <cell r="K14">
            <v>40</v>
          </cell>
          <cell r="L14">
            <v>309.14999999999998</v>
          </cell>
          <cell r="M14">
            <v>31.033999999999999</v>
          </cell>
          <cell r="N14">
            <v>9594.1610999999994</v>
          </cell>
          <cell r="O14">
            <v>3.75</v>
          </cell>
          <cell r="P14">
            <v>1159.3125</v>
          </cell>
          <cell r="Q14">
            <v>0.5625</v>
          </cell>
          <cell r="R14">
            <v>173.89687499999999</v>
          </cell>
          <cell r="S14">
            <v>70.132999999999996</v>
          </cell>
          <cell r="T14">
            <v>0.22125105157343905</v>
          </cell>
          <cell r="U14">
            <v>21681.616949999996</v>
          </cell>
          <cell r="V14">
            <v>24503.228999999999</v>
          </cell>
          <cell r="W14">
            <v>79.260000000000005</v>
          </cell>
          <cell r="X14">
            <v>140.26599999999999</v>
          </cell>
        </row>
        <row r="15">
          <cell r="B15" t="str">
            <v>0341340E001</v>
          </cell>
          <cell r="C15" t="str">
            <v>V2500</v>
          </cell>
          <cell r="D15" t="str">
            <v>Y</v>
          </cell>
          <cell r="E15" t="str">
            <v>1</v>
          </cell>
          <cell r="F15">
            <v>21.400000000000002</v>
          </cell>
          <cell r="G15">
            <v>21.400000000000002</v>
          </cell>
          <cell r="H15">
            <v>21.400000000000002</v>
          </cell>
          <cell r="I15">
            <v>100</v>
          </cell>
          <cell r="J15">
            <v>50</v>
          </cell>
          <cell r="K15">
            <v>52</v>
          </cell>
          <cell r="L15">
            <v>64.2</v>
          </cell>
          <cell r="M15">
            <v>63.734000000000002</v>
          </cell>
          <cell r="N15">
            <v>4091.7228000000005</v>
          </cell>
          <cell r="O15">
            <v>53.7</v>
          </cell>
          <cell r="P15">
            <v>3447.5400000000004</v>
          </cell>
          <cell r="Q15">
            <v>8.0549999999999997</v>
          </cell>
          <cell r="R15">
            <v>517.13099999999997</v>
          </cell>
          <cell r="S15">
            <v>322.91860000000003</v>
          </cell>
          <cell r="T15">
            <v>9.8684312393278059E-2</v>
          </cell>
          <cell r="U15">
            <v>20731.374120000004</v>
          </cell>
          <cell r="V15">
            <v>29808.06</v>
          </cell>
          <cell r="W15">
            <v>464.3</v>
          </cell>
          <cell r="X15">
            <v>645.83720000000005</v>
          </cell>
        </row>
        <row r="16">
          <cell r="B16" t="str">
            <v>FMJA1510E001</v>
          </cell>
          <cell r="C16" t="str">
            <v>V2500</v>
          </cell>
          <cell r="D16" t="str">
            <v>Y</v>
          </cell>
          <cell r="E16" t="str">
            <v>5</v>
          </cell>
          <cell r="F16">
            <v>141.19999999999999</v>
          </cell>
          <cell r="G16">
            <v>141.19999999999999</v>
          </cell>
          <cell r="H16">
            <v>141.19999999999999</v>
          </cell>
          <cell r="I16">
            <v>250</v>
          </cell>
          <cell r="J16">
            <v>125</v>
          </cell>
          <cell r="K16">
            <v>40</v>
          </cell>
          <cell r="L16">
            <v>423.59999999999997</v>
          </cell>
          <cell r="M16">
            <v>9.7418400000000016</v>
          </cell>
          <cell r="N16">
            <v>4126.6434240000008</v>
          </cell>
          <cell r="O16">
            <v>28.57</v>
          </cell>
          <cell r="P16">
            <v>12102.251999999999</v>
          </cell>
          <cell r="Q16">
            <v>4.2854999999999999</v>
          </cell>
          <cell r="R16">
            <v>1815.3377999999998</v>
          </cell>
          <cell r="S16">
            <v>48.709200000000003</v>
          </cell>
          <cell r="T16">
            <v>0.1</v>
          </cell>
          <cell r="U16">
            <v>20633.217120000001</v>
          </cell>
          <cell r="V16">
            <v>17952.167999999998</v>
          </cell>
          <cell r="W16">
            <v>42.38</v>
          </cell>
          <cell r="X16">
            <v>97.418400000000005</v>
          </cell>
        </row>
        <row r="17">
          <cell r="B17" t="str">
            <v>178886</v>
          </cell>
          <cell r="C17" t="str">
            <v>RB211</v>
          </cell>
          <cell r="D17" t="str">
            <v>N</v>
          </cell>
          <cell r="E17" t="str">
            <v>1</v>
          </cell>
          <cell r="F17">
            <v>612.6</v>
          </cell>
          <cell r="G17">
            <v>612.6</v>
          </cell>
          <cell r="H17">
            <v>612.6</v>
          </cell>
          <cell r="I17">
            <v>500</v>
          </cell>
          <cell r="J17">
            <v>250</v>
          </cell>
          <cell r="K17">
            <v>36</v>
          </cell>
          <cell r="L17">
            <v>1837.8</v>
          </cell>
          <cell r="M17">
            <v>2.032</v>
          </cell>
          <cell r="N17">
            <v>3734.4096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7.1383999999999999</v>
          </cell>
          <cell r="T17">
            <v>9.9860431286980786E-2</v>
          </cell>
          <cell r="U17">
            <v>13118.951519999999</v>
          </cell>
          <cell r="V17">
            <v>30158.297999999999</v>
          </cell>
          <cell r="W17">
            <v>16.41</v>
          </cell>
          <cell r="X17">
            <v>20.348400000000002</v>
          </cell>
        </row>
        <row r="18">
          <cell r="B18" t="str">
            <v>0151104E051</v>
          </cell>
          <cell r="C18" t="str">
            <v>Trent 700</v>
          </cell>
          <cell r="D18" t="str">
            <v>Y</v>
          </cell>
          <cell r="E18" t="str">
            <v>5</v>
          </cell>
          <cell r="F18">
            <v>120</v>
          </cell>
          <cell r="G18">
            <v>120</v>
          </cell>
          <cell r="H18">
            <v>120</v>
          </cell>
          <cell r="I18">
            <v>250</v>
          </cell>
          <cell r="J18">
            <v>125</v>
          </cell>
          <cell r="K18">
            <v>40</v>
          </cell>
          <cell r="L18">
            <v>360</v>
          </cell>
          <cell r="M18">
            <v>24.561</v>
          </cell>
          <cell r="N18">
            <v>8841.9599999999991</v>
          </cell>
          <cell r="O18">
            <v>6.56</v>
          </cell>
          <cell r="P18">
            <v>2361.6</v>
          </cell>
          <cell r="Q18">
            <v>0.98399999999999987</v>
          </cell>
          <cell r="R18">
            <v>354.23999999999995</v>
          </cell>
          <cell r="S18">
            <v>47.925199999999997</v>
          </cell>
          <cell r="T18">
            <v>0.24911656476564115</v>
          </cell>
          <cell r="U18">
            <v>17253.072</v>
          </cell>
          <cell r="V18">
            <v>28623.600000000002</v>
          </cell>
          <cell r="W18">
            <v>79.510000000000005</v>
          </cell>
          <cell r="X18">
            <v>98.592400000000012</v>
          </cell>
        </row>
        <row r="19">
          <cell r="B19" t="str">
            <v>1241207E001</v>
          </cell>
          <cell r="C19" t="str">
            <v>V2500</v>
          </cell>
          <cell r="D19" t="str">
            <v>Y</v>
          </cell>
          <cell r="E19" t="str">
            <v>2</v>
          </cell>
          <cell r="F19">
            <v>75</v>
          </cell>
          <cell r="G19">
            <v>75</v>
          </cell>
          <cell r="H19">
            <v>75</v>
          </cell>
          <cell r="I19">
            <v>250</v>
          </cell>
          <cell r="J19">
            <v>125</v>
          </cell>
          <cell r="K19">
            <v>40</v>
          </cell>
          <cell r="L19">
            <v>225</v>
          </cell>
          <cell r="M19">
            <v>15.385919999999999</v>
          </cell>
          <cell r="N19">
            <v>3461.8319999999999</v>
          </cell>
          <cell r="O19">
            <v>4</v>
          </cell>
          <cell r="P19">
            <v>900</v>
          </cell>
          <cell r="Q19">
            <v>0.6</v>
          </cell>
          <cell r="R19">
            <v>135</v>
          </cell>
          <cell r="S19">
            <v>74.660700000000006</v>
          </cell>
          <cell r="T19">
            <v>0.1</v>
          </cell>
          <cell r="U19">
            <v>16798.657500000001</v>
          </cell>
          <cell r="V19">
            <v>27918</v>
          </cell>
          <cell r="W19">
            <v>124.08</v>
          </cell>
          <cell r="X19">
            <v>153.85919999999999</v>
          </cell>
        </row>
        <row r="20">
          <cell r="B20" t="str">
            <v>0721108006</v>
          </cell>
          <cell r="C20" t="str">
            <v>Rolls</v>
          </cell>
          <cell r="D20" t="str">
            <v>Y</v>
          </cell>
          <cell r="E20" t="str">
            <v>4</v>
          </cell>
          <cell r="F20">
            <v>146.79999999999998</v>
          </cell>
          <cell r="G20">
            <v>146.79999999999998</v>
          </cell>
          <cell r="H20">
            <v>146.79999999999998</v>
          </cell>
          <cell r="I20">
            <v>250</v>
          </cell>
          <cell r="J20">
            <v>125</v>
          </cell>
          <cell r="K20">
            <v>40</v>
          </cell>
          <cell r="L20">
            <v>440.4</v>
          </cell>
          <cell r="M20">
            <v>5.1369999999999996</v>
          </cell>
          <cell r="N20">
            <v>2262.3347999999996</v>
          </cell>
          <cell r="O20">
            <v>4.8899999999999997</v>
          </cell>
          <cell r="P20">
            <v>2153.5559999999996</v>
          </cell>
          <cell r="Q20">
            <v>0.73349999999999993</v>
          </cell>
          <cell r="R20">
            <v>323.03339999999997</v>
          </cell>
          <cell r="S20">
            <v>25.839600000000001</v>
          </cell>
          <cell r="T20">
            <v>6.8328252275834903E-2</v>
          </cell>
          <cell r="U20">
            <v>11379.759840000001</v>
          </cell>
          <cell r="V20">
            <v>26701.452000000001</v>
          </cell>
          <cell r="W20">
            <v>60.63</v>
          </cell>
          <cell r="X20">
            <v>75.181200000000004</v>
          </cell>
        </row>
        <row r="21">
          <cell r="B21" t="str">
            <v>179078</v>
          </cell>
          <cell r="C21" t="str">
            <v>Trent 700</v>
          </cell>
          <cell r="D21" t="str">
            <v>Y</v>
          </cell>
          <cell r="E21" t="str">
            <v>2</v>
          </cell>
          <cell r="F21">
            <v>20</v>
          </cell>
          <cell r="G21">
            <v>20</v>
          </cell>
          <cell r="H21">
            <v>20</v>
          </cell>
          <cell r="I21">
            <v>250</v>
          </cell>
          <cell r="J21">
            <v>125</v>
          </cell>
          <cell r="K21">
            <v>36</v>
          </cell>
          <cell r="L21">
            <v>60</v>
          </cell>
          <cell r="M21">
            <v>38.531760000000006</v>
          </cell>
          <cell r="N21">
            <v>2311.9056000000005</v>
          </cell>
          <cell r="O21">
            <v>1.5</v>
          </cell>
          <cell r="P21">
            <v>90</v>
          </cell>
          <cell r="Q21">
            <v>0.22499999999999998</v>
          </cell>
          <cell r="R21">
            <v>13.499999999999998</v>
          </cell>
          <cell r="S21">
            <v>180.8852</v>
          </cell>
          <cell r="T21">
            <v>0.1</v>
          </cell>
          <cell r="U21">
            <v>10853.111999999999</v>
          </cell>
          <cell r="V21">
            <v>18644.400000000001</v>
          </cell>
          <cell r="W21">
            <v>310.74</v>
          </cell>
          <cell r="X21">
            <v>385.31760000000003</v>
          </cell>
        </row>
        <row r="22">
          <cell r="B22" t="str">
            <v>179051</v>
          </cell>
          <cell r="C22" t="str">
            <v>RB211</v>
          </cell>
          <cell r="D22" t="str">
            <v>N</v>
          </cell>
          <cell r="E22" t="str">
            <v>10</v>
          </cell>
          <cell r="F22">
            <v>250</v>
          </cell>
          <cell r="G22">
            <v>250</v>
          </cell>
          <cell r="H22">
            <v>250</v>
          </cell>
          <cell r="I22">
            <v>250</v>
          </cell>
          <cell r="J22">
            <v>125</v>
          </cell>
          <cell r="K22">
            <v>36</v>
          </cell>
          <cell r="L22">
            <v>750</v>
          </cell>
          <cell r="M22">
            <v>1.9370000000000001</v>
          </cell>
          <cell r="N22">
            <v>1452.75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9.1158000000000001</v>
          </cell>
          <cell r="T22">
            <v>6.6274788892386444E-2</v>
          </cell>
          <cell r="U22">
            <v>6836.85</v>
          </cell>
          <cell r="V22">
            <v>17677.5</v>
          </cell>
          <cell r="W22">
            <v>23.57</v>
          </cell>
          <cell r="X22">
            <v>29.226800000000001</v>
          </cell>
        </row>
        <row r="23">
          <cell r="B23" t="str">
            <v>179292</v>
          </cell>
          <cell r="C23" t="str">
            <v>Trent 900</v>
          </cell>
          <cell r="D23" t="str">
            <v>N</v>
          </cell>
          <cell r="E23" t="str">
            <v>38</v>
          </cell>
          <cell r="F23">
            <v>120</v>
          </cell>
          <cell r="G23">
            <v>120</v>
          </cell>
          <cell r="H23">
            <v>120</v>
          </cell>
          <cell r="I23">
            <v>250</v>
          </cell>
          <cell r="J23">
            <v>125</v>
          </cell>
          <cell r="K23">
            <v>36</v>
          </cell>
          <cell r="L23">
            <v>360</v>
          </cell>
          <cell r="M23">
            <v>6.0301200000000001</v>
          </cell>
          <cell r="N23">
            <v>2170.8432000000003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3.7679999999999998</v>
          </cell>
          <cell r="T23">
            <v>0.1</v>
          </cell>
          <cell r="U23">
            <v>1356.48</v>
          </cell>
          <cell r="V23">
            <v>17506.8</v>
          </cell>
          <cell r="W23">
            <v>48.63</v>
          </cell>
          <cell r="X23">
            <v>60.301200000000001</v>
          </cell>
        </row>
        <row r="24">
          <cell r="B24" t="str">
            <v>0241207E001</v>
          </cell>
          <cell r="C24" t="str">
            <v>Trent 800</v>
          </cell>
          <cell r="D24" t="str">
            <v>Y</v>
          </cell>
          <cell r="E24" t="str">
            <v>2</v>
          </cell>
          <cell r="F24">
            <v>35.799999999999997</v>
          </cell>
          <cell r="G24">
            <v>35.799999999999997</v>
          </cell>
          <cell r="H24">
            <v>35.799999999999997</v>
          </cell>
          <cell r="I24">
            <v>250</v>
          </cell>
          <cell r="J24">
            <v>125</v>
          </cell>
          <cell r="K24">
            <v>40</v>
          </cell>
          <cell r="L24">
            <v>107.39999999999999</v>
          </cell>
          <cell r="M24">
            <v>18.291239999999998</v>
          </cell>
          <cell r="N24">
            <v>1964.4791759999996</v>
          </cell>
          <cell r="O24">
            <v>4</v>
          </cell>
          <cell r="P24">
            <v>429.59999999999997</v>
          </cell>
          <cell r="Q24">
            <v>0.6</v>
          </cell>
          <cell r="R24">
            <v>64.44</v>
          </cell>
          <cell r="S24">
            <v>77.412700000000001</v>
          </cell>
          <cell r="T24">
            <v>9.9999999999999992E-2</v>
          </cell>
          <cell r="U24">
            <v>8314.1239800000003</v>
          </cell>
          <cell r="V24">
            <v>15842.573999999997</v>
          </cell>
          <cell r="W24">
            <v>147.51</v>
          </cell>
          <cell r="X24">
            <v>182.91239999999999</v>
          </cell>
        </row>
        <row r="25">
          <cell r="B25" t="str">
            <v>0241205E002</v>
          </cell>
          <cell r="C25" t="str">
            <v>V2500</v>
          </cell>
          <cell r="D25" t="str">
            <v>Y</v>
          </cell>
          <cell r="E25" t="str">
            <v>2</v>
          </cell>
          <cell r="F25">
            <v>40</v>
          </cell>
          <cell r="G25">
            <v>40</v>
          </cell>
          <cell r="H25">
            <v>40</v>
          </cell>
          <cell r="I25">
            <v>250</v>
          </cell>
          <cell r="J25">
            <v>125</v>
          </cell>
          <cell r="K25">
            <v>40</v>
          </cell>
          <cell r="L25">
            <v>120</v>
          </cell>
          <cell r="M25">
            <v>17.689</v>
          </cell>
          <cell r="N25">
            <v>2122.6799999999998</v>
          </cell>
          <cell r="O25">
            <v>15.94</v>
          </cell>
          <cell r="P25">
            <v>1912.8</v>
          </cell>
          <cell r="Q25">
            <v>2.391</v>
          </cell>
          <cell r="R25">
            <v>286.92</v>
          </cell>
          <cell r="S25">
            <v>55.644799999999996</v>
          </cell>
          <cell r="T25">
            <v>0.11970731294674958</v>
          </cell>
          <cell r="U25">
            <v>6677.3759999999993</v>
          </cell>
          <cell r="V25">
            <v>10258.799999999999</v>
          </cell>
          <cell r="W25">
            <v>85.49</v>
          </cell>
          <cell r="X25">
            <v>147.76874999999998</v>
          </cell>
        </row>
        <row r="26">
          <cell r="B26" t="str">
            <v>0141206E003</v>
          </cell>
          <cell r="C26" t="str">
            <v>Trent 900 VSV</v>
          </cell>
          <cell r="D26" t="str">
            <v>Y</v>
          </cell>
          <cell r="E26" t="str">
            <v>4</v>
          </cell>
          <cell r="F26">
            <v>38.4</v>
          </cell>
          <cell r="G26">
            <v>38.4</v>
          </cell>
          <cell r="H26">
            <v>38.4</v>
          </cell>
          <cell r="I26">
            <v>250</v>
          </cell>
          <cell r="J26">
            <v>125</v>
          </cell>
          <cell r="K26">
            <v>40</v>
          </cell>
          <cell r="L26">
            <v>115.19999999999999</v>
          </cell>
          <cell r="M26">
            <v>14.47824</v>
          </cell>
          <cell r="N26">
            <v>1667.8932479999999</v>
          </cell>
          <cell r="O26">
            <v>3.75</v>
          </cell>
          <cell r="P26">
            <v>431.99999999999994</v>
          </cell>
          <cell r="Q26">
            <v>0.5625</v>
          </cell>
          <cell r="R26">
            <v>64.8</v>
          </cell>
          <cell r="S26">
            <v>66.599999999999994</v>
          </cell>
          <cell r="T26">
            <v>0.1</v>
          </cell>
          <cell r="U26">
            <v>7672.3199999999988</v>
          </cell>
          <cell r="V26">
            <v>13450.751999999999</v>
          </cell>
          <cell r="W26">
            <v>116.76</v>
          </cell>
          <cell r="X26">
            <v>144.7824</v>
          </cell>
        </row>
        <row r="27">
          <cell r="B27" t="str">
            <v>179011</v>
          </cell>
          <cell r="C27" t="str">
            <v>RB211 / TRENT</v>
          </cell>
          <cell r="D27" t="str">
            <v>Y</v>
          </cell>
          <cell r="E27" t="str">
            <v>2</v>
          </cell>
          <cell r="F27">
            <v>19.2</v>
          </cell>
          <cell r="G27">
            <v>19.2</v>
          </cell>
          <cell r="H27">
            <v>19.2</v>
          </cell>
          <cell r="I27">
            <v>250</v>
          </cell>
          <cell r="J27">
            <v>125</v>
          </cell>
          <cell r="K27">
            <v>36</v>
          </cell>
          <cell r="L27">
            <v>57.599999999999994</v>
          </cell>
          <cell r="M27">
            <v>24.416840000000001</v>
          </cell>
          <cell r="N27">
            <v>1406.4099839999999</v>
          </cell>
          <cell r="O27">
            <v>1.5</v>
          </cell>
          <cell r="P27">
            <v>86.399999999999991</v>
          </cell>
          <cell r="Q27">
            <v>0.22499999999999998</v>
          </cell>
          <cell r="R27">
            <v>12.959999999999997</v>
          </cell>
          <cell r="S27">
            <v>100.7535</v>
          </cell>
          <cell r="T27">
            <v>0.1</v>
          </cell>
          <cell r="U27">
            <v>5803.4015999999992</v>
          </cell>
          <cell r="V27">
            <v>11342.015999999998</v>
          </cell>
          <cell r="W27">
            <v>196.91</v>
          </cell>
          <cell r="X27">
            <v>244.16839999999999</v>
          </cell>
        </row>
        <row r="28">
          <cell r="B28" t="str">
            <v>0141205E025</v>
          </cell>
          <cell r="C28" t="str">
            <v>V2500</v>
          </cell>
          <cell r="D28" t="str">
            <v>Y</v>
          </cell>
          <cell r="E28" t="str">
            <v>4</v>
          </cell>
          <cell r="F28">
            <v>36</v>
          </cell>
          <cell r="G28">
            <v>36</v>
          </cell>
          <cell r="H28">
            <v>36</v>
          </cell>
          <cell r="I28">
            <v>250</v>
          </cell>
          <cell r="J28">
            <v>125</v>
          </cell>
          <cell r="K28">
            <v>40</v>
          </cell>
          <cell r="L28">
            <v>108</v>
          </cell>
          <cell r="M28">
            <v>11.229749999999999</v>
          </cell>
          <cell r="N28">
            <v>1212.8129999999999</v>
          </cell>
          <cell r="O28">
            <v>18.16</v>
          </cell>
          <cell r="P28">
            <v>1961.28</v>
          </cell>
          <cell r="Q28">
            <v>2.7239999999999998</v>
          </cell>
          <cell r="R28">
            <v>294.19199999999995</v>
          </cell>
          <cell r="S28">
            <v>32.389200000000002</v>
          </cell>
          <cell r="T28">
            <v>0.1</v>
          </cell>
          <cell r="U28">
            <v>3498.0336000000002</v>
          </cell>
          <cell r="V28">
            <v>6849.3600000000006</v>
          </cell>
          <cell r="W28">
            <v>63.42</v>
          </cell>
          <cell r="X28">
            <v>112.29749999999999</v>
          </cell>
        </row>
        <row r="29">
          <cell r="B29" t="str">
            <v>1241205E002</v>
          </cell>
          <cell r="C29" t="str">
            <v>V2500</v>
          </cell>
          <cell r="D29" t="str">
            <v>Y</v>
          </cell>
          <cell r="E29" t="str">
            <v>2</v>
          </cell>
          <cell r="F29">
            <v>20</v>
          </cell>
          <cell r="G29">
            <v>20</v>
          </cell>
          <cell r="H29">
            <v>20</v>
          </cell>
          <cell r="I29">
            <v>250</v>
          </cell>
          <cell r="J29">
            <v>125</v>
          </cell>
          <cell r="K29">
            <v>40</v>
          </cell>
          <cell r="L29">
            <v>60</v>
          </cell>
          <cell r="M29">
            <v>17.672999999999998</v>
          </cell>
          <cell r="N29">
            <v>1060.3799999999999</v>
          </cell>
          <cell r="O29">
            <v>15.94</v>
          </cell>
          <cell r="P29">
            <v>956.4</v>
          </cell>
          <cell r="Q29">
            <v>2.391</v>
          </cell>
          <cell r="R29">
            <v>143.46</v>
          </cell>
          <cell r="S29">
            <v>64.421099999999996</v>
          </cell>
          <cell r="T29">
            <v>0.1068290046822694</v>
          </cell>
          <cell r="U29">
            <v>3865.2659999999996</v>
          </cell>
          <cell r="V29">
            <v>6175.2</v>
          </cell>
          <cell r="W29">
            <v>102.92</v>
          </cell>
          <cell r="X29">
            <v>165.43259999999998</v>
          </cell>
        </row>
        <row r="30">
          <cell r="B30" t="str">
            <v>178975</v>
          </cell>
          <cell r="C30" t="str">
            <v>V2500</v>
          </cell>
          <cell r="D30" t="str">
            <v>Y</v>
          </cell>
          <cell r="E30" t="str">
            <v>1</v>
          </cell>
          <cell r="F30">
            <v>5</v>
          </cell>
          <cell r="G30">
            <v>5</v>
          </cell>
          <cell r="H30">
            <v>5</v>
          </cell>
          <cell r="I30">
            <v>250</v>
          </cell>
          <cell r="J30">
            <v>125</v>
          </cell>
          <cell r="K30">
            <v>36</v>
          </cell>
          <cell r="L30">
            <v>15</v>
          </cell>
          <cell r="M30">
            <v>20.31616</v>
          </cell>
          <cell r="N30">
            <v>304.74239999999998</v>
          </cell>
          <cell r="O30">
            <v>1.5</v>
          </cell>
          <cell r="P30">
            <v>22.5</v>
          </cell>
          <cell r="Q30">
            <v>0.22499999999999998</v>
          </cell>
          <cell r="R30">
            <v>3.3749999999999996</v>
          </cell>
          <cell r="S30">
            <v>98.05</v>
          </cell>
          <cell r="T30">
            <v>0.1</v>
          </cell>
          <cell r="U30">
            <v>1470.75</v>
          </cell>
          <cell r="V30">
            <v>2457.6</v>
          </cell>
          <cell r="W30">
            <v>163.84</v>
          </cell>
          <cell r="X30">
            <v>203.16159999999999</v>
          </cell>
        </row>
        <row r="31">
          <cell r="B31" t="str">
            <v>179185</v>
          </cell>
          <cell r="C31" t="str">
            <v>Trent</v>
          </cell>
          <cell r="D31" t="str">
            <v>N</v>
          </cell>
          <cell r="E31" t="str">
            <v>2</v>
          </cell>
          <cell r="F31">
            <v>19.2</v>
          </cell>
          <cell r="G31">
            <v>19.2</v>
          </cell>
          <cell r="H31">
            <v>19.2</v>
          </cell>
          <cell r="I31">
            <v>250</v>
          </cell>
          <cell r="J31">
            <v>125</v>
          </cell>
          <cell r="K31">
            <v>36</v>
          </cell>
          <cell r="L31">
            <v>57.599999999999994</v>
          </cell>
          <cell r="M31">
            <v>2.4266800000000002</v>
          </cell>
          <cell r="N31">
            <v>139.776768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7.64</v>
          </cell>
          <cell r="T31">
            <v>0.1</v>
          </cell>
          <cell r="U31">
            <v>440.06399999999996</v>
          </cell>
          <cell r="V31">
            <v>1127.232</v>
          </cell>
          <cell r="W31">
            <v>19.57</v>
          </cell>
          <cell r="X31">
            <v>24.2668</v>
          </cell>
        </row>
        <row r="32">
          <cell r="B32" t="str">
            <v>179045</v>
          </cell>
          <cell r="C32" t="str">
            <v>V2500</v>
          </cell>
          <cell r="D32" t="str">
            <v>Y</v>
          </cell>
          <cell r="E32" t="str">
            <v>1</v>
          </cell>
          <cell r="F32">
            <v>9.6</v>
          </cell>
          <cell r="G32">
            <v>9.6</v>
          </cell>
          <cell r="H32">
            <v>9.6</v>
          </cell>
          <cell r="I32">
            <v>250</v>
          </cell>
          <cell r="J32">
            <v>125</v>
          </cell>
          <cell r="K32">
            <v>36</v>
          </cell>
          <cell r="L32">
            <v>28.799999999999997</v>
          </cell>
          <cell r="M32">
            <v>3.45092</v>
          </cell>
          <cell r="N32">
            <v>99.386495999999994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6.3238000000000003</v>
          </cell>
          <cell r="T32">
            <v>0.1</v>
          </cell>
          <cell r="U32">
            <v>182.12544</v>
          </cell>
          <cell r="V32">
            <v>801.50399999999991</v>
          </cell>
          <cell r="W32">
            <v>27.83</v>
          </cell>
          <cell r="X32">
            <v>34.5092</v>
          </cell>
        </row>
      </sheetData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A695D0E-87A0-4426-967A-29CDF698147E}" autoFormatId="16" applyNumberFormats="0" applyBorderFormats="0" applyFontFormats="0" applyPatternFormats="0" applyAlignmentFormats="0" applyWidthHeightFormats="0">
  <queryTableRefresh nextId="79">
    <queryTableFields count="27">
      <queryTableField id="1" name="ITEM" tableColumnId="1"/>
      <queryTableField id="67" name="VC" tableColumnId="7"/>
      <queryTableField id="69" name="Segment" tableColumnId="19"/>
      <queryTableField id="70" name="Program" tableColumnId="21"/>
      <queryTableField id="6" name="CUSTOMER" tableColumnId="5"/>
      <queryTableField id="75" name="LTA" tableColumnId="28"/>
      <queryTableField id="77" name="LTA Exp." tableColumnId="29"/>
      <queryTableField id="13" name="FY24 QTY" tableColumnId="8"/>
      <queryTableField id="9" name="FY24 EXT VAL" tableColumnId="6"/>
      <queryTableField id="14" name="FY25 QTY" tableColumnId="9"/>
      <queryTableField id="8" name="FY25 EXT VAL" tableColumnId="4"/>
      <queryTableField id="20" name="FY26 Shipped Qty" tableColumnId="10"/>
      <queryTableField id="22" name="FY26 Shipped Ext. Val" tableColumnId="11"/>
      <queryTableField id="25" name="FY26 OB Qty" tableColumnId="13"/>
      <queryTableField id="24" name="FY26 OB Ext. Val" tableColumnId="12"/>
      <queryTableField id="41" name="FY26 OB Qty (SM Removed)" tableColumnId="18"/>
      <queryTableField id="49" name="FY26 Sales + OB Qty" tableColumnId="22"/>
      <queryTableField id="59" name="FY26 Sales + OB Ext. Value" tableColumnId="26"/>
      <queryTableField id="53" name="FY26 ASP (SM Removed)" tableColumnId="24"/>
      <queryTableField id="33" name="FY27 Shipped Qty" tableColumnId="14"/>
      <queryTableField id="34" name="FY27 Shipped Ext. Val" tableColumnId="15"/>
      <queryTableField id="35" name="FY27 OB Qty" tableColumnId="16"/>
      <queryTableField id="36" name="FY27 OB Ext. Val" tableColumnId="17"/>
      <queryTableField id="45" name="FY27 OB Qty (SM Removed)" tableColumnId="20"/>
      <queryTableField id="50" name="FY27 Sales + OB Qty" tableColumnId="23"/>
      <queryTableField id="71" name="FY27 Sales + OB Ext. Value" tableColumnId="27"/>
      <queryTableField id="54" name="FY27 ASP (SM Removed)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B8033F-B367-4707-B007-D8BB18C4B6A0}" name="OPDO___OPSR" displayName="OPDO___OPSR" ref="A1:AA2234" tableType="queryTable" totalsRowShown="0">
  <autoFilter ref="A1:AA2234" xr:uid="{F8B8033F-B367-4707-B007-D8BB18C4B6A0}"/>
  <tableColumns count="27">
    <tableColumn id="1" xr3:uid="{F04B855F-5BDE-4DBA-A2E5-ECCB8E193ED1}" uniqueName="1" name="ITEM" queryTableFieldId="1" dataDxfId="7"/>
    <tableColumn id="7" xr3:uid="{A6883770-FB1F-47F4-BCC4-522B6EA0D144}" uniqueName="7" name="VC" queryTableFieldId="67" dataDxfId="6"/>
    <tableColumn id="19" xr3:uid="{52B9A5A6-B5F8-4CF3-A142-C4FDE79DAC7A}" uniqueName="19" name="Segment" queryTableFieldId="69" dataDxfId="5"/>
    <tableColumn id="21" xr3:uid="{0ABD9EEF-E717-45B4-A663-17A210802242}" uniqueName="21" name="Program" queryTableFieldId="70" dataDxfId="4"/>
    <tableColumn id="5" xr3:uid="{D69B2092-615E-47ED-87C2-66B63A339225}" uniqueName="5" name="CUSTOMER" queryTableFieldId="6" dataDxfId="3"/>
    <tableColumn id="28" xr3:uid="{F357CA36-106B-46A7-9AB5-ABA67E5E3694}" uniqueName="28" name="LTA" queryTableFieldId="75" dataDxfId="2"/>
    <tableColumn id="29" xr3:uid="{477A94AC-43B6-4B5C-AD84-DD8A478B2B76}" uniqueName="29" name="LTA Exp." queryTableFieldId="77" dataDxfId="0"/>
    <tableColumn id="8" xr3:uid="{66CC43ED-B649-4DCC-A46E-458C5B592092}" uniqueName="8" name="FY24 QTY" queryTableFieldId="13"/>
    <tableColumn id="6" xr3:uid="{A8CF8DBA-54EC-4B23-A82A-5F47EA42894B}" uniqueName="6" name="FY24 EXT VAL" queryTableFieldId="9"/>
    <tableColumn id="9" xr3:uid="{2425F41A-FAFF-47C4-8C77-47FF7524CED6}" uniqueName="9" name="FY25 QTY" queryTableFieldId="14"/>
    <tableColumn id="4" xr3:uid="{B216864B-680F-4781-8421-5591870C4723}" uniqueName="4" name="FY25 EXT VAL" queryTableFieldId="8"/>
    <tableColumn id="10" xr3:uid="{3FE659FF-BB6E-49AB-885A-4B3AD24C1BDE}" uniqueName="10" name="FY26 Shipped Qty" queryTableFieldId="20"/>
    <tableColumn id="11" xr3:uid="{DC4AB913-1DED-4DCC-9885-80018E72B524}" uniqueName="11" name="FY26 Shipped Ext. Val" queryTableFieldId="22"/>
    <tableColumn id="13" xr3:uid="{96BD9B52-0504-4D2B-8171-84E32C2C35FB}" uniqueName="13" name="FY26 OB Qty" queryTableFieldId="25"/>
    <tableColumn id="12" xr3:uid="{6BC3F5CF-AC6C-4229-BE90-1CEB8477114D}" uniqueName="12" name="FY26 OB Ext. Val" queryTableFieldId="24"/>
    <tableColumn id="18" xr3:uid="{5613957E-2109-4B32-AFA7-8470C4870B07}" uniqueName="18" name="FY26 OB Qty (SM Removed)" queryTableFieldId="41"/>
    <tableColumn id="22" xr3:uid="{34F8AB16-8E38-4303-BB37-0C57C1AF74F5}" uniqueName="22" name="FY26 Sales + OB Qty" queryTableFieldId="49"/>
    <tableColumn id="26" xr3:uid="{5EEF7EFF-2D9A-4968-BA23-699DAAE2D6FD}" uniqueName="26" name="FY26 Sales + OB Ext. Value" queryTableFieldId="59"/>
    <tableColumn id="24" xr3:uid="{C7579BFE-B604-4FD4-89C1-2B47EC175F75}" uniqueName="24" name="FY26 ASP (SM Removed)" queryTableFieldId="53"/>
    <tableColumn id="14" xr3:uid="{7DD26944-CF02-463C-BF14-773E2F24126B}" uniqueName="14" name="FY27 Shipped Qty" queryTableFieldId="33"/>
    <tableColumn id="15" xr3:uid="{7FEB3222-B64A-4AB2-9F08-26FFE9FD351C}" uniqueName="15" name="FY27 Shipped Ext. Val" queryTableFieldId="34"/>
    <tableColumn id="16" xr3:uid="{A39F63B0-EF21-424B-96BD-4521A81CB6AE}" uniqueName="16" name="FY27 OB Qty" queryTableFieldId="35"/>
    <tableColumn id="17" xr3:uid="{5A652F55-87C0-4AEE-A28E-A6A9972CC601}" uniqueName="17" name="FY27 OB Ext. Val" queryTableFieldId="36"/>
    <tableColumn id="20" xr3:uid="{CBC36EEB-90FF-43F9-BF18-39262E8243E6}" uniqueName="20" name="FY27 OB Qty (SM Removed)" queryTableFieldId="45"/>
    <tableColumn id="23" xr3:uid="{61E015B1-FB32-4A8A-AB61-DC29C034CEFF}" uniqueName="23" name="FY27 Sales + OB Qty" queryTableFieldId="50"/>
    <tableColumn id="27" xr3:uid="{7621AB43-3AE6-4C6C-A575-E8983D4ACAE9}" uniqueName="27" name="FY27 Sales + OB Ext. Value" queryTableFieldId="71"/>
    <tableColumn id="25" xr3:uid="{930C4244-7BA3-4AFB-A612-B2CCD1C87E03}" uniqueName="25" name="FY27 ASP (SM Removed)" queryTableField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5DA3-BCB1-47F4-B1D6-04ADA15D53ED}">
  <dimension ref="A1:AP584"/>
  <sheetViews>
    <sheetView zoomScaleNormal="100" workbookViewId="0">
      <pane xSplit="6" ySplit="1" topLeftCell="U95" activePane="bottomRight" state="frozen"/>
      <selection pane="topRight" activeCell="G1" sqref="G1"/>
      <selection pane="bottomLeft" activeCell="A2" sqref="A2"/>
      <selection pane="bottomRight" activeCell="Y103" sqref="A1:AP569"/>
    </sheetView>
  </sheetViews>
  <sheetFormatPr defaultRowHeight="12.75" x14ac:dyDescent="0.2"/>
  <cols>
    <col min="1" max="1" width="20.5703125" style="16" bestFit="1" customWidth="1"/>
    <col min="2" max="2" width="7.7109375" style="7" bestFit="1" customWidth="1"/>
    <col min="3" max="3" width="5.5703125" style="7" customWidth="1"/>
    <col min="4" max="4" width="10.42578125" style="30" bestFit="1" customWidth="1"/>
    <col min="5" max="5" width="19.7109375" style="31" customWidth="1"/>
    <col min="6" max="6" width="13.85546875" style="1" bestFit="1" customWidth="1"/>
    <col min="7" max="7" width="23" style="1" customWidth="1"/>
    <col min="8" max="8" width="8.85546875" style="4" hidden="1" customWidth="1"/>
    <col min="9" max="9" width="13.5703125" style="2" hidden="1" customWidth="1"/>
    <col min="10" max="10" width="8.140625" style="4" hidden="1" customWidth="1"/>
    <col min="11" max="11" width="13.5703125" style="23" hidden="1" customWidth="1"/>
    <col min="12" max="12" width="8.140625" style="7" hidden="1" customWidth="1"/>
    <col min="13" max="13" width="13.7109375" style="23" customWidth="1"/>
    <col min="14" max="14" width="12.28515625" style="23" hidden="1" customWidth="1"/>
    <col min="15" max="15" width="26.42578125" style="1" hidden="1" customWidth="1"/>
    <col min="16" max="16" width="0.140625" style="2" hidden="1" customWidth="1"/>
    <col min="17" max="17" width="14.85546875" style="1" hidden="1" customWidth="1"/>
    <col min="18" max="18" width="0.140625" style="6" hidden="1" customWidth="1"/>
    <col min="19" max="19" width="14.140625" style="6" hidden="1" customWidth="1"/>
    <col min="20" max="20" width="0.140625" style="6" customWidth="1"/>
    <col min="21" max="21" width="9.28515625" style="4" customWidth="1"/>
    <col min="22" max="22" width="13.42578125" style="1" customWidth="1"/>
    <col min="23" max="23" width="14.42578125" style="1" customWidth="1"/>
    <col min="24" max="24" width="20.42578125" style="1" bestFit="1" customWidth="1"/>
    <col min="25" max="25" width="13.42578125" style="1" customWidth="1"/>
    <col min="26" max="26" width="13.42578125" style="4" customWidth="1"/>
    <col min="27" max="27" width="16" style="2" customWidth="1"/>
    <col min="28" max="29" width="10.5703125" style="1" customWidth="1"/>
    <col min="30" max="30" width="13.42578125" style="4" customWidth="1"/>
    <col min="31" max="31" width="13.42578125" style="2" customWidth="1"/>
    <col min="32" max="32" width="8.140625" style="7" customWidth="1"/>
    <col min="33" max="33" width="177" style="1" bestFit="1" customWidth="1"/>
    <col min="34" max="40" width="9.140625" style="1" customWidth="1"/>
    <col min="41" max="41" width="10.28515625" style="1" customWidth="1"/>
    <col min="42" max="42" width="11.5703125" style="1" bestFit="1" customWidth="1"/>
    <col min="43" max="16384" width="9.140625" style="1"/>
  </cols>
  <sheetData>
    <row r="1" spans="1:42" s="28" customFormat="1" ht="37.5" customHeight="1" thickBot="1" x14ac:dyDescent="0.3">
      <c r="A1" s="65" t="s">
        <v>0</v>
      </c>
      <c r="B1" s="66" t="s">
        <v>1</v>
      </c>
      <c r="C1" s="66" t="s">
        <v>577</v>
      </c>
      <c r="D1" s="154" t="s">
        <v>752</v>
      </c>
      <c r="E1" s="66" t="s">
        <v>751</v>
      </c>
      <c r="F1" s="66" t="s">
        <v>2</v>
      </c>
      <c r="G1" s="66" t="s">
        <v>570</v>
      </c>
      <c r="H1" s="67" t="s">
        <v>442</v>
      </c>
      <c r="I1" s="68" t="s">
        <v>443</v>
      </c>
      <c r="J1" s="67" t="s">
        <v>444</v>
      </c>
      <c r="K1" s="68" t="s">
        <v>445</v>
      </c>
      <c r="L1" s="69" t="s">
        <v>722</v>
      </c>
      <c r="M1" s="70" t="s">
        <v>733</v>
      </c>
      <c r="N1" s="70" t="s">
        <v>732</v>
      </c>
      <c r="O1" s="71" t="s">
        <v>734</v>
      </c>
      <c r="P1" s="70" t="s">
        <v>439</v>
      </c>
      <c r="Q1" s="71" t="s">
        <v>3</v>
      </c>
      <c r="R1" s="72" t="s">
        <v>446</v>
      </c>
      <c r="S1" s="72" t="s">
        <v>690</v>
      </c>
      <c r="T1" s="72" t="s">
        <v>691</v>
      </c>
      <c r="U1" s="73" t="s">
        <v>440</v>
      </c>
      <c r="V1" s="71" t="s">
        <v>441</v>
      </c>
      <c r="W1" s="71" t="s">
        <v>839</v>
      </c>
      <c r="X1" s="74" t="s">
        <v>838</v>
      </c>
      <c r="Y1" s="88" t="s">
        <v>837</v>
      </c>
      <c r="Z1" s="94" t="s">
        <v>834</v>
      </c>
      <c r="AA1" s="95" t="s">
        <v>836</v>
      </c>
      <c r="AB1" s="89" t="s">
        <v>1093</v>
      </c>
      <c r="AC1" s="89" t="s">
        <v>997</v>
      </c>
      <c r="AD1" s="94" t="s">
        <v>832</v>
      </c>
      <c r="AE1" s="109" t="s">
        <v>990</v>
      </c>
      <c r="AF1" s="69" t="s">
        <v>991</v>
      </c>
      <c r="AG1" s="117" t="s">
        <v>718</v>
      </c>
      <c r="AH1" s="118" t="s">
        <v>986</v>
      </c>
      <c r="AI1" s="119" t="s">
        <v>987</v>
      </c>
      <c r="AJ1" s="119" t="s">
        <v>988</v>
      </c>
      <c r="AK1" s="119" t="s">
        <v>1101</v>
      </c>
      <c r="AL1" s="120" t="s">
        <v>989</v>
      </c>
      <c r="AM1" s="119" t="s">
        <v>992</v>
      </c>
      <c r="AN1" s="121" t="s">
        <v>993</v>
      </c>
      <c r="AO1" s="122" t="s">
        <v>994</v>
      </c>
    </row>
    <row r="2" spans="1:42" x14ac:dyDescent="0.2">
      <c r="A2" s="75" t="s">
        <v>433</v>
      </c>
      <c r="B2" s="194" t="s">
        <v>556</v>
      </c>
      <c r="C2" s="77" t="s">
        <v>571</v>
      </c>
      <c r="D2" s="152"/>
      <c r="E2" s="153" t="s">
        <v>594</v>
      </c>
      <c r="F2" s="76" t="s">
        <v>555</v>
      </c>
      <c r="G2" s="76" t="s">
        <v>580</v>
      </c>
      <c r="H2" s="78">
        <v>0</v>
      </c>
      <c r="I2" s="79">
        <v>0</v>
      </c>
      <c r="J2" s="78">
        <v>0</v>
      </c>
      <c r="K2" s="79">
        <v>0</v>
      </c>
      <c r="L2" s="77" t="s">
        <v>571</v>
      </c>
      <c r="M2" s="80">
        <v>71029.454545454544</v>
      </c>
      <c r="N2" s="81">
        <v>0</v>
      </c>
      <c r="O2" s="76">
        <v>54</v>
      </c>
      <c r="P2" s="80">
        <f t="shared" ref="P2:P14" si="0">(N2+O2)*M2</f>
        <v>3835590.5454545454</v>
      </c>
      <c r="Q2" s="76">
        <v>0</v>
      </c>
      <c r="R2" s="82">
        <f t="shared" ref="R2:R14" si="1">O2-Q2</f>
        <v>54</v>
      </c>
      <c r="S2" s="82">
        <f t="shared" ref="S2:S14" si="2">U2-O2</f>
        <v>-19</v>
      </c>
      <c r="T2" s="80">
        <f t="shared" ref="T2:T14" si="3">S2*M2</f>
        <v>-1349559.6363636362</v>
      </c>
      <c r="U2" s="83">
        <v>35</v>
      </c>
      <c r="V2" s="84">
        <f t="shared" ref="V2:V14" si="4">U2*M2</f>
        <v>2486030.9090909092</v>
      </c>
      <c r="W2" s="76">
        <v>33</v>
      </c>
      <c r="X2" s="85">
        <v>2343972</v>
      </c>
      <c r="Y2" s="198">
        <v>72500</v>
      </c>
      <c r="Z2" s="83">
        <v>97</v>
      </c>
      <c r="AA2" s="80">
        <f t="shared" ref="AA2:AA65" si="5">Z2*Y2</f>
        <v>7032500</v>
      </c>
      <c r="AB2" s="83">
        <v>-29</v>
      </c>
      <c r="AC2" s="83">
        <f t="shared" ref="AC2:AC9" si="6">AB2+AO2</f>
        <v>-37</v>
      </c>
      <c r="AD2" s="83">
        <f t="shared" ref="AD2:AD65" si="7">AC2+Z2</f>
        <v>60</v>
      </c>
      <c r="AE2" s="110">
        <f t="shared" ref="AE2:AE65" si="8">AD2*Y2</f>
        <v>4350000</v>
      </c>
      <c r="AF2" s="113" t="s">
        <v>571</v>
      </c>
      <c r="AG2" s="114" t="s">
        <v>750</v>
      </c>
      <c r="AH2" s="75">
        <v>0</v>
      </c>
      <c r="AI2" s="76">
        <v>-8</v>
      </c>
      <c r="AJ2" s="76">
        <v>0</v>
      </c>
      <c r="AK2" s="76"/>
      <c r="AL2" s="76">
        <v>0</v>
      </c>
      <c r="AM2" s="76">
        <v>0</v>
      </c>
      <c r="AN2" s="90">
        <v>0</v>
      </c>
      <c r="AO2" s="99">
        <f t="shared" ref="AO2:AO43" si="9">SUM(AH2:AN2)</f>
        <v>-8</v>
      </c>
      <c r="AP2" s="3">
        <f t="shared" ref="AP2:AP65" si="10">AC2*Y2</f>
        <v>-2682500</v>
      </c>
    </row>
    <row r="3" spans="1:42" x14ac:dyDescent="0.2">
      <c r="A3" s="35" t="s">
        <v>363</v>
      </c>
      <c r="B3" s="37" t="s">
        <v>556</v>
      </c>
      <c r="C3" s="37" t="s">
        <v>578</v>
      </c>
      <c r="D3" s="52">
        <v>46022</v>
      </c>
      <c r="E3" s="38" t="s">
        <v>753</v>
      </c>
      <c r="F3" s="36" t="s">
        <v>557</v>
      </c>
      <c r="G3" s="36" t="s">
        <v>581</v>
      </c>
      <c r="H3" s="39">
        <v>1175</v>
      </c>
      <c r="I3" s="40">
        <v>2176875.5</v>
      </c>
      <c r="J3" s="39">
        <v>433</v>
      </c>
      <c r="K3" s="40">
        <v>689189.5199999999</v>
      </c>
      <c r="L3" s="37" t="s">
        <v>578</v>
      </c>
      <c r="M3" s="41">
        <v>1852.659999999998</v>
      </c>
      <c r="N3" s="42">
        <v>0</v>
      </c>
      <c r="O3" s="36">
        <v>1388</v>
      </c>
      <c r="P3" s="41">
        <f t="shared" si="0"/>
        <v>2571492.0799999973</v>
      </c>
      <c r="Q3" s="36">
        <v>1000</v>
      </c>
      <c r="R3" s="43">
        <f t="shared" si="1"/>
        <v>388</v>
      </c>
      <c r="S3" s="43">
        <f t="shared" si="2"/>
        <v>-188</v>
      </c>
      <c r="T3" s="41">
        <f t="shared" si="3"/>
        <v>-348300.07999999961</v>
      </c>
      <c r="U3" s="44">
        <f>976+224</f>
        <v>1200</v>
      </c>
      <c r="V3" s="45">
        <f t="shared" si="4"/>
        <v>2223191.9999999977</v>
      </c>
      <c r="W3" s="36">
        <v>1175</v>
      </c>
      <c r="X3" s="86">
        <v>2176875.4999999977</v>
      </c>
      <c r="Y3" s="199">
        <v>2750</v>
      </c>
      <c r="Z3" s="44">
        <v>1044</v>
      </c>
      <c r="AA3" s="41">
        <f t="shared" si="5"/>
        <v>2871000</v>
      </c>
      <c r="AB3" s="44">
        <v>250</v>
      </c>
      <c r="AC3" s="44">
        <f t="shared" si="6"/>
        <v>250</v>
      </c>
      <c r="AD3" s="44">
        <f t="shared" si="7"/>
        <v>1294</v>
      </c>
      <c r="AE3" s="111">
        <f t="shared" si="8"/>
        <v>3558500</v>
      </c>
      <c r="AF3" s="51" t="s">
        <v>578</v>
      </c>
      <c r="AG3" s="115"/>
      <c r="AH3" s="35">
        <v>0</v>
      </c>
      <c r="AI3" s="36">
        <v>0</v>
      </c>
      <c r="AJ3" s="36">
        <v>0</v>
      </c>
      <c r="AK3" s="36"/>
      <c r="AL3" s="36">
        <v>0</v>
      </c>
      <c r="AM3" s="36">
        <v>0</v>
      </c>
      <c r="AN3" s="46">
        <v>0</v>
      </c>
      <c r="AO3" s="100">
        <f t="shared" si="9"/>
        <v>0</v>
      </c>
      <c r="AP3" s="3">
        <f t="shared" si="10"/>
        <v>687500</v>
      </c>
    </row>
    <row r="4" spans="1:42" x14ac:dyDescent="0.2">
      <c r="A4" s="35" t="s">
        <v>382</v>
      </c>
      <c r="B4" s="37" t="s">
        <v>556</v>
      </c>
      <c r="C4" s="37" t="s">
        <v>578</v>
      </c>
      <c r="D4" s="52">
        <v>46022</v>
      </c>
      <c r="E4" s="38" t="s">
        <v>755</v>
      </c>
      <c r="F4" s="36" t="s">
        <v>558</v>
      </c>
      <c r="G4" s="36" t="s">
        <v>582</v>
      </c>
      <c r="H4" s="39">
        <v>0</v>
      </c>
      <c r="I4" s="40">
        <v>0</v>
      </c>
      <c r="J4" s="39">
        <v>125</v>
      </c>
      <c r="K4" s="40">
        <v>48650</v>
      </c>
      <c r="L4" s="37" t="s">
        <v>571</v>
      </c>
      <c r="M4" s="41">
        <v>375</v>
      </c>
      <c r="N4" s="42">
        <v>0</v>
      </c>
      <c r="O4" s="36">
        <v>4422</v>
      </c>
      <c r="P4" s="41">
        <f t="shared" si="0"/>
        <v>1658250</v>
      </c>
      <c r="Q4" s="36">
        <v>4179</v>
      </c>
      <c r="R4" s="43">
        <f t="shared" si="1"/>
        <v>243</v>
      </c>
      <c r="S4" s="43">
        <f t="shared" si="2"/>
        <v>0</v>
      </c>
      <c r="T4" s="41">
        <f t="shared" si="3"/>
        <v>0</v>
      </c>
      <c r="U4" s="44">
        <f>O4</f>
        <v>4422</v>
      </c>
      <c r="V4" s="45">
        <f t="shared" si="4"/>
        <v>1658250</v>
      </c>
      <c r="W4" s="36">
        <v>849</v>
      </c>
      <c r="X4" s="86">
        <v>318375</v>
      </c>
      <c r="Y4" s="199">
        <v>381.37999999999994</v>
      </c>
      <c r="Z4" s="44">
        <v>3703</v>
      </c>
      <c r="AA4" s="41">
        <f t="shared" si="5"/>
        <v>1412250.1399999997</v>
      </c>
      <c r="AB4" s="44">
        <v>0</v>
      </c>
      <c r="AC4" s="44">
        <f t="shared" si="6"/>
        <v>500</v>
      </c>
      <c r="AD4" s="44">
        <f t="shared" si="7"/>
        <v>4203</v>
      </c>
      <c r="AE4" s="111">
        <f t="shared" si="8"/>
        <v>1602940.1399999997</v>
      </c>
      <c r="AF4" s="51" t="s">
        <v>578</v>
      </c>
      <c r="AG4" s="115" t="s">
        <v>1032</v>
      </c>
      <c r="AH4" s="35">
        <v>0</v>
      </c>
      <c r="AI4" s="36">
        <v>0</v>
      </c>
      <c r="AJ4" s="36">
        <v>0</v>
      </c>
      <c r="AK4" s="36"/>
      <c r="AL4" s="36">
        <v>500</v>
      </c>
      <c r="AM4" s="36">
        <v>0</v>
      </c>
      <c r="AN4" s="46">
        <v>0</v>
      </c>
      <c r="AO4" s="100">
        <f t="shared" si="9"/>
        <v>500</v>
      </c>
      <c r="AP4" s="3">
        <f t="shared" si="10"/>
        <v>190689.99999999997</v>
      </c>
    </row>
    <row r="5" spans="1:42" x14ac:dyDescent="0.2">
      <c r="A5" s="35" t="s">
        <v>369</v>
      </c>
      <c r="B5" s="37" t="s">
        <v>556</v>
      </c>
      <c r="C5" s="37" t="s">
        <v>578</v>
      </c>
      <c r="D5" s="52">
        <v>46022</v>
      </c>
      <c r="E5" s="38" t="s">
        <v>757</v>
      </c>
      <c r="F5" s="36" t="s">
        <v>558</v>
      </c>
      <c r="G5" s="36" t="s">
        <v>584</v>
      </c>
      <c r="H5" s="39">
        <v>2239</v>
      </c>
      <c r="I5" s="40">
        <v>697631.2799999998</v>
      </c>
      <c r="J5" s="39">
        <v>4833</v>
      </c>
      <c r="K5" s="40">
        <v>2119867.5499999998</v>
      </c>
      <c r="L5" s="37" t="s">
        <v>578</v>
      </c>
      <c r="M5" s="41">
        <v>483.25429111531179</v>
      </c>
      <c r="N5" s="42">
        <v>308</v>
      </c>
      <c r="O5" s="36">
        <v>2200</v>
      </c>
      <c r="P5" s="41">
        <f t="shared" si="0"/>
        <v>1212001.7621172019</v>
      </c>
      <c r="Q5" s="36">
        <v>4557</v>
      </c>
      <c r="R5" s="43">
        <f t="shared" si="1"/>
        <v>-2357</v>
      </c>
      <c r="S5" s="43">
        <f t="shared" si="2"/>
        <v>800</v>
      </c>
      <c r="T5" s="41">
        <f t="shared" si="3"/>
        <v>386603.43289224943</v>
      </c>
      <c r="U5" s="44">
        <v>3000</v>
      </c>
      <c r="V5" s="45">
        <f t="shared" si="4"/>
        <v>1449762.8733459353</v>
      </c>
      <c r="W5" s="36">
        <v>2645</v>
      </c>
      <c r="X5" s="86">
        <v>1278207.5999999996</v>
      </c>
      <c r="Y5" s="199">
        <v>573.64</v>
      </c>
      <c r="Z5" s="44">
        <v>2266</v>
      </c>
      <c r="AA5" s="41">
        <f t="shared" si="5"/>
        <v>1299868.24</v>
      </c>
      <c r="AB5" s="44">
        <v>0</v>
      </c>
      <c r="AC5" s="44">
        <f t="shared" si="6"/>
        <v>500</v>
      </c>
      <c r="AD5" s="44">
        <f t="shared" si="7"/>
        <v>2766</v>
      </c>
      <c r="AE5" s="111">
        <f t="shared" si="8"/>
        <v>1586688.24</v>
      </c>
      <c r="AF5" s="51" t="s">
        <v>578</v>
      </c>
      <c r="AG5" s="115" t="s">
        <v>719</v>
      </c>
      <c r="AH5" s="35">
        <v>0</v>
      </c>
      <c r="AI5" s="36">
        <v>0</v>
      </c>
      <c r="AJ5" s="36">
        <v>500</v>
      </c>
      <c r="AK5" s="36"/>
      <c r="AL5" s="36">
        <v>0</v>
      </c>
      <c r="AM5" s="36">
        <v>0</v>
      </c>
      <c r="AN5" s="46">
        <v>0</v>
      </c>
      <c r="AO5" s="100">
        <f t="shared" si="9"/>
        <v>500</v>
      </c>
      <c r="AP5" s="3">
        <f t="shared" si="10"/>
        <v>286820</v>
      </c>
    </row>
    <row r="6" spans="1:42" x14ac:dyDescent="0.2">
      <c r="A6" s="35" t="s">
        <v>355</v>
      </c>
      <c r="B6" s="37" t="s">
        <v>556</v>
      </c>
      <c r="C6" s="37" t="s">
        <v>578</v>
      </c>
      <c r="D6" s="52">
        <v>46387</v>
      </c>
      <c r="E6" s="38" t="s">
        <v>754</v>
      </c>
      <c r="F6" s="36" t="s">
        <v>557</v>
      </c>
      <c r="G6" s="36" t="s">
        <v>618</v>
      </c>
      <c r="H6" s="39">
        <v>2240</v>
      </c>
      <c r="I6" s="40">
        <v>1654844.0999999999</v>
      </c>
      <c r="J6" s="39">
        <v>2100</v>
      </c>
      <c r="K6" s="40">
        <v>1630755.0000000002</v>
      </c>
      <c r="L6" s="37" t="s">
        <v>578</v>
      </c>
      <c r="M6" s="41">
        <v>756.55000000000007</v>
      </c>
      <c r="N6" s="42">
        <v>0</v>
      </c>
      <c r="O6" s="36">
        <v>1312</v>
      </c>
      <c r="P6" s="41">
        <f t="shared" si="0"/>
        <v>992593.60000000009</v>
      </c>
      <c r="Q6" s="36">
        <v>1600</v>
      </c>
      <c r="R6" s="43">
        <f t="shared" si="1"/>
        <v>-288</v>
      </c>
      <c r="S6" s="43">
        <f t="shared" si="2"/>
        <v>288</v>
      </c>
      <c r="T6" s="41">
        <f t="shared" si="3"/>
        <v>217886.40000000002</v>
      </c>
      <c r="U6" s="44">
        <f>Q6</f>
        <v>1600</v>
      </c>
      <c r="V6" s="45">
        <f t="shared" si="4"/>
        <v>1210480</v>
      </c>
      <c r="W6" s="36">
        <v>1589</v>
      </c>
      <c r="X6" s="86">
        <v>1202157.9500000002</v>
      </c>
      <c r="Y6" s="199">
        <v>756.55000000000007</v>
      </c>
      <c r="Z6" s="44">
        <v>1035</v>
      </c>
      <c r="AA6" s="41">
        <f t="shared" si="5"/>
        <v>783029.25000000012</v>
      </c>
      <c r="AB6" s="44">
        <v>345</v>
      </c>
      <c r="AC6" s="44">
        <f t="shared" si="6"/>
        <v>845</v>
      </c>
      <c r="AD6" s="44">
        <f t="shared" si="7"/>
        <v>1880</v>
      </c>
      <c r="AE6" s="111">
        <f t="shared" si="8"/>
        <v>1422314.0000000002</v>
      </c>
      <c r="AF6" s="51" t="s">
        <v>578</v>
      </c>
      <c r="AG6" s="115" t="s">
        <v>748</v>
      </c>
      <c r="AH6" s="35">
        <v>500</v>
      </c>
      <c r="AI6" s="36">
        <v>0</v>
      </c>
      <c r="AJ6" s="36">
        <v>0</v>
      </c>
      <c r="AK6" s="36"/>
      <c r="AL6" s="36">
        <v>0</v>
      </c>
      <c r="AM6" s="36">
        <v>0</v>
      </c>
      <c r="AN6" s="46">
        <v>0</v>
      </c>
      <c r="AO6" s="100">
        <f t="shared" si="9"/>
        <v>500</v>
      </c>
      <c r="AP6" s="3">
        <f t="shared" si="10"/>
        <v>639284.75</v>
      </c>
    </row>
    <row r="7" spans="1:42" x14ac:dyDescent="0.2">
      <c r="A7" s="202" t="s">
        <v>386</v>
      </c>
      <c r="B7" s="37" t="s">
        <v>556</v>
      </c>
      <c r="C7" s="37" t="s">
        <v>578</v>
      </c>
      <c r="D7" s="52">
        <v>46387</v>
      </c>
      <c r="E7" s="38" t="s">
        <v>758</v>
      </c>
      <c r="F7" s="36" t="s">
        <v>555</v>
      </c>
      <c r="G7" s="36" t="s">
        <v>583</v>
      </c>
      <c r="H7" s="39">
        <v>566</v>
      </c>
      <c r="I7" s="40">
        <v>97069</v>
      </c>
      <c r="J7" s="39">
        <v>2891</v>
      </c>
      <c r="K7" s="40">
        <v>417431.45999999996</v>
      </c>
      <c r="L7" s="37" t="s">
        <v>571</v>
      </c>
      <c r="M7" s="41">
        <v>153.13999999999999</v>
      </c>
      <c r="N7" s="42">
        <v>0</v>
      </c>
      <c r="O7" s="36">
        <v>10000</v>
      </c>
      <c r="P7" s="41">
        <f t="shared" si="0"/>
        <v>1531399.9999999998</v>
      </c>
      <c r="Q7" s="36">
        <v>7500</v>
      </c>
      <c r="R7" s="43">
        <f t="shared" si="1"/>
        <v>2500</v>
      </c>
      <c r="S7" s="43">
        <f t="shared" si="2"/>
        <v>-2000</v>
      </c>
      <c r="T7" s="41">
        <f t="shared" si="3"/>
        <v>-306280</v>
      </c>
      <c r="U7" s="44">
        <f>O7/1.25</f>
        <v>8000</v>
      </c>
      <c r="V7" s="45">
        <f t="shared" si="4"/>
        <v>1225120</v>
      </c>
      <c r="W7" s="36">
        <v>10000</v>
      </c>
      <c r="X7" s="86">
        <v>1531400</v>
      </c>
      <c r="Y7" s="199">
        <v>153.13999999999999</v>
      </c>
      <c r="Z7" s="44">
        <v>7284</v>
      </c>
      <c r="AA7" s="41">
        <f t="shared" si="5"/>
        <v>1115471.76</v>
      </c>
      <c r="AB7" s="44">
        <v>0</v>
      </c>
      <c r="AC7" s="44">
        <f t="shared" si="6"/>
        <v>1900</v>
      </c>
      <c r="AD7" s="44">
        <f t="shared" si="7"/>
        <v>9184</v>
      </c>
      <c r="AE7" s="111">
        <f t="shared" si="8"/>
        <v>1406437.7599999998</v>
      </c>
      <c r="AF7" s="51" t="s">
        <v>578</v>
      </c>
      <c r="AG7" s="115" t="s">
        <v>747</v>
      </c>
      <c r="AH7" s="35">
        <v>0</v>
      </c>
      <c r="AI7" s="36">
        <v>1900</v>
      </c>
      <c r="AJ7" s="36">
        <v>0</v>
      </c>
      <c r="AK7" s="36"/>
      <c r="AL7" s="36">
        <v>0</v>
      </c>
      <c r="AM7" s="36">
        <v>0</v>
      </c>
      <c r="AN7" s="46">
        <v>0</v>
      </c>
      <c r="AO7" s="100">
        <f t="shared" si="9"/>
        <v>1900</v>
      </c>
      <c r="AP7" s="3">
        <f t="shared" si="10"/>
        <v>290966</v>
      </c>
    </row>
    <row r="8" spans="1:42" x14ac:dyDescent="0.2">
      <c r="A8" s="35" t="s">
        <v>364</v>
      </c>
      <c r="B8" s="37" t="s">
        <v>556</v>
      </c>
      <c r="C8" s="37" t="s">
        <v>578</v>
      </c>
      <c r="D8" s="52">
        <v>46022</v>
      </c>
      <c r="E8" s="38" t="s">
        <v>753</v>
      </c>
      <c r="F8" s="36" t="s">
        <v>557</v>
      </c>
      <c r="G8" s="36" t="s">
        <v>581</v>
      </c>
      <c r="H8" s="39">
        <v>1442</v>
      </c>
      <c r="I8" s="40">
        <v>1205713.8799999994</v>
      </c>
      <c r="J8" s="39">
        <v>1744</v>
      </c>
      <c r="K8" s="40">
        <v>1517942.7199999965</v>
      </c>
      <c r="L8" s="37" t="s">
        <v>578</v>
      </c>
      <c r="M8" s="41">
        <v>870.37999999999977</v>
      </c>
      <c r="N8" s="42">
        <v>0</v>
      </c>
      <c r="O8" s="36">
        <v>1346</v>
      </c>
      <c r="P8" s="41">
        <f t="shared" si="0"/>
        <v>1171531.4799999997</v>
      </c>
      <c r="Q8" s="36">
        <v>2200</v>
      </c>
      <c r="R8" s="43">
        <f t="shared" si="1"/>
        <v>-854</v>
      </c>
      <c r="S8" s="43">
        <f t="shared" si="2"/>
        <v>54</v>
      </c>
      <c r="T8" s="41">
        <f t="shared" si="3"/>
        <v>47000.51999999999</v>
      </c>
      <c r="U8" s="44">
        <v>1400</v>
      </c>
      <c r="V8" s="45">
        <f t="shared" si="4"/>
        <v>1218531.9999999998</v>
      </c>
      <c r="W8" s="36">
        <v>1165</v>
      </c>
      <c r="X8" s="86">
        <v>1013992.6999999997</v>
      </c>
      <c r="Y8" s="199">
        <v>1115.3699999999999</v>
      </c>
      <c r="Z8" s="44">
        <v>1067</v>
      </c>
      <c r="AA8" s="41">
        <f t="shared" si="5"/>
        <v>1190099.7899999998</v>
      </c>
      <c r="AB8" s="44">
        <v>0</v>
      </c>
      <c r="AC8" s="44">
        <f t="shared" si="6"/>
        <v>182</v>
      </c>
      <c r="AD8" s="44">
        <f t="shared" si="7"/>
        <v>1249</v>
      </c>
      <c r="AE8" s="111">
        <f t="shared" si="8"/>
        <v>1393097.13</v>
      </c>
      <c r="AF8" s="51" t="s">
        <v>578</v>
      </c>
      <c r="AG8" s="115"/>
      <c r="AH8" s="35">
        <v>182</v>
      </c>
      <c r="AI8" s="36">
        <v>0</v>
      </c>
      <c r="AJ8" s="36">
        <v>0</v>
      </c>
      <c r="AK8" s="36"/>
      <c r="AL8" s="36">
        <v>0</v>
      </c>
      <c r="AM8" s="36">
        <v>0</v>
      </c>
      <c r="AN8" s="46">
        <v>0</v>
      </c>
      <c r="AO8" s="100">
        <f t="shared" si="9"/>
        <v>182</v>
      </c>
      <c r="AP8" s="3">
        <f t="shared" si="10"/>
        <v>202997.33999999997</v>
      </c>
    </row>
    <row r="9" spans="1:42" x14ac:dyDescent="0.2">
      <c r="A9" s="35" t="s">
        <v>316</v>
      </c>
      <c r="B9" s="37" t="s">
        <v>556</v>
      </c>
      <c r="C9" s="37" t="s">
        <v>571</v>
      </c>
      <c r="D9" s="52"/>
      <c r="E9" s="38" t="s">
        <v>756</v>
      </c>
      <c r="F9" s="36" t="s">
        <v>557</v>
      </c>
      <c r="G9" s="36" t="s">
        <v>581</v>
      </c>
      <c r="H9" s="39">
        <v>5056</v>
      </c>
      <c r="I9" s="40">
        <v>521769.25</v>
      </c>
      <c r="J9" s="39">
        <v>8837</v>
      </c>
      <c r="K9" s="40">
        <v>991213.23</v>
      </c>
      <c r="L9" s="37" t="s">
        <v>578</v>
      </c>
      <c r="M9" s="41">
        <v>120.04480819245774</v>
      </c>
      <c r="N9" s="42">
        <v>1251</v>
      </c>
      <c r="O9" s="36">
        <v>18270</v>
      </c>
      <c r="P9" s="41">
        <f t="shared" si="0"/>
        <v>2343394.7007249673</v>
      </c>
      <c r="Q9" s="36">
        <v>13475</v>
      </c>
      <c r="R9" s="43">
        <f t="shared" si="1"/>
        <v>4795</v>
      </c>
      <c r="S9" s="43">
        <f t="shared" si="2"/>
        <v>-5770</v>
      </c>
      <c r="T9" s="41">
        <f t="shared" si="3"/>
        <v>-692658.54327048117</v>
      </c>
      <c r="U9" s="44">
        <v>12500</v>
      </c>
      <c r="V9" s="45">
        <f t="shared" si="4"/>
        <v>1500560.1024057218</v>
      </c>
      <c r="W9" s="36">
        <v>18456</v>
      </c>
      <c r="X9" s="86">
        <v>2215546.98</v>
      </c>
      <c r="Y9" s="199">
        <v>123.46761904761905</v>
      </c>
      <c r="Z9" s="44">
        <v>10810</v>
      </c>
      <c r="AA9" s="41">
        <f t="shared" si="5"/>
        <v>1334684.9619047618</v>
      </c>
      <c r="AB9" s="44">
        <v>0</v>
      </c>
      <c r="AC9" s="44">
        <f t="shared" si="6"/>
        <v>250</v>
      </c>
      <c r="AD9" s="44">
        <f t="shared" si="7"/>
        <v>11060</v>
      </c>
      <c r="AE9" s="111">
        <f t="shared" si="8"/>
        <v>1365551.8666666667</v>
      </c>
      <c r="AF9" s="51" t="s">
        <v>578</v>
      </c>
      <c r="AG9" s="115"/>
      <c r="AH9" s="35">
        <v>0</v>
      </c>
      <c r="AI9" s="36">
        <v>0</v>
      </c>
      <c r="AJ9" s="36">
        <v>250</v>
      </c>
      <c r="AK9" s="36"/>
      <c r="AL9" s="36">
        <v>0</v>
      </c>
      <c r="AM9" s="36">
        <v>0</v>
      </c>
      <c r="AN9" s="46">
        <v>0</v>
      </c>
      <c r="AO9" s="100">
        <f t="shared" si="9"/>
        <v>250</v>
      </c>
      <c r="AP9" s="3">
        <f t="shared" si="10"/>
        <v>30866.904761904763</v>
      </c>
    </row>
    <row r="10" spans="1:42" x14ac:dyDescent="0.2">
      <c r="A10" s="35" t="s">
        <v>166</v>
      </c>
      <c r="B10" s="37" t="s">
        <v>556</v>
      </c>
      <c r="C10" s="37" t="s">
        <v>578</v>
      </c>
      <c r="D10" s="52">
        <v>46387</v>
      </c>
      <c r="E10" s="38" t="s">
        <v>754</v>
      </c>
      <c r="F10" s="36" t="s">
        <v>559</v>
      </c>
      <c r="G10" s="36" t="s">
        <v>585</v>
      </c>
      <c r="H10" s="39">
        <v>51160</v>
      </c>
      <c r="I10" s="40">
        <v>1136215</v>
      </c>
      <c r="J10" s="39">
        <v>86365</v>
      </c>
      <c r="K10" s="40">
        <v>1898554</v>
      </c>
      <c r="L10" s="37" t="s">
        <v>578</v>
      </c>
      <c r="M10" s="41">
        <v>21.384831318170285</v>
      </c>
      <c r="N10" s="42">
        <v>0</v>
      </c>
      <c r="O10" s="36">
        <v>54550</v>
      </c>
      <c r="P10" s="41">
        <f t="shared" si="0"/>
        <v>1166542.5484061891</v>
      </c>
      <c r="Q10" s="36">
        <v>72900</v>
      </c>
      <c r="R10" s="43">
        <f t="shared" si="1"/>
        <v>-18350</v>
      </c>
      <c r="S10" s="43">
        <f t="shared" si="2"/>
        <v>30450</v>
      </c>
      <c r="T10" s="41">
        <f t="shared" si="3"/>
        <v>651168.1136382852</v>
      </c>
      <c r="U10" s="44">
        <v>85000</v>
      </c>
      <c r="V10" s="45">
        <f t="shared" si="4"/>
        <v>1817710.6620444742</v>
      </c>
      <c r="W10" s="36">
        <v>59135</v>
      </c>
      <c r="X10" s="86">
        <v>1264591.9999999998</v>
      </c>
      <c r="Y10" s="199">
        <v>22.875</v>
      </c>
      <c r="Z10" s="44">
        <v>41100</v>
      </c>
      <c r="AA10" s="41">
        <f t="shared" si="5"/>
        <v>940162.5</v>
      </c>
      <c r="AB10" s="44">
        <v>18000</v>
      </c>
      <c r="AC10" s="44">
        <v>18000</v>
      </c>
      <c r="AD10" s="44">
        <f t="shared" si="7"/>
        <v>59100</v>
      </c>
      <c r="AE10" s="111">
        <f t="shared" si="8"/>
        <v>1351912.5</v>
      </c>
      <c r="AF10" s="51" t="s">
        <v>578</v>
      </c>
      <c r="AG10" s="115"/>
      <c r="AH10" s="35">
        <v>0</v>
      </c>
      <c r="AI10" s="36">
        <v>0</v>
      </c>
      <c r="AJ10" s="36">
        <v>0</v>
      </c>
      <c r="AK10" s="36"/>
      <c r="AL10" s="36">
        <v>0</v>
      </c>
      <c r="AM10" s="36">
        <v>0</v>
      </c>
      <c r="AN10" s="46">
        <v>0</v>
      </c>
      <c r="AO10" s="100">
        <f t="shared" si="9"/>
        <v>0</v>
      </c>
      <c r="AP10" s="3">
        <f t="shared" si="10"/>
        <v>411750</v>
      </c>
    </row>
    <row r="11" spans="1:42" x14ac:dyDescent="0.2">
      <c r="A11" s="35" t="s">
        <v>282</v>
      </c>
      <c r="B11" s="37" t="s">
        <v>556</v>
      </c>
      <c r="C11" s="37" t="s">
        <v>571</v>
      </c>
      <c r="D11" s="52"/>
      <c r="E11" s="38" t="s">
        <v>763</v>
      </c>
      <c r="F11" s="36" t="s">
        <v>560</v>
      </c>
      <c r="G11" s="36" t="s">
        <v>612</v>
      </c>
      <c r="H11" s="39">
        <v>152</v>
      </c>
      <c r="I11" s="40">
        <v>335041.44</v>
      </c>
      <c r="J11" s="39">
        <v>124</v>
      </c>
      <c r="K11" s="40">
        <v>287667.48</v>
      </c>
      <c r="L11" s="37" t="s">
        <v>578</v>
      </c>
      <c r="M11" s="41">
        <v>2443.2899999999995</v>
      </c>
      <c r="N11" s="42">
        <v>0</v>
      </c>
      <c r="O11" s="36">
        <v>195</v>
      </c>
      <c r="P11" s="41">
        <f t="shared" si="0"/>
        <v>476441.54999999993</v>
      </c>
      <c r="Q11" s="36">
        <v>306</v>
      </c>
      <c r="R11" s="43">
        <f t="shared" si="1"/>
        <v>-111</v>
      </c>
      <c r="S11" s="43">
        <f t="shared" si="2"/>
        <v>30</v>
      </c>
      <c r="T11" s="41">
        <f t="shared" si="3"/>
        <v>73298.699999999983</v>
      </c>
      <c r="U11" s="44">
        <f>125+100</f>
        <v>225</v>
      </c>
      <c r="V11" s="45">
        <f t="shared" si="4"/>
        <v>549740.24999999988</v>
      </c>
      <c r="W11" s="36">
        <v>195</v>
      </c>
      <c r="X11" s="86">
        <v>476441.54999999993</v>
      </c>
      <c r="Y11" s="199">
        <v>2445</v>
      </c>
      <c r="Z11" s="44">
        <v>0</v>
      </c>
      <c r="AA11" s="41">
        <f t="shared" si="5"/>
        <v>0</v>
      </c>
      <c r="AB11" s="44">
        <v>0</v>
      </c>
      <c r="AC11" s="44">
        <f>AB11+AO11</f>
        <v>488</v>
      </c>
      <c r="AD11" s="44">
        <f t="shared" si="7"/>
        <v>488</v>
      </c>
      <c r="AE11" s="111">
        <f t="shared" si="8"/>
        <v>1193160</v>
      </c>
      <c r="AF11" s="51" t="s">
        <v>578</v>
      </c>
      <c r="AG11" s="115"/>
      <c r="AH11" s="35">
        <v>0</v>
      </c>
      <c r="AI11" s="36">
        <v>0</v>
      </c>
      <c r="AJ11" s="36">
        <v>488</v>
      </c>
      <c r="AK11" s="36"/>
      <c r="AL11" s="36">
        <v>0</v>
      </c>
      <c r="AM11" s="36">
        <v>0</v>
      </c>
      <c r="AN11" s="46">
        <v>0</v>
      </c>
      <c r="AO11" s="100">
        <f t="shared" si="9"/>
        <v>488</v>
      </c>
      <c r="AP11" s="3">
        <f t="shared" si="10"/>
        <v>1193160</v>
      </c>
    </row>
    <row r="12" spans="1:42" x14ac:dyDescent="0.2">
      <c r="A12" s="35" t="s">
        <v>323</v>
      </c>
      <c r="B12" s="37" t="s">
        <v>556</v>
      </c>
      <c r="C12" s="37" t="s">
        <v>571</v>
      </c>
      <c r="D12" s="52"/>
      <c r="E12" s="38" t="s">
        <v>756</v>
      </c>
      <c r="F12" s="36" t="s">
        <v>557</v>
      </c>
      <c r="G12" s="36" t="s">
        <v>581</v>
      </c>
      <c r="H12" s="39">
        <v>6375</v>
      </c>
      <c r="I12" s="40">
        <v>246131.04</v>
      </c>
      <c r="J12" s="39">
        <v>15261</v>
      </c>
      <c r="K12" s="40">
        <v>614115.51</v>
      </c>
      <c r="L12" s="37" t="s">
        <v>578</v>
      </c>
      <c r="M12" s="41">
        <v>46.619801877316334</v>
      </c>
      <c r="N12" s="42">
        <v>0</v>
      </c>
      <c r="O12" s="36">
        <v>28870</v>
      </c>
      <c r="P12" s="41">
        <f t="shared" si="0"/>
        <v>1345913.6801981225</v>
      </c>
      <c r="Q12" s="36">
        <v>7500</v>
      </c>
      <c r="R12" s="43">
        <f t="shared" si="1"/>
        <v>21370</v>
      </c>
      <c r="S12" s="43">
        <f t="shared" si="2"/>
        <v>-11370</v>
      </c>
      <c r="T12" s="41">
        <f t="shared" si="3"/>
        <v>-530067.14734508668</v>
      </c>
      <c r="U12" s="44">
        <v>17500</v>
      </c>
      <c r="V12" s="45">
        <f t="shared" si="4"/>
        <v>815846.53285303584</v>
      </c>
      <c r="W12" s="36">
        <v>28871</v>
      </c>
      <c r="X12" s="86">
        <v>1345960.2999999998</v>
      </c>
      <c r="Y12" s="199">
        <v>46.62</v>
      </c>
      <c r="Z12" s="44">
        <v>25300</v>
      </c>
      <c r="AA12" s="41">
        <f t="shared" si="5"/>
        <v>1179486</v>
      </c>
      <c r="AB12" s="44">
        <v>0</v>
      </c>
      <c r="AC12" s="44">
        <f>AB12+AO12</f>
        <v>0</v>
      </c>
      <c r="AD12" s="44">
        <f t="shared" si="7"/>
        <v>25300</v>
      </c>
      <c r="AE12" s="111">
        <f t="shared" si="8"/>
        <v>1179486</v>
      </c>
      <c r="AF12" s="51" t="s">
        <v>578</v>
      </c>
      <c r="AG12" s="115"/>
      <c r="AH12" s="35">
        <v>0</v>
      </c>
      <c r="AI12" s="36">
        <v>0</v>
      </c>
      <c r="AJ12" s="36">
        <v>0</v>
      </c>
      <c r="AK12" s="36"/>
      <c r="AL12" s="36">
        <v>0</v>
      </c>
      <c r="AM12" s="36">
        <v>0</v>
      </c>
      <c r="AN12" s="46">
        <v>0</v>
      </c>
      <c r="AO12" s="100">
        <f t="shared" si="9"/>
        <v>0</v>
      </c>
      <c r="AP12" s="3">
        <f t="shared" si="10"/>
        <v>0</v>
      </c>
    </row>
    <row r="13" spans="1:42" x14ac:dyDescent="0.2">
      <c r="A13" s="35" t="s">
        <v>248</v>
      </c>
      <c r="B13" s="37" t="s">
        <v>556</v>
      </c>
      <c r="C13" s="37" t="s">
        <v>578</v>
      </c>
      <c r="D13" s="52">
        <v>46022</v>
      </c>
      <c r="E13" s="38" t="s">
        <v>753</v>
      </c>
      <c r="F13" s="36" t="s">
        <v>559</v>
      </c>
      <c r="G13" s="36" t="s">
        <v>608</v>
      </c>
      <c r="H13" s="39">
        <v>2100</v>
      </c>
      <c r="I13" s="40">
        <v>232593</v>
      </c>
      <c r="J13" s="39">
        <v>1662</v>
      </c>
      <c r="K13" s="40">
        <v>193359.35999999996</v>
      </c>
      <c r="L13" s="37" t="s">
        <v>578</v>
      </c>
      <c r="M13" s="41">
        <v>138.63597818181813</v>
      </c>
      <c r="N13" s="42">
        <v>0</v>
      </c>
      <c r="O13" s="36">
        <v>2543</v>
      </c>
      <c r="P13" s="41">
        <f t="shared" si="0"/>
        <v>352551.29251636349</v>
      </c>
      <c r="Q13" s="36">
        <v>0</v>
      </c>
      <c r="R13" s="43">
        <f t="shared" si="1"/>
        <v>2543</v>
      </c>
      <c r="S13" s="43">
        <f t="shared" si="2"/>
        <v>0</v>
      </c>
      <c r="T13" s="41">
        <f t="shared" si="3"/>
        <v>0</v>
      </c>
      <c r="U13" s="44">
        <v>2543</v>
      </c>
      <c r="V13" s="45">
        <f t="shared" si="4"/>
        <v>352551.29251636349</v>
      </c>
      <c r="W13" s="36">
        <v>4125</v>
      </c>
      <c r="X13" s="86">
        <v>571873.4099999998</v>
      </c>
      <c r="Y13" s="199">
        <v>172.0277777777778</v>
      </c>
      <c r="Z13" s="44">
        <v>1824</v>
      </c>
      <c r="AA13" s="41">
        <f t="shared" si="5"/>
        <v>313778.66666666669</v>
      </c>
      <c r="AB13" s="44">
        <v>3200</v>
      </c>
      <c r="AC13" s="44">
        <v>4612</v>
      </c>
      <c r="AD13" s="44">
        <f t="shared" si="7"/>
        <v>6436</v>
      </c>
      <c r="AE13" s="111">
        <f t="shared" si="8"/>
        <v>1107170.777777778</v>
      </c>
      <c r="AF13" s="51" t="s">
        <v>578</v>
      </c>
      <c r="AG13" s="115"/>
      <c r="AH13" s="35">
        <v>0</v>
      </c>
      <c r="AI13" s="36">
        <v>0</v>
      </c>
      <c r="AJ13" s="36">
        <v>0</v>
      </c>
      <c r="AK13" s="36"/>
      <c r="AL13" s="36">
        <v>0</v>
      </c>
      <c r="AM13" s="36">
        <v>0</v>
      </c>
      <c r="AN13" s="46">
        <v>0</v>
      </c>
      <c r="AO13" s="100">
        <f t="shared" si="9"/>
        <v>0</v>
      </c>
      <c r="AP13" s="3">
        <f t="shared" si="10"/>
        <v>793392.11111111124</v>
      </c>
    </row>
    <row r="14" spans="1:42" x14ac:dyDescent="0.2">
      <c r="A14" s="35" t="s">
        <v>215</v>
      </c>
      <c r="B14" s="37" t="s">
        <v>556</v>
      </c>
      <c r="C14" s="37" t="s">
        <v>578</v>
      </c>
      <c r="D14" s="52">
        <v>46387</v>
      </c>
      <c r="E14" s="38" t="s">
        <v>754</v>
      </c>
      <c r="F14" s="36" t="s">
        <v>559</v>
      </c>
      <c r="G14" s="36" t="s">
        <v>587</v>
      </c>
      <c r="H14" s="39">
        <v>1879</v>
      </c>
      <c r="I14" s="40">
        <v>563981.84999999986</v>
      </c>
      <c r="J14" s="39">
        <v>1690</v>
      </c>
      <c r="K14" s="40">
        <v>507253.50000000012</v>
      </c>
      <c r="L14" s="37" t="s">
        <v>578</v>
      </c>
      <c r="M14" s="41">
        <v>300.15000000000003</v>
      </c>
      <c r="N14" s="42">
        <v>0</v>
      </c>
      <c r="O14" s="36">
        <v>3679</v>
      </c>
      <c r="P14" s="41">
        <f t="shared" si="0"/>
        <v>1104251.8500000001</v>
      </c>
      <c r="Q14" s="36">
        <v>2508</v>
      </c>
      <c r="R14" s="43">
        <f t="shared" si="1"/>
        <v>1171</v>
      </c>
      <c r="S14" s="43">
        <f t="shared" si="2"/>
        <v>-1179</v>
      </c>
      <c r="T14" s="41">
        <f t="shared" si="3"/>
        <v>-353876.85000000003</v>
      </c>
      <c r="U14" s="44">
        <v>2500</v>
      </c>
      <c r="V14" s="45">
        <f t="shared" si="4"/>
        <v>750375.00000000012</v>
      </c>
      <c r="W14" s="36">
        <v>1988</v>
      </c>
      <c r="X14" s="86">
        <v>596698.20000000007</v>
      </c>
      <c r="Y14" s="199">
        <v>300.15000000000003</v>
      </c>
      <c r="Z14" s="44">
        <v>1350</v>
      </c>
      <c r="AA14" s="41">
        <f t="shared" si="5"/>
        <v>405202.50000000006</v>
      </c>
      <c r="AB14" s="44">
        <v>0</v>
      </c>
      <c r="AC14" s="44">
        <f>AB14+AO14</f>
        <v>2000</v>
      </c>
      <c r="AD14" s="44">
        <f t="shared" si="7"/>
        <v>3350</v>
      </c>
      <c r="AE14" s="111">
        <f t="shared" si="8"/>
        <v>1005502.5000000001</v>
      </c>
      <c r="AF14" s="51" t="s">
        <v>578</v>
      </c>
      <c r="AG14" s="115"/>
      <c r="AH14" s="35">
        <v>2000</v>
      </c>
      <c r="AI14" s="36">
        <v>0</v>
      </c>
      <c r="AJ14" s="36">
        <v>0</v>
      </c>
      <c r="AK14" s="36"/>
      <c r="AL14" s="36">
        <v>0</v>
      </c>
      <c r="AM14" s="36">
        <v>0</v>
      </c>
      <c r="AN14" s="46">
        <v>0</v>
      </c>
      <c r="AO14" s="100">
        <f t="shared" si="9"/>
        <v>2000</v>
      </c>
      <c r="AP14" s="3">
        <f t="shared" si="10"/>
        <v>600300.00000000012</v>
      </c>
    </row>
    <row r="15" spans="1:42" x14ac:dyDescent="0.2">
      <c r="A15" s="49" t="s">
        <v>942</v>
      </c>
      <c r="B15" s="37" t="s">
        <v>554</v>
      </c>
      <c r="C15" s="37" t="s">
        <v>571</v>
      </c>
      <c r="D15" s="52"/>
      <c r="E15" s="38" t="s">
        <v>803</v>
      </c>
      <c r="F15" s="36" t="s">
        <v>560</v>
      </c>
      <c r="G15" s="36" t="s">
        <v>954</v>
      </c>
      <c r="H15" s="39"/>
      <c r="I15" s="40"/>
      <c r="J15" s="39"/>
      <c r="K15" s="40"/>
      <c r="L15" s="37"/>
      <c r="M15" s="41"/>
      <c r="N15" s="36"/>
      <c r="O15" s="41"/>
      <c r="P15" s="36"/>
      <c r="Q15" s="43"/>
      <c r="R15" s="43"/>
      <c r="S15" s="41"/>
      <c r="T15" s="44"/>
      <c r="U15" s="45"/>
      <c r="V15" s="36"/>
      <c r="W15" s="45"/>
      <c r="X15" s="46"/>
      <c r="Y15" s="199">
        <v>6650</v>
      </c>
      <c r="Z15" s="44">
        <v>150</v>
      </c>
      <c r="AA15" s="41">
        <f t="shared" si="5"/>
        <v>997500</v>
      </c>
      <c r="AB15" s="44">
        <v>0</v>
      </c>
      <c r="AC15" s="44">
        <f>AB15+AO15</f>
        <v>0</v>
      </c>
      <c r="AD15" s="44">
        <f t="shared" si="7"/>
        <v>150</v>
      </c>
      <c r="AE15" s="111">
        <f t="shared" si="8"/>
        <v>997500</v>
      </c>
      <c r="AF15" s="51" t="s">
        <v>571</v>
      </c>
      <c r="AG15" s="115"/>
      <c r="AH15" s="35">
        <v>0</v>
      </c>
      <c r="AI15" s="36">
        <v>0</v>
      </c>
      <c r="AJ15" s="36">
        <v>0</v>
      </c>
      <c r="AK15" s="36"/>
      <c r="AL15" s="36">
        <v>0</v>
      </c>
      <c r="AM15" s="36">
        <v>0</v>
      </c>
      <c r="AN15" s="46">
        <v>0</v>
      </c>
      <c r="AO15" s="100">
        <f t="shared" si="9"/>
        <v>0</v>
      </c>
      <c r="AP15" s="3">
        <f t="shared" si="10"/>
        <v>0</v>
      </c>
    </row>
    <row r="16" spans="1:42" x14ac:dyDescent="0.2">
      <c r="A16" s="35" t="s">
        <v>162</v>
      </c>
      <c r="B16" s="37" t="s">
        <v>556</v>
      </c>
      <c r="C16" s="37" t="s">
        <v>578</v>
      </c>
      <c r="D16" s="52">
        <v>46387</v>
      </c>
      <c r="E16" s="38" t="s">
        <v>754</v>
      </c>
      <c r="F16" s="36" t="s">
        <v>559</v>
      </c>
      <c r="G16" s="36" t="s">
        <v>585</v>
      </c>
      <c r="H16" s="39">
        <v>58187</v>
      </c>
      <c r="I16" s="40">
        <v>1280266</v>
      </c>
      <c r="J16" s="39">
        <v>67934</v>
      </c>
      <c r="K16" s="40">
        <v>1489160.5</v>
      </c>
      <c r="L16" s="37" t="s">
        <v>578</v>
      </c>
      <c r="M16" s="41">
        <v>21.174605574877766</v>
      </c>
      <c r="N16" s="42">
        <v>0</v>
      </c>
      <c r="O16" s="36">
        <v>55000</v>
      </c>
      <c r="P16" s="41">
        <f t="shared" ref="P16:P22" si="11">(N16+O16)*M16</f>
        <v>1164603.3066182772</v>
      </c>
      <c r="Q16" s="36">
        <v>72900</v>
      </c>
      <c r="R16" s="43">
        <f t="shared" ref="R16:R22" si="12">O16-Q16</f>
        <v>-17900</v>
      </c>
      <c r="S16" s="43">
        <f t="shared" ref="S16:S22" si="13">U16-O16</f>
        <v>30000</v>
      </c>
      <c r="T16" s="41">
        <f t="shared" ref="T16:T22" si="14">S16*M16</f>
        <v>635238.16724633297</v>
      </c>
      <c r="U16" s="44">
        <v>85000</v>
      </c>
      <c r="V16" s="45">
        <f t="shared" ref="V16:V22" si="15">U16*M16</f>
        <v>1799841.4738646101</v>
      </c>
      <c r="W16" s="36">
        <v>59517</v>
      </c>
      <c r="X16" s="86">
        <v>1260249</v>
      </c>
      <c r="Y16" s="199">
        <v>23</v>
      </c>
      <c r="Z16" s="44">
        <v>34044</v>
      </c>
      <c r="AA16" s="41">
        <f t="shared" si="5"/>
        <v>783012</v>
      </c>
      <c r="AB16" s="44">
        <v>9000</v>
      </c>
      <c r="AC16" s="44">
        <v>9000</v>
      </c>
      <c r="AD16" s="44">
        <f t="shared" si="7"/>
        <v>43044</v>
      </c>
      <c r="AE16" s="111">
        <f t="shared" si="8"/>
        <v>990012</v>
      </c>
      <c r="AF16" s="51" t="s">
        <v>578</v>
      </c>
      <c r="AG16" s="115"/>
      <c r="AH16" s="35">
        <v>0</v>
      </c>
      <c r="AI16" s="36">
        <v>0</v>
      </c>
      <c r="AJ16" s="36">
        <v>0</v>
      </c>
      <c r="AK16" s="36"/>
      <c r="AL16" s="36">
        <v>0</v>
      </c>
      <c r="AM16" s="36">
        <v>0</v>
      </c>
      <c r="AN16" s="46">
        <v>0</v>
      </c>
      <c r="AO16" s="100">
        <f t="shared" si="9"/>
        <v>0</v>
      </c>
      <c r="AP16" s="3">
        <f t="shared" si="10"/>
        <v>207000</v>
      </c>
    </row>
    <row r="17" spans="1:42" x14ac:dyDescent="0.2">
      <c r="A17" s="35" t="s">
        <v>176</v>
      </c>
      <c r="B17" s="37" t="s">
        <v>556</v>
      </c>
      <c r="C17" s="37" t="s">
        <v>578</v>
      </c>
      <c r="D17" s="52">
        <v>46387</v>
      </c>
      <c r="E17" s="38" t="s">
        <v>754</v>
      </c>
      <c r="F17" s="36" t="s">
        <v>559</v>
      </c>
      <c r="G17" s="36" t="s">
        <v>585</v>
      </c>
      <c r="H17" s="39">
        <v>3511</v>
      </c>
      <c r="I17" s="40">
        <v>404537.19</v>
      </c>
      <c r="J17" s="39">
        <v>4033</v>
      </c>
      <c r="K17" s="40">
        <v>537034.28</v>
      </c>
      <c r="L17" s="37" t="s">
        <v>578</v>
      </c>
      <c r="M17" s="41">
        <v>133.16000000000003</v>
      </c>
      <c r="N17" s="42">
        <v>0</v>
      </c>
      <c r="O17" s="36">
        <v>5689</v>
      </c>
      <c r="P17" s="41">
        <f t="shared" si="11"/>
        <v>757547.24000000011</v>
      </c>
      <c r="Q17" s="36">
        <v>4000</v>
      </c>
      <c r="R17" s="43">
        <f t="shared" si="12"/>
        <v>1689</v>
      </c>
      <c r="S17" s="43">
        <f t="shared" si="13"/>
        <v>611</v>
      </c>
      <c r="T17" s="41">
        <f t="shared" si="14"/>
        <v>81360.760000000009</v>
      </c>
      <c r="U17" s="44">
        <f>6000+300</f>
        <v>6300</v>
      </c>
      <c r="V17" s="45">
        <f t="shared" si="15"/>
        <v>838908.00000000012</v>
      </c>
      <c r="W17" s="36">
        <v>6174</v>
      </c>
      <c r="X17" s="86">
        <v>822129.84000000008</v>
      </c>
      <c r="Y17" s="199">
        <v>133.16000000000003</v>
      </c>
      <c r="Z17" s="44">
        <v>2228</v>
      </c>
      <c r="AA17" s="41">
        <f t="shared" si="5"/>
        <v>296680.48000000004</v>
      </c>
      <c r="AB17" s="44">
        <v>300</v>
      </c>
      <c r="AC17" s="44">
        <f t="shared" ref="AC17:AC40" si="16">AB17+AO17</f>
        <v>5064</v>
      </c>
      <c r="AD17" s="44">
        <f t="shared" si="7"/>
        <v>7292</v>
      </c>
      <c r="AE17" s="111">
        <f t="shared" si="8"/>
        <v>971002.7200000002</v>
      </c>
      <c r="AF17" s="51" t="s">
        <v>578</v>
      </c>
      <c r="AG17" s="115"/>
      <c r="AH17" s="35">
        <v>2764</v>
      </c>
      <c r="AI17" s="36">
        <v>0</v>
      </c>
      <c r="AJ17" s="36">
        <v>2000</v>
      </c>
      <c r="AK17" s="36"/>
      <c r="AL17" s="36">
        <v>0</v>
      </c>
      <c r="AM17" s="36">
        <v>0</v>
      </c>
      <c r="AN17" s="46">
        <v>0</v>
      </c>
      <c r="AO17" s="100">
        <f t="shared" si="9"/>
        <v>4764</v>
      </c>
      <c r="AP17" s="3">
        <f t="shared" si="10"/>
        <v>674322.24000000011</v>
      </c>
    </row>
    <row r="18" spans="1:42" x14ac:dyDescent="0.2">
      <c r="A18" s="35" t="s">
        <v>379</v>
      </c>
      <c r="B18" s="37" t="s">
        <v>562</v>
      </c>
      <c r="C18" s="37" t="s">
        <v>571</v>
      </c>
      <c r="D18" s="52"/>
      <c r="E18" s="38" t="s">
        <v>755</v>
      </c>
      <c r="F18" s="36" t="s">
        <v>558</v>
      </c>
      <c r="G18" s="36" t="s">
        <v>584</v>
      </c>
      <c r="H18" s="39">
        <v>55</v>
      </c>
      <c r="I18" s="40">
        <v>331375</v>
      </c>
      <c r="J18" s="39">
        <v>0</v>
      </c>
      <c r="K18" s="40">
        <v>0</v>
      </c>
      <c r="L18" s="37" t="s">
        <v>571</v>
      </c>
      <c r="M18" s="41">
        <v>5998.5</v>
      </c>
      <c r="N18" s="42">
        <v>0</v>
      </c>
      <c r="O18" s="36">
        <v>99</v>
      </c>
      <c r="P18" s="41">
        <f t="shared" si="11"/>
        <v>593851.5</v>
      </c>
      <c r="Q18" s="36">
        <v>100</v>
      </c>
      <c r="R18" s="43">
        <f t="shared" si="12"/>
        <v>-1</v>
      </c>
      <c r="S18" s="43">
        <f t="shared" si="13"/>
        <v>-99</v>
      </c>
      <c r="T18" s="41">
        <f t="shared" si="14"/>
        <v>-593851.5</v>
      </c>
      <c r="U18" s="44">
        <v>0</v>
      </c>
      <c r="V18" s="45">
        <f t="shared" si="15"/>
        <v>0</v>
      </c>
      <c r="W18" s="36">
        <v>25</v>
      </c>
      <c r="X18" s="86">
        <v>149962.5</v>
      </c>
      <c r="Y18" s="199">
        <v>5998.5</v>
      </c>
      <c r="Z18" s="44">
        <v>55</v>
      </c>
      <c r="AA18" s="41">
        <f t="shared" si="5"/>
        <v>329917.5</v>
      </c>
      <c r="AB18" s="44">
        <v>74</v>
      </c>
      <c r="AC18" s="44">
        <f t="shared" si="16"/>
        <v>99</v>
      </c>
      <c r="AD18" s="44">
        <f t="shared" si="7"/>
        <v>154</v>
      </c>
      <c r="AE18" s="111">
        <f t="shared" si="8"/>
        <v>923769</v>
      </c>
      <c r="AF18" s="51" t="s">
        <v>571</v>
      </c>
      <c r="AG18" s="115" t="s">
        <v>1033</v>
      </c>
      <c r="AH18" s="35">
        <v>0</v>
      </c>
      <c r="AI18" s="36">
        <v>0</v>
      </c>
      <c r="AJ18" s="36">
        <v>0</v>
      </c>
      <c r="AK18" s="36"/>
      <c r="AL18" s="36">
        <v>25</v>
      </c>
      <c r="AM18" s="36">
        <v>0</v>
      </c>
      <c r="AN18" s="46">
        <v>0</v>
      </c>
      <c r="AO18" s="100">
        <f t="shared" si="9"/>
        <v>25</v>
      </c>
      <c r="AP18" s="3">
        <f t="shared" si="10"/>
        <v>593851.5</v>
      </c>
    </row>
    <row r="19" spans="1:42" x14ac:dyDescent="0.2">
      <c r="A19" s="35" t="s">
        <v>341</v>
      </c>
      <c r="B19" s="37" t="s">
        <v>556</v>
      </c>
      <c r="C19" s="37" t="s">
        <v>578</v>
      </c>
      <c r="D19" s="52">
        <v>46387</v>
      </c>
      <c r="E19" s="38" t="s">
        <v>754</v>
      </c>
      <c r="F19" s="36" t="s">
        <v>557</v>
      </c>
      <c r="G19" s="36" t="s">
        <v>597</v>
      </c>
      <c r="H19" s="39">
        <v>379</v>
      </c>
      <c r="I19" s="40">
        <v>407959.1</v>
      </c>
      <c r="J19" s="39">
        <v>590</v>
      </c>
      <c r="K19" s="40">
        <v>743783.52</v>
      </c>
      <c r="L19" s="37" t="s">
        <v>578</v>
      </c>
      <c r="M19" s="41">
        <v>1322.61</v>
      </c>
      <c r="N19" s="42">
        <v>0</v>
      </c>
      <c r="O19" s="36">
        <v>417</v>
      </c>
      <c r="P19" s="41">
        <f t="shared" si="11"/>
        <v>551528.37</v>
      </c>
      <c r="Q19" s="36">
        <v>509</v>
      </c>
      <c r="R19" s="43">
        <f t="shared" si="12"/>
        <v>-92</v>
      </c>
      <c r="S19" s="43">
        <f t="shared" si="13"/>
        <v>0</v>
      </c>
      <c r="T19" s="41">
        <f t="shared" si="14"/>
        <v>0</v>
      </c>
      <c r="U19" s="44">
        <f>O19</f>
        <v>417</v>
      </c>
      <c r="V19" s="45">
        <f t="shared" si="15"/>
        <v>551528.37</v>
      </c>
      <c r="W19" s="36">
        <v>338</v>
      </c>
      <c r="X19" s="86">
        <v>447042.17999999993</v>
      </c>
      <c r="Y19" s="199">
        <v>1322.61</v>
      </c>
      <c r="Z19" s="44">
        <v>226</v>
      </c>
      <c r="AA19" s="41">
        <f t="shared" si="5"/>
        <v>298909.86</v>
      </c>
      <c r="AB19" s="44">
        <v>0</v>
      </c>
      <c r="AC19" s="44">
        <f t="shared" si="16"/>
        <v>448</v>
      </c>
      <c r="AD19" s="44">
        <f t="shared" si="7"/>
        <v>674</v>
      </c>
      <c r="AE19" s="111">
        <f t="shared" si="8"/>
        <v>891439.1399999999</v>
      </c>
      <c r="AF19" s="51" t="s">
        <v>578</v>
      </c>
      <c r="AG19" s="115"/>
      <c r="AH19" s="35">
        <v>448</v>
      </c>
      <c r="AI19" s="36">
        <v>0</v>
      </c>
      <c r="AJ19" s="36">
        <v>0</v>
      </c>
      <c r="AK19" s="36"/>
      <c r="AL19" s="36">
        <v>0</v>
      </c>
      <c r="AM19" s="36">
        <v>0</v>
      </c>
      <c r="AN19" s="46">
        <v>0</v>
      </c>
      <c r="AO19" s="100">
        <f t="shared" si="9"/>
        <v>448</v>
      </c>
      <c r="AP19" s="3">
        <f t="shared" si="10"/>
        <v>592529.27999999991</v>
      </c>
    </row>
    <row r="20" spans="1:42" x14ac:dyDescent="0.2">
      <c r="A20" s="35" t="s">
        <v>156</v>
      </c>
      <c r="B20" s="37" t="s">
        <v>556</v>
      </c>
      <c r="C20" s="37" t="s">
        <v>578</v>
      </c>
      <c r="D20" s="52">
        <v>46387</v>
      </c>
      <c r="E20" s="38" t="s">
        <v>754</v>
      </c>
      <c r="F20" s="36" t="s">
        <v>559</v>
      </c>
      <c r="G20" s="36" t="s">
        <v>585</v>
      </c>
      <c r="H20" s="39">
        <v>70526</v>
      </c>
      <c r="I20" s="40">
        <v>1637089.3499999996</v>
      </c>
      <c r="J20" s="39">
        <v>47621</v>
      </c>
      <c r="K20" s="40">
        <v>1104291.5999999999</v>
      </c>
      <c r="L20" s="37" t="s">
        <v>578</v>
      </c>
      <c r="M20" s="41">
        <v>22.408896824190858</v>
      </c>
      <c r="N20" s="42">
        <v>0</v>
      </c>
      <c r="O20" s="36">
        <v>48451</v>
      </c>
      <c r="P20" s="41">
        <f t="shared" si="11"/>
        <v>1085733.4600288712</v>
      </c>
      <c r="Q20" s="36">
        <v>58500</v>
      </c>
      <c r="R20" s="43">
        <f t="shared" si="12"/>
        <v>-10049</v>
      </c>
      <c r="S20" s="43">
        <f t="shared" si="13"/>
        <v>34049</v>
      </c>
      <c r="T20" s="41">
        <f t="shared" si="14"/>
        <v>763000.52796687454</v>
      </c>
      <c r="U20" s="44">
        <v>82500</v>
      </c>
      <c r="V20" s="45">
        <f t="shared" si="15"/>
        <v>1848733.9879957458</v>
      </c>
      <c r="W20" s="36">
        <v>52648</v>
      </c>
      <c r="X20" s="86">
        <v>1179783.6000000003</v>
      </c>
      <c r="Y20" s="199">
        <v>24.587500000000002</v>
      </c>
      <c r="Z20" s="44">
        <v>28580</v>
      </c>
      <c r="AA20" s="41">
        <f t="shared" si="5"/>
        <v>702710.75000000012</v>
      </c>
      <c r="AB20" s="44">
        <v>4612</v>
      </c>
      <c r="AC20" s="44">
        <f t="shared" si="16"/>
        <v>4612</v>
      </c>
      <c r="AD20" s="44">
        <f t="shared" si="7"/>
        <v>33192</v>
      </c>
      <c r="AE20" s="111">
        <f t="shared" si="8"/>
        <v>816108.3</v>
      </c>
      <c r="AF20" s="51" t="s">
        <v>578</v>
      </c>
      <c r="AG20" s="115"/>
      <c r="AH20" s="35">
        <v>0</v>
      </c>
      <c r="AI20" s="36">
        <v>0</v>
      </c>
      <c r="AJ20" s="36">
        <v>0</v>
      </c>
      <c r="AK20" s="36"/>
      <c r="AL20" s="36">
        <v>0</v>
      </c>
      <c r="AM20" s="36">
        <v>0</v>
      </c>
      <c r="AN20" s="46">
        <v>0</v>
      </c>
      <c r="AO20" s="100">
        <f t="shared" si="9"/>
        <v>0</v>
      </c>
      <c r="AP20" s="3">
        <f t="shared" si="10"/>
        <v>113397.55</v>
      </c>
    </row>
    <row r="21" spans="1:42" x14ac:dyDescent="0.2">
      <c r="A21" s="35" t="s">
        <v>250</v>
      </c>
      <c r="B21" s="37" t="s">
        <v>556</v>
      </c>
      <c r="C21" s="37" t="s">
        <v>578</v>
      </c>
      <c r="D21" s="52">
        <v>46387</v>
      </c>
      <c r="E21" s="38" t="s">
        <v>754</v>
      </c>
      <c r="F21" s="36" t="s">
        <v>559</v>
      </c>
      <c r="G21" s="36" t="s">
        <v>585</v>
      </c>
      <c r="H21" s="39">
        <v>2096</v>
      </c>
      <c r="I21" s="40">
        <v>329763.67999999993</v>
      </c>
      <c r="J21" s="39">
        <v>1508</v>
      </c>
      <c r="K21" s="40">
        <v>237253.63999999996</v>
      </c>
      <c r="L21" s="37" t="s">
        <v>578</v>
      </c>
      <c r="M21" s="41">
        <v>157.32999999999996</v>
      </c>
      <c r="N21" s="42">
        <v>0</v>
      </c>
      <c r="O21" s="36">
        <v>3806</v>
      </c>
      <c r="P21" s="41">
        <f t="shared" si="11"/>
        <v>598797.97999999986</v>
      </c>
      <c r="Q21" s="36">
        <v>1800</v>
      </c>
      <c r="R21" s="43">
        <f t="shared" si="12"/>
        <v>2006</v>
      </c>
      <c r="S21" s="43">
        <f t="shared" si="13"/>
        <v>0</v>
      </c>
      <c r="T21" s="41">
        <f t="shared" si="14"/>
        <v>0</v>
      </c>
      <c r="U21" s="44">
        <f>O21</f>
        <v>3806</v>
      </c>
      <c r="V21" s="45">
        <f t="shared" si="15"/>
        <v>598797.97999999986</v>
      </c>
      <c r="W21" s="36">
        <v>3760</v>
      </c>
      <c r="X21" s="86">
        <v>591560.79999999981</v>
      </c>
      <c r="Y21" s="199">
        <v>157.32999999999998</v>
      </c>
      <c r="Z21" s="44">
        <v>2093</v>
      </c>
      <c r="AA21" s="41">
        <f t="shared" si="5"/>
        <v>329291.68999999994</v>
      </c>
      <c r="AB21" s="44">
        <v>100</v>
      </c>
      <c r="AC21" s="44">
        <f t="shared" si="16"/>
        <v>2100</v>
      </c>
      <c r="AD21" s="44">
        <f t="shared" si="7"/>
        <v>4193</v>
      </c>
      <c r="AE21" s="111">
        <f t="shared" si="8"/>
        <v>659684.68999999994</v>
      </c>
      <c r="AF21" s="51" t="s">
        <v>578</v>
      </c>
      <c r="AG21" s="115"/>
      <c r="AH21" s="35">
        <v>1000</v>
      </c>
      <c r="AI21" s="36">
        <v>0</v>
      </c>
      <c r="AJ21" s="36">
        <v>1000</v>
      </c>
      <c r="AK21" s="36"/>
      <c r="AL21" s="36">
        <v>0</v>
      </c>
      <c r="AM21" s="36">
        <v>0</v>
      </c>
      <c r="AN21" s="46">
        <v>0</v>
      </c>
      <c r="AO21" s="100">
        <f t="shared" si="9"/>
        <v>2000</v>
      </c>
      <c r="AP21" s="3">
        <f t="shared" si="10"/>
        <v>330392.99999999994</v>
      </c>
    </row>
    <row r="22" spans="1:42" x14ac:dyDescent="0.2">
      <c r="A22" s="35" t="s">
        <v>253</v>
      </c>
      <c r="B22" s="37" t="s">
        <v>556</v>
      </c>
      <c r="C22" s="37" t="s">
        <v>578</v>
      </c>
      <c r="D22" s="52">
        <v>46387</v>
      </c>
      <c r="E22" s="38" t="s">
        <v>754</v>
      </c>
      <c r="F22" s="36" t="s">
        <v>559</v>
      </c>
      <c r="G22" s="36" t="s">
        <v>585</v>
      </c>
      <c r="H22" s="39">
        <v>2125</v>
      </c>
      <c r="I22" s="40">
        <v>334262.50000000006</v>
      </c>
      <c r="J22" s="39">
        <v>1678</v>
      </c>
      <c r="K22" s="40">
        <v>263949.39999999997</v>
      </c>
      <c r="L22" s="37" t="s">
        <v>578</v>
      </c>
      <c r="M22" s="41">
        <v>157.30000000000001</v>
      </c>
      <c r="N22" s="42">
        <v>62</v>
      </c>
      <c r="O22" s="36">
        <v>2474</v>
      </c>
      <c r="P22" s="41">
        <f t="shared" si="11"/>
        <v>398912.80000000005</v>
      </c>
      <c r="Q22" s="36">
        <v>1852</v>
      </c>
      <c r="R22" s="43">
        <f t="shared" si="12"/>
        <v>622</v>
      </c>
      <c r="S22" s="43">
        <f t="shared" si="13"/>
        <v>26</v>
      </c>
      <c r="T22" s="41">
        <f t="shared" si="14"/>
        <v>4089.8</v>
      </c>
      <c r="U22" s="44">
        <v>2500</v>
      </c>
      <c r="V22" s="45">
        <f t="shared" si="15"/>
        <v>393250</v>
      </c>
      <c r="W22" s="36">
        <v>3209</v>
      </c>
      <c r="X22" s="86">
        <v>504775.7</v>
      </c>
      <c r="Y22" s="199">
        <v>157.29999999999998</v>
      </c>
      <c r="Z22" s="44">
        <v>2452</v>
      </c>
      <c r="AA22" s="41">
        <f t="shared" si="5"/>
        <v>385699.6</v>
      </c>
      <c r="AB22" s="44">
        <v>100</v>
      </c>
      <c r="AC22" s="44">
        <f t="shared" si="16"/>
        <v>2100</v>
      </c>
      <c r="AD22" s="44">
        <f t="shared" si="7"/>
        <v>4552</v>
      </c>
      <c r="AE22" s="111">
        <f t="shared" si="8"/>
        <v>716029.6</v>
      </c>
      <c r="AF22" s="51" t="s">
        <v>578</v>
      </c>
      <c r="AG22" s="115"/>
      <c r="AH22" s="35">
        <v>1000</v>
      </c>
      <c r="AI22" s="36">
        <v>0</v>
      </c>
      <c r="AJ22" s="36">
        <v>1000</v>
      </c>
      <c r="AK22" s="36"/>
      <c r="AL22" s="36">
        <v>0</v>
      </c>
      <c r="AM22" s="36">
        <v>0</v>
      </c>
      <c r="AN22" s="46">
        <v>0</v>
      </c>
      <c r="AO22" s="100">
        <f t="shared" si="9"/>
        <v>2000</v>
      </c>
      <c r="AP22" s="3">
        <f t="shared" si="10"/>
        <v>330329.99999999994</v>
      </c>
    </row>
    <row r="23" spans="1:42" x14ac:dyDescent="0.2">
      <c r="A23" s="49" t="s">
        <v>887</v>
      </c>
      <c r="B23" s="37" t="s">
        <v>556</v>
      </c>
      <c r="C23" s="37" t="s">
        <v>571</v>
      </c>
      <c r="D23" s="52"/>
      <c r="E23" s="38" t="s">
        <v>754</v>
      </c>
      <c r="F23" s="36" t="s">
        <v>557</v>
      </c>
      <c r="G23" s="36" t="s">
        <v>649</v>
      </c>
      <c r="H23" s="39"/>
      <c r="I23" s="40"/>
      <c r="J23" s="39"/>
      <c r="K23" s="40"/>
      <c r="L23" s="51"/>
      <c r="M23" s="41">
        <v>150.24</v>
      </c>
      <c r="N23" s="41"/>
      <c r="O23" s="36"/>
      <c r="P23" s="41"/>
      <c r="Q23" s="36"/>
      <c r="R23" s="43"/>
      <c r="S23" s="43"/>
      <c r="T23" s="41"/>
      <c r="U23" s="44"/>
      <c r="V23" s="45"/>
      <c r="W23" s="36">
        <v>168</v>
      </c>
      <c r="X23" s="86">
        <v>25240.32</v>
      </c>
      <c r="Y23" s="199">
        <v>195.34</v>
      </c>
      <c r="Z23" s="44">
        <v>142</v>
      </c>
      <c r="AA23" s="41">
        <f t="shared" si="5"/>
        <v>27738.28</v>
      </c>
      <c r="AB23" s="44">
        <v>0</v>
      </c>
      <c r="AC23" s="44">
        <f t="shared" si="16"/>
        <v>3250</v>
      </c>
      <c r="AD23" s="44">
        <f t="shared" si="7"/>
        <v>3392</v>
      </c>
      <c r="AE23" s="111">
        <f t="shared" si="8"/>
        <v>662593.28000000003</v>
      </c>
      <c r="AF23" s="51" t="s">
        <v>571</v>
      </c>
      <c r="AG23" s="115"/>
      <c r="AH23" s="35">
        <v>3250</v>
      </c>
      <c r="AI23" s="36">
        <v>0</v>
      </c>
      <c r="AJ23" s="36">
        <v>0</v>
      </c>
      <c r="AK23" s="36"/>
      <c r="AL23" s="36">
        <v>0</v>
      </c>
      <c r="AM23" s="36">
        <v>0</v>
      </c>
      <c r="AN23" s="46">
        <v>0</v>
      </c>
      <c r="AO23" s="100">
        <f t="shared" si="9"/>
        <v>3250</v>
      </c>
      <c r="AP23" s="3">
        <f t="shared" si="10"/>
        <v>634855</v>
      </c>
    </row>
    <row r="24" spans="1:42" x14ac:dyDescent="0.2">
      <c r="A24" s="35" t="s">
        <v>56</v>
      </c>
      <c r="B24" s="37" t="s">
        <v>556</v>
      </c>
      <c r="C24" s="37" t="s">
        <v>578</v>
      </c>
      <c r="D24" s="52">
        <v>46387</v>
      </c>
      <c r="E24" s="38" t="s">
        <v>754</v>
      </c>
      <c r="F24" s="36" t="s">
        <v>559</v>
      </c>
      <c r="G24" s="36" t="s">
        <v>585</v>
      </c>
      <c r="H24" s="39">
        <v>4274</v>
      </c>
      <c r="I24" s="40">
        <v>502458.18000000005</v>
      </c>
      <c r="J24" s="39">
        <v>4313</v>
      </c>
      <c r="K24" s="40">
        <v>552279.65</v>
      </c>
      <c r="L24" s="37" t="s">
        <v>578</v>
      </c>
      <c r="M24" s="41">
        <v>128.04999999999998</v>
      </c>
      <c r="N24" s="42">
        <v>466</v>
      </c>
      <c r="O24" s="36">
        <v>4383</v>
      </c>
      <c r="P24" s="41">
        <f t="shared" ref="P24:P41" si="17">(N24+O24)*M24</f>
        <v>620914.44999999995</v>
      </c>
      <c r="Q24" s="36">
        <v>4000</v>
      </c>
      <c r="R24" s="43">
        <f t="shared" ref="R24:R41" si="18">O24-Q24</f>
        <v>383</v>
      </c>
      <c r="S24" s="43">
        <f t="shared" ref="S24:S41" si="19">U24-O24</f>
        <v>1917</v>
      </c>
      <c r="T24" s="41">
        <f t="shared" ref="T24:T41" si="20">S24*M24</f>
        <v>245471.84999999998</v>
      </c>
      <c r="U24" s="44">
        <f>6000+300</f>
        <v>6300</v>
      </c>
      <c r="V24" s="45">
        <f t="shared" ref="V24:V41" si="21">U24*M24</f>
        <v>806714.99999999988</v>
      </c>
      <c r="W24" s="36">
        <v>5657</v>
      </c>
      <c r="X24" s="86">
        <v>724378.85</v>
      </c>
      <c r="Y24" s="199">
        <v>128.04999999999998</v>
      </c>
      <c r="Z24" s="44">
        <v>3328</v>
      </c>
      <c r="AA24" s="41">
        <f t="shared" si="5"/>
        <v>426150.39999999997</v>
      </c>
      <c r="AB24" s="44">
        <v>300</v>
      </c>
      <c r="AC24" s="44">
        <f t="shared" si="16"/>
        <v>2250</v>
      </c>
      <c r="AD24" s="44">
        <f t="shared" si="7"/>
        <v>5578</v>
      </c>
      <c r="AE24" s="111">
        <f t="shared" si="8"/>
        <v>714262.89999999991</v>
      </c>
      <c r="AF24" s="51" t="s">
        <v>578</v>
      </c>
      <c r="AG24" s="115"/>
      <c r="AH24" s="35">
        <v>1750</v>
      </c>
      <c r="AI24" s="36">
        <v>0</v>
      </c>
      <c r="AJ24" s="36">
        <v>200</v>
      </c>
      <c r="AK24" s="36"/>
      <c r="AL24" s="36">
        <v>0</v>
      </c>
      <c r="AM24" s="36">
        <v>0</v>
      </c>
      <c r="AN24" s="46">
        <v>0</v>
      </c>
      <c r="AO24" s="100">
        <f t="shared" si="9"/>
        <v>1950</v>
      </c>
      <c r="AP24" s="3">
        <f t="shared" si="10"/>
        <v>288112.49999999994</v>
      </c>
    </row>
    <row r="25" spans="1:42" x14ac:dyDescent="0.2">
      <c r="A25" s="35" t="s">
        <v>252</v>
      </c>
      <c r="B25" s="37" t="s">
        <v>556</v>
      </c>
      <c r="C25" s="37" t="s">
        <v>578</v>
      </c>
      <c r="D25" s="52">
        <v>46387</v>
      </c>
      <c r="E25" s="38" t="s">
        <v>754</v>
      </c>
      <c r="F25" s="36" t="s">
        <v>559</v>
      </c>
      <c r="G25" s="36" t="s">
        <v>585</v>
      </c>
      <c r="H25" s="39">
        <v>2121</v>
      </c>
      <c r="I25" s="40">
        <v>333633.3</v>
      </c>
      <c r="J25" s="39">
        <v>1521</v>
      </c>
      <c r="K25" s="40">
        <v>239253.30000000002</v>
      </c>
      <c r="L25" s="37" t="s">
        <v>578</v>
      </c>
      <c r="M25" s="41">
        <v>157.29999999999995</v>
      </c>
      <c r="N25" s="42">
        <v>0</v>
      </c>
      <c r="O25" s="36">
        <v>2546</v>
      </c>
      <c r="P25" s="41">
        <f t="shared" si="17"/>
        <v>400485.79999999987</v>
      </c>
      <c r="Q25" s="36">
        <v>1885</v>
      </c>
      <c r="R25" s="43">
        <f t="shared" si="18"/>
        <v>661</v>
      </c>
      <c r="S25" s="43">
        <f t="shared" si="19"/>
        <v>0</v>
      </c>
      <c r="T25" s="41">
        <f t="shared" si="20"/>
        <v>0</v>
      </c>
      <c r="U25" s="44">
        <f>O25</f>
        <v>2546</v>
      </c>
      <c r="V25" s="45">
        <f t="shared" si="21"/>
        <v>400485.79999999987</v>
      </c>
      <c r="W25" s="36">
        <v>3590</v>
      </c>
      <c r="X25" s="86">
        <v>564706.99999999988</v>
      </c>
      <c r="Y25" s="199">
        <v>157.29999999999998</v>
      </c>
      <c r="Z25" s="44">
        <v>1916</v>
      </c>
      <c r="AA25" s="41">
        <f t="shared" si="5"/>
        <v>301386.8</v>
      </c>
      <c r="AB25" s="44">
        <v>100</v>
      </c>
      <c r="AC25" s="44">
        <f t="shared" si="16"/>
        <v>2600</v>
      </c>
      <c r="AD25" s="44">
        <f t="shared" si="7"/>
        <v>4516</v>
      </c>
      <c r="AE25" s="111">
        <f t="shared" si="8"/>
        <v>710366.79999999993</v>
      </c>
      <c r="AF25" s="51" t="s">
        <v>578</v>
      </c>
      <c r="AG25" s="115"/>
      <c r="AH25" s="35">
        <v>1500</v>
      </c>
      <c r="AI25" s="36">
        <v>0</v>
      </c>
      <c r="AJ25" s="36">
        <v>1000</v>
      </c>
      <c r="AK25" s="36"/>
      <c r="AL25" s="36">
        <v>0</v>
      </c>
      <c r="AM25" s="36">
        <v>0</v>
      </c>
      <c r="AN25" s="46">
        <v>0</v>
      </c>
      <c r="AO25" s="100">
        <f t="shared" si="9"/>
        <v>2500</v>
      </c>
      <c r="AP25" s="3">
        <f t="shared" si="10"/>
        <v>408979.99999999994</v>
      </c>
    </row>
    <row r="26" spans="1:42" x14ac:dyDescent="0.2">
      <c r="A26" s="35" t="s">
        <v>322</v>
      </c>
      <c r="B26" s="37" t="s">
        <v>556</v>
      </c>
      <c r="C26" s="37" t="s">
        <v>578</v>
      </c>
      <c r="D26" s="52">
        <v>46387</v>
      </c>
      <c r="E26" s="38" t="s">
        <v>754</v>
      </c>
      <c r="F26" s="36" t="s">
        <v>557</v>
      </c>
      <c r="G26" s="36" t="s">
        <v>610</v>
      </c>
      <c r="H26" s="39">
        <v>550</v>
      </c>
      <c r="I26" s="40">
        <v>85470.000000000015</v>
      </c>
      <c r="J26" s="39">
        <v>930</v>
      </c>
      <c r="K26" s="40">
        <v>144521.99999999997</v>
      </c>
      <c r="L26" s="37" t="s">
        <v>578</v>
      </c>
      <c r="M26" s="41">
        <v>155.4</v>
      </c>
      <c r="N26" s="42">
        <v>0</v>
      </c>
      <c r="O26" s="36">
        <v>210</v>
      </c>
      <c r="P26" s="41">
        <f t="shared" si="17"/>
        <v>32634</v>
      </c>
      <c r="Q26" s="36">
        <v>2240</v>
      </c>
      <c r="R26" s="43">
        <f t="shared" si="18"/>
        <v>-2030</v>
      </c>
      <c r="S26" s="43">
        <f t="shared" si="19"/>
        <v>190</v>
      </c>
      <c r="T26" s="41">
        <f t="shared" si="20"/>
        <v>29526</v>
      </c>
      <c r="U26" s="44">
        <v>400</v>
      </c>
      <c r="V26" s="45">
        <f t="shared" si="21"/>
        <v>62160</v>
      </c>
      <c r="W26" s="36">
        <v>165</v>
      </c>
      <c r="X26" s="86">
        <v>25641</v>
      </c>
      <c r="Y26" s="199">
        <v>199.94</v>
      </c>
      <c r="Z26" s="44">
        <v>588</v>
      </c>
      <c r="AA26" s="41">
        <f t="shared" si="5"/>
        <v>117564.72</v>
      </c>
      <c r="AB26" s="44">
        <v>1992</v>
      </c>
      <c r="AC26" s="44">
        <f t="shared" si="16"/>
        <v>2992</v>
      </c>
      <c r="AD26" s="44">
        <f t="shared" si="7"/>
        <v>3580</v>
      </c>
      <c r="AE26" s="111">
        <f t="shared" si="8"/>
        <v>715785.2</v>
      </c>
      <c r="AF26" s="51" t="s">
        <v>578</v>
      </c>
      <c r="AG26" s="115" t="s">
        <v>1035</v>
      </c>
      <c r="AH26" s="35">
        <v>1000</v>
      </c>
      <c r="AI26" s="36">
        <v>0</v>
      </c>
      <c r="AJ26" s="36">
        <v>0</v>
      </c>
      <c r="AK26" s="36"/>
      <c r="AL26" s="36">
        <v>0</v>
      </c>
      <c r="AM26" s="36">
        <v>0</v>
      </c>
      <c r="AN26" s="46">
        <v>0</v>
      </c>
      <c r="AO26" s="100">
        <f t="shared" si="9"/>
        <v>1000</v>
      </c>
      <c r="AP26" s="3">
        <f t="shared" si="10"/>
        <v>598220.48</v>
      </c>
    </row>
    <row r="27" spans="1:42" x14ac:dyDescent="0.2">
      <c r="A27" s="35" t="s">
        <v>359</v>
      </c>
      <c r="B27" s="37" t="s">
        <v>556</v>
      </c>
      <c r="C27" s="37" t="s">
        <v>571</v>
      </c>
      <c r="D27" s="52"/>
      <c r="E27" s="38" t="s">
        <v>753</v>
      </c>
      <c r="F27" s="36" t="s">
        <v>557</v>
      </c>
      <c r="G27" s="36" t="s">
        <v>581</v>
      </c>
      <c r="H27" s="39">
        <v>74</v>
      </c>
      <c r="I27" s="40">
        <v>77922.020000000048</v>
      </c>
      <c r="J27" s="39">
        <v>111</v>
      </c>
      <c r="K27" s="40">
        <v>115254.63000000002</v>
      </c>
      <c r="L27" s="37" t="s">
        <v>578</v>
      </c>
      <c r="M27" s="41">
        <v>1038.33</v>
      </c>
      <c r="N27" s="42">
        <v>11</v>
      </c>
      <c r="O27" s="36">
        <v>379</v>
      </c>
      <c r="P27" s="41">
        <f t="shared" si="17"/>
        <v>404948.69999999995</v>
      </c>
      <c r="Q27" s="36">
        <v>355</v>
      </c>
      <c r="R27" s="43">
        <f t="shared" si="18"/>
        <v>24</v>
      </c>
      <c r="S27" s="43">
        <f t="shared" si="19"/>
        <v>0</v>
      </c>
      <c r="T27" s="41">
        <f t="shared" si="20"/>
        <v>0</v>
      </c>
      <c r="U27" s="44">
        <f>O27</f>
        <v>379</v>
      </c>
      <c r="V27" s="45">
        <f t="shared" si="21"/>
        <v>393527.06999999995</v>
      </c>
      <c r="W27" s="36">
        <v>259</v>
      </c>
      <c r="X27" s="86">
        <v>268927.46999999997</v>
      </c>
      <c r="Y27" s="199">
        <v>1038.33</v>
      </c>
      <c r="Z27" s="44">
        <v>649</v>
      </c>
      <c r="AA27" s="41">
        <f t="shared" si="5"/>
        <v>673876.16999999993</v>
      </c>
      <c r="AB27" s="44">
        <v>0</v>
      </c>
      <c r="AC27" s="44">
        <f t="shared" si="16"/>
        <v>30</v>
      </c>
      <c r="AD27" s="44">
        <f t="shared" si="7"/>
        <v>679</v>
      </c>
      <c r="AE27" s="111">
        <f t="shared" si="8"/>
        <v>705026.07</v>
      </c>
      <c r="AF27" s="51" t="s">
        <v>578</v>
      </c>
      <c r="AG27" s="115"/>
      <c r="AH27" s="35">
        <v>30</v>
      </c>
      <c r="AI27" s="36">
        <v>0</v>
      </c>
      <c r="AJ27" s="36">
        <v>0</v>
      </c>
      <c r="AK27" s="36"/>
      <c r="AL27" s="36">
        <v>0</v>
      </c>
      <c r="AM27" s="36">
        <v>0</v>
      </c>
      <c r="AN27" s="46">
        <v>0</v>
      </c>
      <c r="AO27" s="100">
        <f t="shared" si="9"/>
        <v>30</v>
      </c>
      <c r="AP27" s="3">
        <f t="shared" si="10"/>
        <v>31149.899999999998</v>
      </c>
    </row>
    <row r="28" spans="1:42" x14ac:dyDescent="0.2">
      <c r="A28" s="35" t="s">
        <v>717</v>
      </c>
      <c r="B28" s="156" t="s">
        <v>556</v>
      </c>
      <c r="C28" s="37" t="s">
        <v>571</v>
      </c>
      <c r="D28" s="52"/>
      <c r="E28" s="38" t="s">
        <v>817</v>
      </c>
      <c r="F28" s="36" t="s">
        <v>559</v>
      </c>
      <c r="G28" s="36" t="s">
        <v>745</v>
      </c>
      <c r="H28" s="39">
        <v>0</v>
      </c>
      <c r="I28" s="40">
        <v>0</v>
      </c>
      <c r="J28" s="39">
        <v>0</v>
      </c>
      <c r="K28" s="40">
        <v>0</v>
      </c>
      <c r="L28" s="37" t="s">
        <v>571</v>
      </c>
      <c r="M28" s="47">
        <v>400</v>
      </c>
      <c r="N28" s="48">
        <v>0</v>
      </c>
      <c r="O28" s="36">
        <v>500</v>
      </c>
      <c r="P28" s="47">
        <f t="shared" si="17"/>
        <v>200000</v>
      </c>
      <c r="Q28" s="36">
        <v>0</v>
      </c>
      <c r="R28" s="43">
        <f t="shared" si="18"/>
        <v>500</v>
      </c>
      <c r="S28" s="43">
        <f t="shared" si="19"/>
        <v>0</v>
      </c>
      <c r="T28" s="47">
        <f t="shared" si="20"/>
        <v>0</v>
      </c>
      <c r="U28" s="44">
        <f>O28</f>
        <v>500</v>
      </c>
      <c r="V28" s="45">
        <f t="shared" si="21"/>
        <v>200000</v>
      </c>
      <c r="W28" s="36">
        <v>500</v>
      </c>
      <c r="X28" s="86">
        <v>200000</v>
      </c>
      <c r="Y28" s="199">
        <v>386</v>
      </c>
      <c r="Z28" s="44">
        <v>1750</v>
      </c>
      <c r="AA28" s="41">
        <f t="shared" si="5"/>
        <v>675500</v>
      </c>
      <c r="AB28" s="44">
        <v>0</v>
      </c>
      <c r="AC28" s="44">
        <f t="shared" si="16"/>
        <v>0</v>
      </c>
      <c r="AD28" s="44">
        <f t="shared" si="7"/>
        <v>1750</v>
      </c>
      <c r="AE28" s="111">
        <f t="shared" si="8"/>
        <v>675500</v>
      </c>
      <c r="AF28" s="51" t="s">
        <v>571</v>
      </c>
      <c r="AG28" s="115"/>
      <c r="AH28" s="35">
        <v>0</v>
      </c>
      <c r="AI28" s="36">
        <v>0</v>
      </c>
      <c r="AJ28" s="36">
        <v>0</v>
      </c>
      <c r="AK28" s="36"/>
      <c r="AL28" s="36">
        <v>0</v>
      </c>
      <c r="AM28" s="36">
        <v>0</v>
      </c>
      <c r="AN28" s="46">
        <v>0</v>
      </c>
      <c r="AO28" s="100">
        <f t="shared" si="9"/>
        <v>0</v>
      </c>
      <c r="AP28" s="3">
        <f t="shared" si="10"/>
        <v>0</v>
      </c>
    </row>
    <row r="29" spans="1:42" x14ac:dyDescent="0.2">
      <c r="A29" s="35" t="s">
        <v>279</v>
      </c>
      <c r="B29" s="37" t="s">
        <v>556</v>
      </c>
      <c r="C29" s="37" t="s">
        <v>571</v>
      </c>
      <c r="D29" s="52"/>
      <c r="E29" s="38" t="s">
        <v>763</v>
      </c>
      <c r="F29" s="36" t="s">
        <v>560</v>
      </c>
      <c r="G29" s="36" t="s">
        <v>612</v>
      </c>
      <c r="H29" s="39">
        <v>6</v>
      </c>
      <c r="I29" s="40">
        <v>7000.5</v>
      </c>
      <c r="J29" s="39">
        <v>284</v>
      </c>
      <c r="K29" s="40">
        <v>316571.96000000002</v>
      </c>
      <c r="L29" s="37" t="s">
        <v>578</v>
      </c>
      <c r="M29" s="41">
        <v>1114.69</v>
      </c>
      <c r="N29" s="42">
        <v>0</v>
      </c>
      <c r="O29" s="36">
        <v>216</v>
      </c>
      <c r="P29" s="41">
        <f t="shared" si="17"/>
        <v>240773.04</v>
      </c>
      <c r="Q29" s="36">
        <v>301</v>
      </c>
      <c r="R29" s="43">
        <f t="shared" si="18"/>
        <v>-85</v>
      </c>
      <c r="S29" s="43">
        <f t="shared" si="19"/>
        <v>55</v>
      </c>
      <c r="T29" s="41">
        <f t="shared" si="20"/>
        <v>61307.950000000004</v>
      </c>
      <c r="U29" s="44">
        <f>220+51</f>
        <v>271</v>
      </c>
      <c r="V29" s="45">
        <f t="shared" si="21"/>
        <v>302080.99</v>
      </c>
      <c r="W29" s="36">
        <v>216</v>
      </c>
      <c r="X29" s="86">
        <v>240773.04</v>
      </c>
      <c r="Y29" s="199">
        <v>1114.69</v>
      </c>
      <c r="Z29" s="44">
        <v>0</v>
      </c>
      <c r="AA29" s="41">
        <f t="shared" si="5"/>
        <v>0</v>
      </c>
      <c r="AB29" s="44">
        <v>0</v>
      </c>
      <c r="AC29" s="44">
        <f t="shared" si="16"/>
        <v>590</v>
      </c>
      <c r="AD29" s="44">
        <f t="shared" si="7"/>
        <v>590</v>
      </c>
      <c r="AE29" s="111">
        <f t="shared" si="8"/>
        <v>657667.1</v>
      </c>
      <c r="AF29" s="51" t="s">
        <v>578</v>
      </c>
      <c r="AG29" s="115"/>
      <c r="AH29" s="35">
        <v>0</v>
      </c>
      <c r="AI29" s="36">
        <v>0</v>
      </c>
      <c r="AJ29" s="36">
        <v>590</v>
      </c>
      <c r="AK29" s="36"/>
      <c r="AL29" s="36">
        <v>0</v>
      </c>
      <c r="AM29" s="36">
        <v>0</v>
      </c>
      <c r="AN29" s="46">
        <v>0</v>
      </c>
      <c r="AO29" s="100">
        <f t="shared" si="9"/>
        <v>590</v>
      </c>
      <c r="AP29" s="3">
        <f t="shared" si="10"/>
        <v>657667.1</v>
      </c>
    </row>
    <row r="30" spans="1:42" x14ac:dyDescent="0.2">
      <c r="A30" s="35" t="s">
        <v>34</v>
      </c>
      <c r="B30" s="37" t="s">
        <v>556</v>
      </c>
      <c r="C30" s="37" t="s">
        <v>571</v>
      </c>
      <c r="D30" s="52"/>
      <c r="E30" s="38" t="s">
        <v>759</v>
      </c>
      <c r="F30" s="36" t="s">
        <v>561</v>
      </c>
      <c r="G30" s="36" t="s">
        <v>589</v>
      </c>
      <c r="H30" s="39">
        <v>600</v>
      </c>
      <c r="I30" s="40">
        <v>67980</v>
      </c>
      <c r="J30" s="39">
        <v>1725</v>
      </c>
      <c r="K30" s="40">
        <v>206468.22000000003</v>
      </c>
      <c r="L30" s="37" t="s">
        <v>578</v>
      </c>
      <c r="M30" s="47">
        <v>143.97825438100622</v>
      </c>
      <c r="N30" s="48">
        <v>0</v>
      </c>
      <c r="O30" s="36">
        <v>6087</v>
      </c>
      <c r="P30" s="47">
        <f t="shared" si="17"/>
        <v>876395.63441718486</v>
      </c>
      <c r="Q30" s="36">
        <v>3543</v>
      </c>
      <c r="R30" s="43">
        <f t="shared" si="18"/>
        <v>2544</v>
      </c>
      <c r="S30" s="43">
        <f t="shared" si="19"/>
        <v>0</v>
      </c>
      <c r="T30" s="47">
        <f t="shared" si="20"/>
        <v>0</v>
      </c>
      <c r="U30" s="44">
        <f>O30</f>
        <v>6087</v>
      </c>
      <c r="V30" s="45">
        <f t="shared" si="21"/>
        <v>876395.63441718486</v>
      </c>
      <c r="W30" s="36">
        <v>8845</v>
      </c>
      <c r="X30" s="86">
        <v>1273487.6600000001</v>
      </c>
      <c r="Y30" s="199">
        <v>135.53</v>
      </c>
      <c r="Z30" s="44">
        <v>3294</v>
      </c>
      <c r="AA30" s="41">
        <f t="shared" si="5"/>
        <v>446435.82</v>
      </c>
      <c r="AB30" s="44">
        <v>0</v>
      </c>
      <c r="AC30" s="44">
        <f t="shared" si="16"/>
        <v>1548</v>
      </c>
      <c r="AD30" s="44">
        <f t="shared" si="7"/>
        <v>4842</v>
      </c>
      <c r="AE30" s="111">
        <f t="shared" si="8"/>
        <v>656236.26</v>
      </c>
      <c r="AF30" s="51" t="s">
        <v>578</v>
      </c>
      <c r="AG30" s="115" t="s">
        <v>720</v>
      </c>
      <c r="AH30" s="35">
        <v>0</v>
      </c>
      <c r="AI30" s="36">
        <v>0</v>
      </c>
      <c r="AJ30" s="36">
        <v>0</v>
      </c>
      <c r="AK30" s="36"/>
      <c r="AL30" s="36">
        <v>0</v>
      </c>
      <c r="AM30" s="36">
        <v>0</v>
      </c>
      <c r="AN30" s="46">
        <v>1548</v>
      </c>
      <c r="AO30" s="100">
        <f t="shared" si="9"/>
        <v>1548</v>
      </c>
      <c r="AP30" s="3">
        <f t="shared" si="10"/>
        <v>209800.44</v>
      </c>
    </row>
    <row r="31" spans="1:42" x14ac:dyDescent="0.2">
      <c r="A31" s="35" t="s">
        <v>702</v>
      </c>
      <c r="B31" s="156" t="s">
        <v>556</v>
      </c>
      <c r="C31" s="37" t="s">
        <v>571</v>
      </c>
      <c r="D31" s="52"/>
      <c r="E31" s="38" t="s">
        <v>758</v>
      </c>
      <c r="F31" s="36" t="s">
        <v>555</v>
      </c>
      <c r="G31" s="36" t="s">
        <v>600</v>
      </c>
      <c r="H31" s="39">
        <v>0</v>
      </c>
      <c r="I31" s="40">
        <v>0</v>
      </c>
      <c r="J31" s="39">
        <v>0</v>
      </c>
      <c r="K31" s="40">
        <v>0</v>
      </c>
      <c r="L31" s="37" t="s">
        <v>571</v>
      </c>
      <c r="M31" s="41">
        <v>1215</v>
      </c>
      <c r="N31" s="42">
        <v>0</v>
      </c>
      <c r="O31" s="36">
        <v>200</v>
      </c>
      <c r="P31" s="41">
        <f t="shared" si="17"/>
        <v>243000</v>
      </c>
      <c r="Q31" s="36">
        <v>0</v>
      </c>
      <c r="R31" s="43">
        <f t="shared" si="18"/>
        <v>200</v>
      </c>
      <c r="S31" s="43">
        <f t="shared" si="19"/>
        <v>0</v>
      </c>
      <c r="T31" s="41">
        <f t="shared" si="20"/>
        <v>0</v>
      </c>
      <c r="U31" s="44">
        <f>O31</f>
        <v>200</v>
      </c>
      <c r="V31" s="45">
        <f t="shared" si="21"/>
        <v>243000</v>
      </c>
      <c r="W31" s="36">
        <v>400</v>
      </c>
      <c r="X31" s="86">
        <v>486000</v>
      </c>
      <c r="Y31" s="199">
        <v>1365</v>
      </c>
      <c r="Z31" s="44">
        <v>480</v>
      </c>
      <c r="AA31" s="41">
        <f t="shared" si="5"/>
        <v>655200</v>
      </c>
      <c r="AB31" s="44">
        <v>0</v>
      </c>
      <c r="AC31" s="44">
        <f t="shared" si="16"/>
        <v>0</v>
      </c>
      <c r="AD31" s="44">
        <f t="shared" si="7"/>
        <v>480</v>
      </c>
      <c r="AE31" s="111">
        <f t="shared" si="8"/>
        <v>655200</v>
      </c>
      <c r="AF31" s="51" t="s">
        <v>571</v>
      </c>
      <c r="AG31" s="115"/>
      <c r="AH31" s="35">
        <v>0</v>
      </c>
      <c r="AI31" s="36">
        <v>0</v>
      </c>
      <c r="AJ31" s="36">
        <v>0</v>
      </c>
      <c r="AK31" s="36"/>
      <c r="AL31" s="36">
        <v>0</v>
      </c>
      <c r="AM31" s="36">
        <v>0</v>
      </c>
      <c r="AN31" s="46">
        <v>0</v>
      </c>
      <c r="AO31" s="100">
        <f t="shared" si="9"/>
        <v>0</v>
      </c>
      <c r="AP31" s="3">
        <f t="shared" si="10"/>
        <v>0</v>
      </c>
    </row>
    <row r="32" spans="1:42" x14ac:dyDescent="0.2">
      <c r="A32" s="35" t="s">
        <v>130</v>
      </c>
      <c r="B32" s="37" t="s">
        <v>556</v>
      </c>
      <c r="C32" s="37" t="s">
        <v>578</v>
      </c>
      <c r="D32" s="52">
        <v>46022</v>
      </c>
      <c r="E32" s="38" t="s">
        <v>753</v>
      </c>
      <c r="F32" s="36" t="s">
        <v>559</v>
      </c>
      <c r="G32" s="36" t="s">
        <v>596</v>
      </c>
      <c r="H32" s="39">
        <v>4432</v>
      </c>
      <c r="I32" s="40">
        <v>348531.01999999996</v>
      </c>
      <c r="J32" s="39">
        <v>2772</v>
      </c>
      <c r="K32" s="40">
        <v>215412.12</v>
      </c>
      <c r="L32" s="37" t="s">
        <v>578</v>
      </c>
      <c r="M32" s="41">
        <v>94.426852653154185</v>
      </c>
      <c r="N32" s="42">
        <v>159</v>
      </c>
      <c r="O32" s="36">
        <v>6049</v>
      </c>
      <c r="P32" s="41">
        <f t="shared" si="17"/>
        <v>586201.90127078118</v>
      </c>
      <c r="Q32" s="36">
        <v>220</v>
      </c>
      <c r="R32" s="43">
        <f t="shared" si="18"/>
        <v>5829</v>
      </c>
      <c r="S32" s="43">
        <f t="shared" si="19"/>
        <v>0</v>
      </c>
      <c r="T32" s="41">
        <f t="shared" si="20"/>
        <v>0</v>
      </c>
      <c r="U32" s="44">
        <f>O32</f>
        <v>6049</v>
      </c>
      <c r="V32" s="45">
        <f t="shared" si="21"/>
        <v>571188.03169892961</v>
      </c>
      <c r="W32" s="36">
        <v>8782</v>
      </c>
      <c r="X32" s="86">
        <v>829256.62</v>
      </c>
      <c r="Y32" s="199">
        <v>92.350000000000023</v>
      </c>
      <c r="Z32" s="44">
        <v>3546</v>
      </c>
      <c r="AA32" s="41">
        <f t="shared" si="5"/>
        <v>327473.10000000009</v>
      </c>
      <c r="AB32" s="44">
        <v>0</v>
      </c>
      <c r="AC32" s="44">
        <f t="shared" si="16"/>
        <v>3410</v>
      </c>
      <c r="AD32" s="44">
        <f t="shared" si="7"/>
        <v>6956</v>
      </c>
      <c r="AE32" s="111">
        <f t="shared" si="8"/>
        <v>642386.60000000021</v>
      </c>
      <c r="AF32" s="51" t="s">
        <v>578</v>
      </c>
      <c r="AG32" s="115"/>
      <c r="AH32" s="35">
        <v>1010</v>
      </c>
      <c r="AI32" s="36">
        <v>0</v>
      </c>
      <c r="AJ32" s="36">
        <v>2400</v>
      </c>
      <c r="AK32" s="36"/>
      <c r="AL32" s="36">
        <v>0</v>
      </c>
      <c r="AM32" s="36">
        <v>0</v>
      </c>
      <c r="AN32" s="46">
        <v>0</v>
      </c>
      <c r="AO32" s="100">
        <f t="shared" si="9"/>
        <v>3410</v>
      </c>
      <c r="AP32" s="3">
        <f t="shared" si="10"/>
        <v>314913.50000000006</v>
      </c>
    </row>
    <row r="33" spans="1:42" x14ac:dyDescent="0.2">
      <c r="A33" s="35" t="s">
        <v>479</v>
      </c>
      <c r="B33" s="37" t="s">
        <v>562</v>
      </c>
      <c r="C33" s="37" t="s">
        <v>571</v>
      </c>
      <c r="D33" s="52"/>
      <c r="E33" s="38" t="s">
        <v>789</v>
      </c>
      <c r="F33" s="36" t="s">
        <v>560</v>
      </c>
      <c r="G33" s="36" t="s">
        <v>622</v>
      </c>
      <c r="H33" s="39">
        <v>38</v>
      </c>
      <c r="I33" s="40">
        <v>92053.48</v>
      </c>
      <c r="J33" s="39">
        <v>25</v>
      </c>
      <c r="K33" s="40">
        <v>69488</v>
      </c>
      <c r="L33" s="37" t="s">
        <v>571</v>
      </c>
      <c r="M33" s="41">
        <v>2959.5636363636363</v>
      </c>
      <c r="N33" s="42">
        <v>0</v>
      </c>
      <c r="O33" s="36">
        <v>0</v>
      </c>
      <c r="P33" s="41">
        <f t="shared" si="17"/>
        <v>0</v>
      </c>
      <c r="Q33" s="36">
        <v>50</v>
      </c>
      <c r="R33" s="43">
        <f t="shared" si="18"/>
        <v>-50</v>
      </c>
      <c r="S33" s="43">
        <f t="shared" si="19"/>
        <v>25</v>
      </c>
      <c r="T33" s="41">
        <f t="shared" si="20"/>
        <v>73989.090909090912</v>
      </c>
      <c r="U33" s="44">
        <v>25</v>
      </c>
      <c r="V33" s="45">
        <f t="shared" si="21"/>
        <v>73989.090909090912</v>
      </c>
      <c r="W33" s="36">
        <v>33</v>
      </c>
      <c r="X33" s="86">
        <v>97665.599999999991</v>
      </c>
      <c r="Y33" s="199">
        <v>3645</v>
      </c>
      <c r="Z33" s="44">
        <v>175</v>
      </c>
      <c r="AA33" s="41">
        <f t="shared" si="5"/>
        <v>637875</v>
      </c>
      <c r="AB33" s="44">
        <v>0</v>
      </c>
      <c r="AC33" s="44">
        <f t="shared" si="16"/>
        <v>0</v>
      </c>
      <c r="AD33" s="44">
        <f t="shared" si="7"/>
        <v>175</v>
      </c>
      <c r="AE33" s="111">
        <f t="shared" si="8"/>
        <v>637875</v>
      </c>
      <c r="AF33" s="51" t="s">
        <v>571</v>
      </c>
      <c r="AG33" s="115" t="s">
        <v>1034</v>
      </c>
      <c r="AH33" s="35">
        <v>0</v>
      </c>
      <c r="AI33" s="36">
        <v>0</v>
      </c>
      <c r="AJ33" s="36">
        <v>0</v>
      </c>
      <c r="AK33" s="36"/>
      <c r="AL33" s="36">
        <v>0</v>
      </c>
      <c r="AM33" s="36">
        <v>0</v>
      </c>
      <c r="AN33" s="46">
        <v>0</v>
      </c>
      <c r="AO33" s="100">
        <f t="shared" si="9"/>
        <v>0</v>
      </c>
      <c r="AP33" s="3">
        <f t="shared" si="10"/>
        <v>0</v>
      </c>
    </row>
    <row r="34" spans="1:42" x14ac:dyDescent="0.2">
      <c r="A34" s="35" t="s">
        <v>251</v>
      </c>
      <c r="B34" s="37" t="s">
        <v>556</v>
      </c>
      <c r="C34" s="37" t="s">
        <v>578</v>
      </c>
      <c r="D34" s="52">
        <v>46387</v>
      </c>
      <c r="E34" s="38" t="s">
        <v>754</v>
      </c>
      <c r="F34" s="36" t="s">
        <v>559</v>
      </c>
      <c r="G34" s="36" t="s">
        <v>585</v>
      </c>
      <c r="H34" s="39">
        <v>2112</v>
      </c>
      <c r="I34" s="40">
        <v>332280.95999999985</v>
      </c>
      <c r="J34" s="39">
        <v>1425</v>
      </c>
      <c r="K34" s="40">
        <v>224195.24999999994</v>
      </c>
      <c r="L34" s="37" t="s">
        <v>578</v>
      </c>
      <c r="M34" s="41">
        <v>157.32999999999998</v>
      </c>
      <c r="N34" s="42">
        <v>0</v>
      </c>
      <c r="O34" s="36">
        <v>2586</v>
      </c>
      <c r="P34" s="41">
        <f t="shared" si="17"/>
        <v>406855.37999999995</v>
      </c>
      <c r="Q34" s="36">
        <v>1817</v>
      </c>
      <c r="R34" s="43">
        <f t="shared" si="18"/>
        <v>769</v>
      </c>
      <c r="S34" s="43">
        <f t="shared" si="19"/>
        <v>0</v>
      </c>
      <c r="T34" s="41">
        <f t="shared" si="20"/>
        <v>0</v>
      </c>
      <c r="U34" s="44">
        <f>O34</f>
        <v>2586</v>
      </c>
      <c r="V34" s="45">
        <f t="shared" si="21"/>
        <v>406855.37999999995</v>
      </c>
      <c r="W34" s="36">
        <v>3398</v>
      </c>
      <c r="X34" s="86">
        <v>534607.34</v>
      </c>
      <c r="Y34" s="199">
        <v>157.32999999999998</v>
      </c>
      <c r="Z34" s="44">
        <v>1862</v>
      </c>
      <c r="AA34" s="41">
        <f t="shared" si="5"/>
        <v>292948.45999999996</v>
      </c>
      <c r="AB34" s="44">
        <v>100</v>
      </c>
      <c r="AC34" s="44">
        <f t="shared" si="16"/>
        <v>2147</v>
      </c>
      <c r="AD34" s="44">
        <f t="shared" si="7"/>
        <v>4009</v>
      </c>
      <c r="AE34" s="111">
        <f t="shared" si="8"/>
        <v>630735.97</v>
      </c>
      <c r="AF34" s="51" t="s">
        <v>578</v>
      </c>
      <c r="AG34" s="115"/>
      <c r="AH34" s="35">
        <v>1047</v>
      </c>
      <c r="AI34" s="36">
        <v>0</v>
      </c>
      <c r="AJ34" s="36">
        <v>1000</v>
      </c>
      <c r="AK34" s="36"/>
      <c r="AL34" s="36">
        <v>0</v>
      </c>
      <c r="AM34" s="36">
        <v>0</v>
      </c>
      <c r="AN34" s="46">
        <v>0</v>
      </c>
      <c r="AO34" s="100">
        <f t="shared" si="9"/>
        <v>2047</v>
      </c>
      <c r="AP34" s="3">
        <f t="shared" si="10"/>
        <v>337787.50999999995</v>
      </c>
    </row>
    <row r="35" spans="1:42" x14ac:dyDescent="0.2">
      <c r="A35" s="35" t="s">
        <v>414</v>
      </c>
      <c r="B35" s="37" t="s">
        <v>566</v>
      </c>
      <c r="C35" s="37" t="s">
        <v>571</v>
      </c>
      <c r="D35" s="52"/>
      <c r="E35" s="38" t="s">
        <v>758</v>
      </c>
      <c r="F35" s="36" t="s">
        <v>555</v>
      </c>
      <c r="G35" s="36" t="s">
        <v>615</v>
      </c>
      <c r="H35" s="39">
        <v>2200</v>
      </c>
      <c r="I35" s="40">
        <v>42200</v>
      </c>
      <c r="J35" s="39">
        <v>1239</v>
      </c>
      <c r="K35" s="40">
        <v>25709.25</v>
      </c>
      <c r="L35" s="37" t="s">
        <v>571</v>
      </c>
      <c r="M35" s="41">
        <v>20.75</v>
      </c>
      <c r="N35" s="42">
        <v>0</v>
      </c>
      <c r="O35" s="36">
        <v>8761</v>
      </c>
      <c r="P35" s="41">
        <f t="shared" si="17"/>
        <v>181790.75</v>
      </c>
      <c r="Q35" s="36">
        <v>0</v>
      </c>
      <c r="R35" s="43">
        <f t="shared" si="18"/>
        <v>8761</v>
      </c>
      <c r="S35" s="43">
        <f t="shared" si="19"/>
        <v>0</v>
      </c>
      <c r="T35" s="41">
        <f t="shared" si="20"/>
        <v>0</v>
      </c>
      <c r="U35" s="44">
        <f>O35</f>
        <v>8761</v>
      </c>
      <c r="V35" s="45">
        <f t="shared" si="21"/>
        <v>181790.75</v>
      </c>
      <c r="W35" s="36">
        <v>8761</v>
      </c>
      <c r="X35" s="86">
        <v>181790.75</v>
      </c>
      <c r="Y35" s="199">
        <v>20.75</v>
      </c>
      <c r="Z35" s="44">
        <v>30000</v>
      </c>
      <c r="AA35" s="41">
        <f t="shared" si="5"/>
        <v>622500</v>
      </c>
      <c r="AB35" s="44">
        <v>0</v>
      </c>
      <c r="AC35" s="44">
        <f t="shared" si="16"/>
        <v>0</v>
      </c>
      <c r="AD35" s="44">
        <f t="shared" si="7"/>
        <v>30000</v>
      </c>
      <c r="AE35" s="111">
        <f t="shared" si="8"/>
        <v>622500</v>
      </c>
      <c r="AF35" s="51" t="s">
        <v>571</v>
      </c>
      <c r="AG35" s="115"/>
      <c r="AH35" s="35">
        <v>0</v>
      </c>
      <c r="AI35" s="36">
        <v>0</v>
      </c>
      <c r="AJ35" s="36">
        <v>0</v>
      </c>
      <c r="AK35" s="36"/>
      <c r="AL35" s="36">
        <v>0</v>
      </c>
      <c r="AM35" s="36">
        <v>0</v>
      </c>
      <c r="AN35" s="46">
        <v>0</v>
      </c>
      <c r="AO35" s="100">
        <f t="shared" si="9"/>
        <v>0</v>
      </c>
      <c r="AP35" s="3">
        <f t="shared" si="10"/>
        <v>0</v>
      </c>
    </row>
    <row r="36" spans="1:42" x14ac:dyDescent="0.2">
      <c r="A36" s="35" t="s">
        <v>224</v>
      </c>
      <c r="B36" s="37" t="s">
        <v>554</v>
      </c>
      <c r="C36" s="37" t="s">
        <v>571</v>
      </c>
      <c r="D36" s="52"/>
      <c r="E36" s="38" t="s">
        <v>754</v>
      </c>
      <c r="F36" s="36" t="s">
        <v>559</v>
      </c>
      <c r="G36" s="36" t="s">
        <v>588</v>
      </c>
      <c r="H36" s="39">
        <v>0</v>
      </c>
      <c r="I36" s="40">
        <v>0</v>
      </c>
      <c r="J36" s="39">
        <v>0</v>
      </c>
      <c r="K36" s="40">
        <v>0</v>
      </c>
      <c r="L36" s="37" t="s">
        <v>571</v>
      </c>
      <c r="M36" s="41">
        <v>2987.21</v>
      </c>
      <c r="N36" s="42">
        <v>0</v>
      </c>
      <c r="O36" s="36">
        <v>250</v>
      </c>
      <c r="P36" s="41">
        <f t="shared" si="17"/>
        <v>746802.5</v>
      </c>
      <c r="Q36" s="36">
        <v>0</v>
      </c>
      <c r="R36" s="43">
        <f t="shared" si="18"/>
        <v>250</v>
      </c>
      <c r="S36" s="43">
        <f t="shared" si="19"/>
        <v>0</v>
      </c>
      <c r="T36" s="41">
        <f t="shared" si="20"/>
        <v>0</v>
      </c>
      <c r="U36" s="44">
        <f>O36</f>
        <v>250</v>
      </c>
      <c r="V36" s="45">
        <f t="shared" si="21"/>
        <v>746802.5</v>
      </c>
      <c r="W36" s="36">
        <v>15</v>
      </c>
      <c r="X36" s="86">
        <v>44808.15</v>
      </c>
      <c r="Y36" s="199">
        <v>2987.21</v>
      </c>
      <c r="Z36" s="44">
        <v>206</v>
      </c>
      <c r="AA36" s="41">
        <f t="shared" si="5"/>
        <v>615365.26</v>
      </c>
      <c r="AB36" s="44">
        <v>0</v>
      </c>
      <c r="AC36" s="44">
        <f t="shared" si="16"/>
        <v>0</v>
      </c>
      <c r="AD36" s="44">
        <f t="shared" si="7"/>
        <v>206</v>
      </c>
      <c r="AE36" s="111">
        <f t="shared" si="8"/>
        <v>615365.26</v>
      </c>
      <c r="AF36" s="51" t="s">
        <v>571</v>
      </c>
      <c r="AG36" s="115"/>
      <c r="AH36" s="35">
        <v>0</v>
      </c>
      <c r="AI36" s="36">
        <v>0</v>
      </c>
      <c r="AJ36" s="36">
        <v>0</v>
      </c>
      <c r="AK36" s="36"/>
      <c r="AL36" s="36">
        <v>0</v>
      </c>
      <c r="AM36" s="36">
        <v>0</v>
      </c>
      <c r="AN36" s="46">
        <v>0</v>
      </c>
      <c r="AO36" s="100">
        <f t="shared" si="9"/>
        <v>0</v>
      </c>
      <c r="AP36" s="3">
        <f t="shared" si="10"/>
        <v>0</v>
      </c>
    </row>
    <row r="37" spans="1:42" x14ac:dyDescent="0.2">
      <c r="A37" s="35" t="s">
        <v>12</v>
      </c>
      <c r="B37" s="37" t="s">
        <v>556</v>
      </c>
      <c r="C37" s="37" t="s">
        <v>578</v>
      </c>
      <c r="D37" s="52">
        <v>46418</v>
      </c>
      <c r="E37" s="38" t="s">
        <v>767</v>
      </c>
      <c r="F37" s="36" t="s">
        <v>564</v>
      </c>
      <c r="G37" s="36" t="s">
        <v>614</v>
      </c>
      <c r="H37" s="39">
        <v>284</v>
      </c>
      <c r="I37" s="40">
        <v>520448</v>
      </c>
      <c r="J37" s="39">
        <v>521</v>
      </c>
      <c r="K37" s="40">
        <v>974079.74000000022</v>
      </c>
      <c r="L37" s="37" t="s">
        <v>578</v>
      </c>
      <c r="M37" s="47">
        <v>1960.9689855072475</v>
      </c>
      <c r="N37" s="48">
        <v>8</v>
      </c>
      <c r="O37" s="36">
        <v>231</v>
      </c>
      <c r="P37" s="47">
        <f t="shared" si="17"/>
        <v>468671.58753623214</v>
      </c>
      <c r="Q37" s="36">
        <v>450</v>
      </c>
      <c r="R37" s="43">
        <f t="shared" si="18"/>
        <v>-219</v>
      </c>
      <c r="S37" s="43">
        <f t="shared" si="19"/>
        <v>19</v>
      </c>
      <c r="T37" s="47">
        <f t="shared" si="20"/>
        <v>37258.410724637703</v>
      </c>
      <c r="U37" s="44">
        <v>250</v>
      </c>
      <c r="V37" s="45">
        <f t="shared" si="21"/>
        <v>490242.24637681188</v>
      </c>
      <c r="W37" s="36">
        <v>276</v>
      </c>
      <c r="X37" s="86">
        <v>541227.44000000029</v>
      </c>
      <c r="Y37" s="199">
        <v>1914</v>
      </c>
      <c r="Z37" s="44">
        <v>60</v>
      </c>
      <c r="AA37" s="41">
        <f t="shared" si="5"/>
        <v>114840</v>
      </c>
      <c r="AB37" s="44">
        <v>163</v>
      </c>
      <c r="AC37" s="44">
        <f t="shared" si="16"/>
        <v>258</v>
      </c>
      <c r="AD37" s="44">
        <f t="shared" si="7"/>
        <v>318</v>
      </c>
      <c r="AE37" s="111">
        <f t="shared" si="8"/>
        <v>608652</v>
      </c>
      <c r="AF37" s="51" t="s">
        <v>578</v>
      </c>
      <c r="AG37" s="115" t="s">
        <v>749</v>
      </c>
      <c r="AH37" s="35">
        <v>0</v>
      </c>
      <c r="AI37" s="36">
        <v>0</v>
      </c>
      <c r="AJ37" s="36">
        <v>0</v>
      </c>
      <c r="AK37" s="36"/>
      <c r="AL37" s="36">
        <v>0</v>
      </c>
      <c r="AM37" s="36">
        <v>0</v>
      </c>
      <c r="AN37" s="46">
        <v>95</v>
      </c>
      <c r="AO37" s="100">
        <f t="shared" si="9"/>
        <v>95</v>
      </c>
      <c r="AP37" s="3">
        <f t="shared" si="10"/>
        <v>493812</v>
      </c>
    </row>
    <row r="38" spans="1:42" x14ac:dyDescent="0.2">
      <c r="A38" s="35" t="s">
        <v>104</v>
      </c>
      <c r="B38" s="37" t="s">
        <v>556</v>
      </c>
      <c r="C38" s="37" t="s">
        <v>578</v>
      </c>
      <c r="D38" s="52">
        <v>46387</v>
      </c>
      <c r="E38" s="38" t="s">
        <v>754</v>
      </c>
      <c r="F38" s="36" t="s">
        <v>559</v>
      </c>
      <c r="G38" s="36" t="s">
        <v>590</v>
      </c>
      <c r="H38" s="39">
        <v>78</v>
      </c>
      <c r="I38" s="40">
        <v>110795.1</v>
      </c>
      <c r="J38" s="39">
        <v>339</v>
      </c>
      <c r="K38" s="40">
        <v>481532.55</v>
      </c>
      <c r="L38" s="37" t="s">
        <v>578</v>
      </c>
      <c r="M38" s="41">
        <v>1420.45</v>
      </c>
      <c r="N38" s="42">
        <v>2</v>
      </c>
      <c r="O38" s="36">
        <v>513</v>
      </c>
      <c r="P38" s="41">
        <f t="shared" si="17"/>
        <v>731531.75</v>
      </c>
      <c r="Q38" s="36">
        <v>632</v>
      </c>
      <c r="R38" s="43">
        <f t="shared" si="18"/>
        <v>-119</v>
      </c>
      <c r="S38" s="43">
        <f t="shared" si="19"/>
        <v>0</v>
      </c>
      <c r="T38" s="41">
        <f t="shared" si="20"/>
        <v>0</v>
      </c>
      <c r="U38" s="44">
        <f>O38</f>
        <v>513</v>
      </c>
      <c r="V38" s="45">
        <f t="shared" si="21"/>
        <v>728690.85</v>
      </c>
      <c r="W38" s="36">
        <v>878</v>
      </c>
      <c r="X38" s="86">
        <v>1247155.1000000001</v>
      </c>
      <c r="Y38" s="199">
        <v>1420.45</v>
      </c>
      <c r="Z38" s="44">
        <v>203</v>
      </c>
      <c r="AA38" s="41">
        <f t="shared" si="5"/>
        <v>288351.35000000003</v>
      </c>
      <c r="AB38" s="44">
        <v>0</v>
      </c>
      <c r="AC38" s="44">
        <f t="shared" si="16"/>
        <v>222</v>
      </c>
      <c r="AD38" s="44">
        <f t="shared" si="7"/>
        <v>425</v>
      </c>
      <c r="AE38" s="111">
        <f t="shared" si="8"/>
        <v>603691.25</v>
      </c>
      <c r="AF38" s="51" t="s">
        <v>578</v>
      </c>
      <c r="AG38" s="115"/>
      <c r="AH38" s="35">
        <v>222</v>
      </c>
      <c r="AI38" s="36">
        <v>0</v>
      </c>
      <c r="AJ38" s="36">
        <v>0</v>
      </c>
      <c r="AK38" s="36"/>
      <c r="AL38" s="36">
        <v>0</v>
      </c>
      <c r="AM38" s="36">
        <v>0</v>
      </c>
      <c r="AN38" s="46">
        <v>0</v>
      </c>
      <c r="AO38" s="100">
        <f t="shared" si="9"/>
        <v>222</v>
      </c>
      <c r="AP38" s="3">
        <f t="shared" si="10"/>
        <v>315339.90000000002</v>
      </c>
    </row>
    <row r="39" spans="1:42" x14ac:dyDescent="0.2">
      <c r="A39" s="35" t="s">
        <v>289</v>
      </c>
      <c r="B39" s="37" t="s">
        <v>562</v>
      </c>
      <c r="C39" s="37" t="s">
        <v>571</v>
      </c>
      <c r="D39" s="52"/>
      <c r="E39" s="38" t="s">
        <v>768</v>
      </c>
      <c r="F39" s="36" t="s">
        <v>560</v>
      </c>
      <c r="G39" s="36" t="s">
        <v>611</v>
      </c>
      <c r="H39" s="39">
        <v>24</v>
      </c>
      <c r="I39" s="40">
        <v>52499.199999999997</v>
      </c>
      <c r="J39" s="39">
        <v>3</v>
      </c>
      <c r="K39" s="40">
        <v>8975.94</v>
      </c>
      <c r="L39" s="37" t="s">
        <v>571</v>
      </c>
      <c r="M39" s="41">
        <v>3105.6800000000003</v>
      </c>
      <c r="N39" s="42">
        <v>0</v>
      </c>
      <c r="O39" s="36">
        <v>78</v>
      </c>
      <c r="P39" s="41">
        <f t="shared" si="17"/>
        <v>242243.04000000004</v>
      </c>
      <c r="Q39" s="36">
        <v>0</v>
      </c>
      <c r="R39" s="43">
        <f t="shared" si="18"/>
        <v>78</v>
      </c>
      <c r="S39" s="43">
        <f t="shared" si="19"/>
        <v>0</v>
      </c>
      <c r="T39" s="41">
        <f t="shared" si="20"/>
        <v>0</v>
      </c>
      <c r="U39" s="44">
        <v>78</v>
      </c>
      <c r="V39" s="45">
        <f t="shared" si="21"/>
        <v>242243.04000000004</v>
      </c>
      <c r="W39" s="36">
        <v>78</v>
      </c>
      <c r="X39" s="86">
        <v>242243.04</v>
      </c>
      <c r="Y39" s="199">
        <v>2991.98</v>
      </c>
      <c r="Z39" s="44">
        <v>106</v>
      </c>
      <c r="AA39" s="41">
        <f t="shared" si="5"/>
        <v>317149.88</v>
      </c>
      <c r="AB39" s="44">
        <v>0</v>
      </c>
      <c r="AC39" s="44">
        <f t="shared" si="16"/>
        <v>90</v>
      </c>
      <c r="AD39" s="44">
        <f t="shared" si="7"/>
        <v>196</v>
      </c>
      <c r="AE39" s="111">
        <f t="shared" si="8"/>
        <v>586428.07999999996</v>
      </c>
      <c r="AF39" s="51" t="s">
        <v>571</v>
      </c>
      <c r="AG39" s="115"/>
      <c r="AH39" s="35">
        <v>0</v>
      </c>
      <c r="AI39" s="36">
        <v>0</v>
      </c>
      <c r="AJ39" s="36">
        <v>50</v>
      </c>
      <c r="AK39" s="36"/>
      <c r="AL39" s="36">
        <v>40</v>
      </c>
      <c r="AM39" s="36">
        <v>0</v>
      </c>
      <c r="AN39" s="46">
        <v>0</v>
      </c>
      <c r="AO39" s="100">
        <f t="shared" si="9"/>
        <v>90</v>
      </c>
      <c r="AP39" s="3">
        <f t="shared" si="10"/>
        <v>269278.2</v>
      </c>
    </row>
    <row r="40" spans="1:42" x14ac:dyDescent="0.2">
      <c r="A40" s="35" t="s">
        <v>160</v>
      </c>
      <c r="B40" s="37" t="s">
        <v>556</v>
      </c>
      <c r="C40" s="37" t="s">
        <v>578</v>
      </c>
      <c r="D40" s="52">
        <v>46387</v>
      </c>
      <c r="E40" s="38" t="s">
        <v>754</v>
      </c>
      <c r="F40" s="36" t="s">
        <v>559</v>
      </c>
      <c r="G40" s="36" t="s">
        <v>585</v>
      </c>
      <c r="H40" s="39">
        <v>68578</v>
      </c>
      <c r="I40" s="40">
        <v>1577294</v>
      </c>
      <c r="J40" s="39">
        <v>71321</v>
      </c>
      <c r="K40" s="40">
        <v>1630883</v>
      </c>
      <c r="L40" s="37" t="s">
        <v>578</v>
      </c>
      <c r="M40" s="41">
        <v>22.077332417818212</v>
      </c>
      <c r="N40" s="42">
        <v>0</v>
      </c>
      <c r="O40" s="36">
        <v>53750</v>
      </c>
      <c r="P40" s="41">
        <f t="shared" si="17"/>
        <v>1186656.6174577288</v>
      </c>
      <c r="Q40" s="36">
        <v>65700</v>
      </c>
      <c r="R40" s="43">
        <f t="shared" si="18"/>
        <v>-11950</v>
      </c>
      <c r="S40" s="43">
        <f t="shared" si="19"/>
        <v>28750</v>
      </c>
      <c r="T40" s="41">
        <f t="shared" si="20"/>
        <v>634723.30701227358</v>
      </c>
      <c r="U40" s="44">
        <v>82500</v>
      </c>
      <c r="V40" s="45">
        <f t="shared" si="21"/>
        <v>1821379.9244700025</v>
      </c>
      <c r="W40" s="36">
        <v>58255</v>
      </c>
      <c r="X40" s="86">
        <v>1286115</v>
      </c>
      <c r="Y40" s="199">
        <v>23</v>
      </c>
      <c r="Z40" s="44">
        <v>25234</v>
      </c>
      <c r="AA40" s="41">
        <f t="shared" si="5"/>
        <v>580382</v>
      </c>
      <c r="AB40" s="44">
        <v>0</v>
      </c>
      <c r="AC40" s="44">
        <f t="shared" si="16"/>
        <v>0</v>
      </c>
      <c r="AD40" s="44">
        <f t="shared" si="7"/>
        <v>25234</v>
      </c>
      <c r="AE40" s="111">
        <f t="shared" si="8"/>
        <v>580382</v>
      </c>
      <c r="AF40" s="51" t="s">
        <v>578</v>
      </c>
      <c r="AG40" s="115"/>
      <c r="AH40" s="35">
        <v>0</v>
      </c>
      <c r="AI40" s="36">
        <v>0</v>
      </c>
      <c r="AJ40" s="36">
        <v>0</v>
      </c>
      <c r="AK40" s="36"/>
      <c r="AL40" s="36">
        <v>0</v>
      </c>
      <c r="AM40" s="36">
        <v>0</v>
      </c>
      <c r="AN40" s="46">
        <v>0</v>
      </c>
      <c r="AO40" s="100">
        <f t="shared" si="9"/>
        <v>0</v>
      </c>
      <c r="AP40" s="3">
        <f t="shared" si="10"/>
        <v>0</v>
      </c>
    </row>
    <row r="41" spans="1:42" x14ac:dyDescent="0.2">
      <c r="A41" s="35" t="s">
        <v>337</v>
      </c>
      <c r="B41" s="37" t="s">
        <v>556</v>
      </c>
      <c r="C41" s="37" t="s">
        <v>578</v>
      </c>
      <c r="D41" s="52">
        <v>46387</v>
      </c>
      <c r="E41" s="38" t="s">
        <v>754</v>
      </c>
      <c r="F41" s="36" t="s">
        <v>557</v>
      </c>
      <c r="G41" s="36" t="s">
        <v>610</v>
      </c>
      <c r="H41" s="39">
        <v>13770</v>
      </c>
      <c r="I41" s="40">
        <v>420846.19999999995</v>
      </c>
      <c r="J41" s="39">
        <v>13030</v>
      </c>
      <c r="K41" s="40">
        <v>413048.60000000003</v>
      </c>
      <c r="L41" s="37" t="s">
        <v>578</v>
      </c>
      <c r="M41" s="41">
        <v>31.115164078635363</v>
      </c>
      <c r="N41" s="42">
        <v>1010</v>
      </c>
      <c r="O41" s="36">
        <v>7334</v>
      </c>
      <c r="P41" s="41">
        <f t="shared" si="17"/>
        <v>259624.92907213347</v>
      </c>
      <c r="Q41" s="36">
        <v>8344</v>
      </c>
      <c r="R41" s="43">
        <f t="shared" si="18"/>
        <v>-1010</v>
      </c>
      <c r="S41" s="43">
        <f t="shared" si="19"/>
        <v>1666</v>
      </c>
      <c r="T41" s="41">
        <f t="shared" si="20"/>
        <v>51837.863355006513</v>
      </c>
      <c r="U41" s="44">
        <v>9000</v>
      </c>
      <c r="V41" s="45">
        <f t="shared" si="21"/>
        <v>280036.47670771828</v>
      </c>
      <c r="W41" s="36">
        <v>13073</v>
      </c>
      <c r="X41" s="86">
        <v>406768.5400000001</v>
      </c>
      <c r="Y41" s="199">
        <v>36.188000000000002</v>
      </c>
      <c r="Z41" s="44">
        <v>8166</v>
      </c>
      <c r="AA41" s="41">
        <f t="shared" si="5"/>
        <v>295511.20800000004</v>
      </c>
      <c r="AB41" s="44">
        <v>7593</v>
      </c>
      <c r="AC41" s="44">
        <v>7593</v>
      </c>
      <c r="AD41" s="44">
        <f t="shared" si="7"/>
        <v>15759</v>
      </c>
      <c r="AE41" s="111">
        <f t="shared" si="8"/>
        <v>570286.69200000004</v>
      </c>
      <c r="AF41" s="51" t="s">
        <v>578</v>
      </c>
      <c r="AG41" s="115"/>
      <c r="AH41" s="35">
        <v>4087</v>
      </c>
      <c r="AI41" s="36">
        <v>0</v>
      </c>
      <c r="AJ41" s="36">
        <v>0</v>
      </c>
      <c r="AK41" s="36"/>
      <c r="AL41" s="36">
        <v>0</v>
      </c>
      <c r="AM41" s="36">
        <v>0</v>
      </c>
      <c r="AN41" s="46">
        <v>0</v>
      </c>
      <c r="AO41" s="100">
        <f t="shared" si="9"/>
        <v>4087</v>
      </c>
      <c r="AP41" s="3">
        <f t="shared" si="10"/>
        <v>274775.484</v>
      </c>
    </row>
    <row r="42" spans="1:42" x14ac:dyDescent="0.2">
      <c r="A42" s="49" t="s">
        <v>897</v>
      </c>
      <c r="B42" s="37" t="s">
        <v>556</v>
      </c>
      <c r="C42" s="37" t="s">
        <v>571</v>
      </c>
      <c r="D42" s="52"/>
      <c r="E42" s="38" t="s">
        <v>754</v>
      </c>
      <c r="F42" s="36" t="s">
        <v>557</v>
      </c>
      <c r="G42" s="36" t="s">
        <v>649</v>
      </c>
      <c r="H42" s="39"/>
      <c r="I42" s="40"/>
      <c r="J42" s="39"/>
      <c r="K42" s="40"/>
      <c r="L42" s="51"/>
      <c r="M42" s="41">
        <v>103.69</v>
      </c>
      <c r="N42" s="41"/>
      <c r="O42" s="36"/>
      <c r="P42" s="41"/>
      <c r="Q42" s="36"/>
      <c r="R42" s="43"/>
      <c r="S42" s="43"/>
      <c r="T42" s="41"/>
      <c r="U42" s="44"/>
      <c r="V42" s="45"/>
      <c r="W42" s="36">
        <v>144</v>
      </c>
      <c r="X42" s="86">
        <v>14931.36</v>
      </c>
      <c r="Y42" s="199">
        <v>148.87</v>
      </c>
      <c r="Z42" s="44">
        <v>144</v>
      </c>
      <c r="AA42" s="41">
        <f t="shared" si="5"/>
        <v>21437.279999999999</v>
      </c>
      <c r="AB42" s="44">
        <v>0</v>
      </c>
      <c r="AC42" s="44">
        <f>AB42+AO42</f>
        <v>3626</v>
      </c>
      <c r="AD42" s="44">
        <f t="shared" si="7"/>
        <v>3770</v>
      </c>
      <c r="AE42" s="111">
        <f t="shared" si="8"/>
        <v>561239.9</v>
      </c>
      <c r="AF42" s="51" t="s">
        <v>578</v>
      </c>
      <c r="AG42" s="115"/>
      <c r="AH42" s="35">
        <v>3626</v>
      </c>
      <c r="AI42" s="36">
        <v>0</v>
      </c>
      <c r="AJ42" s="36">
        <v>0</v>
      </c>
      <c r="AK42" s="36"/>
      <c r="AL42" s="36">
        <v>0</v>
      </c>
      <c r="AM42" s="36">
        <v>0</v>
      </c>
      <c r="AN42" s="46">
        <v>0</v>
      </c>
      <c r="AO42" s="100">
        <f t="shared" si="9"/>
        <v>3626</v>
      </c>
      <c r="AP42" s="3">
        <f t="shared" si="10"/>
        <v>539802.62</v>
      </c>
    </row>
    <row r="43" spans="1:42" x14ac:dyDescent="0.2">
      <c r="A43" s="35" t="s">
        <v>213</v>
      </c>
      <c r="B43" s="37" t="s">
        <v>556</v>
      </c>
      <c r="C43" s="37" t="s">
        <v>571</v>
      </c>
      <c r="D43" s="52"/>
      <c r="E43" s="38" t="s">
        <v>769</v>
      </c>
      <c r="F43" s="36" t="s">
        <v>559</v>
      </c>
      <c r="G43" s="36" t="s">
        <v>602</v>
      </c>
      <c r="H43" s="39">
        <v>4851</v>
      </c>
      <c r="I43" s="40">
        <v>241990.47000000003</v>
      </c>
      <c r="J43" s="39">
        <v>3139</v>
      </c>
      <c r="K43" s="40">
        <v>162749.93</v>
      </c>
      <c r="L43" s="37" t="s">
        <v>578</v>
      </c>
      <c r="M43" s="47">
        <v>55.257835051546373</v>
      </c>
      <c r="N43" s="48">
        <v>910</v>
      </c>
      <c r="O43" s="36">
        <v>6970</v>
      </c>
      <c r="P43" s="47">
        <f>(N43+O43)*M43</f>
        <v>435431.74020618544</v>
      </c>
      <c r="Q43" s="36">
        <v>9230</v>
      </c>
      <c r="R43" s="43">
        <f>O43-Q43</f>
        <v>-2260</v>
      </c>
      <c r="S43" s="43">
        <f>U43-O43</f>
        <v>910</v>
      </c>
      <c r="T43" s="47">
        <f>S43*M43</f>
        <v>50284.629896907201</v>
      </c>
      <c r="U43" s="44">
        <v>7880</v>
      </c>
      <c r="V43" s="45">
        <f>U43*M43</f>
        <v>435431.74020618544</v>
      </c>
      <c r="W43" s="36">
        <v>10185</v>
      </c>
      <c r="X43" s="86">
        <v>562801.04999999981</v>
      </c>
      <c r="Y43" s="199">
        <v>59</v>
      </c>
      <c r="Z43" s="44">
        <v>3470</v>
      </c>
      <c r="AA43" s="41">
        <f t="shared" si="5"/>
        <v>204730</v>
      </c>
      <c r="AB43" s="44">
        <v>0</v>
      </c>
      <c r="AC43" s="44">
        <f>AB43+AO43</f>
        <v>5550</v>
      </c>
      <c r="AD43" s="44">
        <f t="shared" si="7"/>
        <v>9020</v>
      </c>
      <c r="AE43" s="111">
        <f t="shared" si="8"/>
        <v>532180</v>
      </c>
      <c r="AF43" s="51" t="s">
        <v>578</v>
      </c>
      <c r="AG43" s="115"/>
      <c r="AH43" s="35">
        <v>0</v>
      </c>
      <c r="AI43" s="36">
        <v>0</v>
      </c>
      <c r="AJ43" s="36">
        <v>0</v>
      </c>
      <c r="AK43" s="36"/>
      <c r="AL43" s="36">
        <v>0</v>
      </c>
      <c r="AM43" s="36">
        <v>5550</v>
      </c>
      <c r="AN43" s="46">
        <v>0</v>
      </c>
      <c r="AO43" s="100">
        <f t="shared" si="9"/>
        <v>5550</v>
      </c>
      <c r="AP43" s="3">
        <f t="shared" si="10"/>
        <v>327450</v>
      </c>
    </row>
    <row r="44" spans="1:42" x14ac:dyDescent="0.2">
      <c r="A44" s="35" t="s">
        <v>1026</v>
      </c>
      <c r="B44" s="37" t="s">
        <v>554</v>
      </c>
      <c r="C44" s="37" t="s">
        <v>571</v>
      </c>
      <c r="D44" s="52"/>
      <c r="E44" s="38" t="s">
        <v>999</v>
      </c>
      <c r="F44" s="36" t="s">
        <v>560</v>
      </c>
      <c r="G44" s="36" t="s">
        <v>1027</v>
      </c>
      <c r="H44" s="39"/>
      <c r="I44" s="40"/>
      <c r="J44" s="39"/>
      <c r="K44" s="40"/>
      <c r="L44" s="37"/>
      <c r="M44" s="41"/>
      <c r="N44" s="42"/>
      <c r="O44" s="36"/>
      <c r="P44" s="41"/>
      <c r="Q44" s="36"/>
      <c r="R44" s="43"/>
      <c r="S44" s="43"/>
      <c r="T44" s="41"/>
      <c r="U44" s="44"/>
      <c r="V44" s="45"/>
      <c r="W44" s="36"/>
      <c r="X44" s="86"/>
      <c r="Y44" s="199">
        <v>25.5</v>
      </c>
      <c r="Z44" s="44">
        <v>0</v>
      </c>
      <c r="AA44" s="41">
        <f t="shared" si="5"/>
        <v>0</v>
      </c>
      <c r="AB44" s="44">
        <v>0</v>
      </c>
      <c r="AC44" s="44">
        <v>20000</v>
      </c>
      <c r="AD44" s="44">
        <f t="shared" si="7"/>
        <v>20000</v>
      </c>
      <c r="AE44" s="111">
        <f t="shared" si="8"/>
        <v>510000</v>
      </c>
      <c r="AF44" s="51" t="s">
        <v>571</v>
      </c>
      <c r="AG44" s="115"/>
      <c r="AH44" s="35">
        <v>0</v>
      </c>
      <c r="AI44" s="36">
        <v>0</v>
      </c>
      <c r="AJ44" s="36">
        <v>0</v>
      </c>
      <c r="AK44" s="36"/>
      <c r="AL44" s="36">
        <v>0</v>
      </c>
      <c r="AM44" s="36">
        <v>0</v>
      </c>
      <c r="AN44" s="46">
        <v>0</v>
      </c>
      <c r="AO44" s="100"/>
      <c r="AP44" s="3">
        <f t="shared" si="10"/>
        <v>510000</v>
      </c>
    </row>
    <row r="45" spans="1:42" x14ac:dyDescent="0.2">
      <c r="A45" s="35" t="s">
        <v>356</v>
      </c>
      <c r="B45" s="37" t="s">
        <v>556</v>
      </c>
      <c r="C45" s="37" t="s">
        <v>578</v>
      </c>
      <c r="D45" s="52">
        <v>46387</v>
      </c>
      <c r="E45" s="38" t="s">
        <v>754</v>
      </c>
      <c r="F45" s="36" t="s">
        <v>557</v>
      </c>
      <c r="G45" s="36" t="s">
        <v>592</v>
      </c>
      <c r="H45" s="39">
        <v>268</v>
      </c>
      <c r="I45" s="40">
        <v>152283.94000000003</v>
      </c>
      <c r="J45" s="39">
        <v>149</v>
      </c>
      <c r="K45" s="40">
        <v>122716.4</v>
      </c>
      <c r="L45" s="37" t="s">
        <v>578</v>
      </c>
      <c r="M45" s="41">
        <v>918.3210182767624</v>
      </c>
      <c r="N45" s="42">
        <v>0</v>
      </c>
      <c r="O45" s="36">
        <v>334</v>
      </c>
      <c r="P45" s="41">
        <f t="shared" ref="P45:P57" si="22">(N45+O45)*M45</f>
        <v>306719.22010443866</v>
      </c>
      <c r="Q45" s="36">
        <v>393</v>
      </c>
      <c r="R45" s="43">
        <f t="shared" ref="R45:R57" si="23">O45-Q45</f>
        <v>-59</v>
      </c>
      <c r="S45" s="43">
        <f t="shared" ref="S45:S57" si="24">U45-O45</f>
        <v>0</v>
      </c>
      <c r="T45" s="41">
        <f t="shared" ref="T45:T57" si="25">S45*M45</f>
        <v>0</v>
      </c>
      <c r="U45" s="44">
        <f t="shared" ref="U45:U51" si="26">O45</f>
        <v>334</v>
      </c>
      <c r="V45" s="45">
        <f t="shared" ref="V45:V57" si="27">U45*M45</f>
        <v>306719.22010443866</v>
      </c>
      <c r="W45" s="36">
        <v>383</v>
      </c>
      <c r="X45" s="86">
        <v>351716.95</v>
      </c>
      <c r="Y45" s="199">
        <v>940.25</v>
      </c>
      <c r="Z45" s="44">
        <v>288</v>
      </c>
      <c r="AA45" s="41">
        <f t="shared" si="5"/>
        <v>270792</v>
      </c>
      <c r="AB45" s="44">
        <v>0</v>
      </c>
      <c r="AC45" s="44">
        <f t="shared" ref="AC45:AC57" si="28">AB45+AO45</f>
        <v>247</v>
      </c>
      <c r="AD45" s="44">
        <f t="shared" si="7"/>
        <v>535</v>
      </c>
      <c r="AE45" s="111">
        <f t="shared" si="8"/>
        <v>503033.75</v>
      </c>
      <c r="AF45" s="51" t="s">
        <v>578</v>
      </c>
      <c r="AG45" s="115"/>
      <c r="AH45" s="35">
        <v>247</v>
      </c>
      <c r="AI45" s="36">
        <v>0</v>
      </c>
      <c r="AJ45" s="36">
        <v>0</v>
      </c>
      <c r="AK45" s="36"/>
      <c r="AL45" s="36">
        <v>0</v>
      </c>
      <c r="AM45" s="36">
        <v>0</v>
      </c>
      <c r="AN45" s="46">
        <v>0</v>
      </c>
      <c r="AO45" s="100">
        <f t="shared" ref="AO45:AO57" si="29">SUM(AH45:AN45)</f>
        <v>247</v>
      </c>
      <c r="AP45" s="3">
        <f t="shared" si="10"/>
        <v>232241.75</v>
      </c>
    </row>
    <row r="46" spans="1:42" x14ac:dyDescent="0.2">
      <c r="A46" s="35" t="s">
        <v>358</v>
      </c>
      <c r="B46" s="37" t="s">
        <v>556</v>
      </c>
      <c r="C46" s="37" t="s">
        <v>571</v>
      </c>
      <c r="D46" s="52"/>
      <c r="E46" s="38" t="s">
        <v>753</v>
      </c>
      <c r="F46" s="36" t="s">
        <v>557</v>
      </c>
      <c r="G46" s="36" t="s">
        <v>581</v>
      </c>
      <c r="H46" s="39">
        <v>102</v>
      </c>
      <c r="I46" s="40">
        <v>93625.260000000024</v>
      </c>
      <c r="J46" s="39">
        <v>198</v>
      </c>
      <c r="K46" s="40">
        <v>180407.70000000013</v>
      </c>
      <c r="L46" s="37" t="s">
        <v>578</v>
      </c>
      <c r="M46" s="41">
        <v>911.14999999999952</v>
      </c>
      <c r="N46" s="42">
        <v>0</v>
      </c>
      <c r="O46" s="36">
        <v>668</v>
      </c>
      <c r="P46" s="41">
        <f t="shared" si="22"/>
        <v>608648.19999999972</v>
      </c>
      <c r="Q46" s="36">
        <v>484</v>
      </c>
      <c r="R46" s="43">
        <f t="shared" si="23"/>
        <v>184</v>
      </c>
      <c r="S46" s="43">
        <f t="shared" si="24"/>
        <v>0</v>
      </c>
      <c r="T46" s="41">
        <f t="shared" si="25"/>
        <v>0</v>
      </c>
      <c r="U46" s="44">
        <f t="shared" si="26"/>
        <v>668</v>
      </c>
      <c r="V46" s="45">
        <f t="shared" si="27"/>
        <v>608648.19999999972</v>
      </c>
      <c r="W46" s="36">
        <v>468</v>
      </c>
      <c r="X46" s="86">
        <v>426418.19999999978</v>
      </c>
      <c r="Y46" s="199">
        <v>1017.1333333333332</v>
      </c>
      <c r="Z46" s="44">
        <v>489</v>
      </c>
      <c r="AA46" s="41">
        <f t="shared" si="5"/>
        <v>497378.19999999995</v>
      </c>
      <c r="AB46" s="44">
        <v>0</v>
      </c>
      <c r="AC46" s="44">
        <f t="shared" si="28"/>
        <v>0</v>
      </c>
      <c r="AD46" s="44">
        <f t="shared" si="7"/>
        <v>489</v>
      </c>
      <c r="AE46" s="111">
        <f t="shared" si="8"/>
        <v>497378.19999999995</v>
      </c>
      <c r="AF46" s="51" t="s">
        <v>578</v>
      </c>
      <c r="AG46" s="115"/>
      <c r="AH46" s="35">
        <v>0</v>
      </c>
      <c r="AI46" s="36">
        <v>0</v>
      </c>
      <c r="AJ46" s="36">
        <v>0</v>
      </c>
      <c r="AK46" s="36"/>
      <c r="AL46" s="36">
        <v>0</v>
      </c>
      <c r="AM46" s="36">
        <v>0</v>
      </c>
      <c r="AN46" s="46">
        <v>0</v>
      </c>
      <c r="AO46" s="100">
        <f t="shared" si="29"/>
        <v>0</v>
      </c>
      <c r="AP46" s="3">
        <f t="shared" si="10"/>
        <v>0</v>
      </c>
    </row>
    <row r="47" spans="1:42" x14ac:dyDescent="0.2">
      <c r="A47" s="35" t="s">
        <v>402</v>
      </c>
      <c r="B47" s="37" t="s">
        <v>556</v>
      </c>
      <c r="C47" s="37" t="s">
        <v>571</v>
      </c>
      <c r="D47" s="52"/>
      <c r="E47" s="38" t="s">
        <v>773</v>
      </c>
      <c r="F47" s="36" t="s">
        <v>555</v>
      </c>
      <c r="G47" s="36" t="s">
        <v>620</v>
      </c>
      <c r="H47" s="39">
        <v>100</v>
      </c>
      <c r="I47" s="40">
        <v>78474</v>
      </c>
      <c r="J47" s="39">
        <v>5</v>
      </c>
      <c r="K47" s="40">
        <v>3925</v>
      </c>
      <c r="L47" s="37" t="s">
        <v>571</v>
      </c>
      <c r="M47" s="41">
        <v>722.18131868131866</v>
      </c>
      <c r="N47" s="42">
        <v>0</v>
      </c>
      <c r="O47" s="36">
        <v>292</v>
      </c>
      <c r="P47" s="41">
        <f t="shared" si="22"/>
        <v>210876.94505494504</v>
      </c>
      <c r="Q47" s="36">
        <v>0</v>
      </c>
      <c r="R47" s="43">
        <f t="shared" si="23"/>
        <v>292</v>
      </c>
      <c r="S47" s="43">
        <f t="shared" si="24"/>
        <v>0</v>
      </c>
      <c r="T47" s="41">
        <f t="shared" si="25"/>
        <v>0</v>
      </c>
      <c r="U47" s="44">
        <f t="shared" si="26"/>
        <v>292</v>
      </c>
      <c r="V47" s="45">
        <f t="shared" si="27"/>
        <v>210876.94505494504</v>
      </c>
      <c r="W47" s="36">
        <v>910</v>
      </c>
      <c r="X47" s="86">
        <v>657185</v>
      </c>
      <c r="Y47" s="199">
        <v>785</v>
      </c>
      <c r="Z47" s="44">
        <v>0</v>
      </c>
      <c r="AA47" s="41">
        <f t="shared" si="5"/>
        <v>0</v>
      </c>
      <c r="AB47" s="44">
        <v>0</v>
      </c>
      <c r="AC47" s="44">
        <f t="shared" si="28"/>
        <v>600</v>
      </c>
      <c r="AD47" s="44">
        <f t="shared" si="7"/>
        <v>600</v>
      </c>
      <c r="AE47" s="111">
        <f t="shared" si="8"/>
        <v>471000</v>
      </c>
      <c r="AF47" s="51" t="s">
        <v>571</v>
      </c>
      <c r="AG47" s="115"/>
      <c r="AH47" s="35">
        <v>0</v>
      </c>
      <c r="AI47" s="36">
        <v>600</v>
      </c>
      <c r="AJ47" s="36">
        <v>0</v>
      </c>
      <c r="AK47" s="36"/>
      <c r="AL47" s="36">
        <v>0</v>
      </c>
      <c r="AM47" s="36">
        <v>0</v>
      </c>
      <c r="AN47" s="46">
        <v>0</v>
      </c>
      <c r="AO47" s="100">
        <f t="shared" si="29"/>
        <v>600</v>
      </c>
      <c r="AP47" s="3">
        <f t="shared" si="10"/>
        <v>471000</v>
      </c>
    </row>
    <row r="48" spans="1:42" x14ac:dyDescent="0.2">
      <c r="A48" s="35" t="s">
        <v>307</v>
      </c>
      <c r="B48" s="37" t="s">
        <v>556</v>
      </c>
      <c r="C48" s="37" t="s">
        <v>578</v>
      </c>
      <c r="D48" s="52">
        <v>46022</v>
      </c>
      <c r="E48" s="38" t="s">
        <v>753</v>
      </c>
      <c r="F48" s="36" t="s">
        <v>557</v>
      </c>
      <c r="G48" s="36" t="s">
        <v>581</v>
      </c>
      <c r="H48" s="39">
        <v>1735</v>
      </c>
      <c r="I48" s="40">
        <v>211781.05</v>
      </c>
      <c r="J48" s="39">
        <v>873</v>
      </c>
      <c r="K48" s="40">
        <v>120728.97</v>
      </c>
      <c r="L48" s="37" t="s">
        <v>578</v>
      </c>
      <c r="M48" s="41">
        <v>156.94129066478078</v>
      </c>
      <c r="N48" s="42">
        <v>0</v>
      </c>
      <c r="O48" s="36">
        <v>2900</v>
      </c>
      <c r="P48" s="41">
        <f t="shared" si="22"/>
        <v>455129.74292786425</v>
      </c>
      <c r="Q48" s="36">
        <v>221</v>
      </c>
      <c r="R48" s="43">
        <f t="shared" si="23"/>
        <v>2679</v>
      </c>
      <c r="S48" s="43">
        <f t="shared" si="24"/>
        <v>0</v>
      </c>
      <c r="T48" s="41">
        <f t="shared" si="25"/>
        <v>0</v>
      </c>
      <c r="U48" s="44">
        <f t="shared" si="26"/>
        <v>2900</v>
      </c>
      <c r="V48" s="45">
        <f t="shared" si="27"/>
        <v>455129.74292786425</v>
      </c>
      <c r="W48" s="36">
        <v>2828</v>
      </c>
      <c r="X48" s="86">
        <v>443829.97000000003</v>
      </c>
      <c r="Y48" s="199">
        <v>153.86000000000001</v>
      </c>
      <c r="Z48" s="44">
        <v>3000</v>
      </c>
      <c r="AA48" s="41">
        <f t="shared" si="5"/>
        <v>461580.00000000006</v>
      </c>
      <c r="AB48" s="44">
        <v>0</v>
      </c>
      <c r="AC48" s="44">
        <f t="shared" si="28"/>
        <v>0</v>
      </c>
      <c r="AD48" s="44">
        <f t="shared" si="7"/>
        <v>3000</v>
      </c>
      <c r="AE48" s="111">
        <f t="shared" si="8"/>
        <v>461580.00000000006</v>
      </c>
      <c r="AF48" s="51" t="s">
        <v>578</v>
      </c>
      <c r="AG48" s="115"/>
      <c r="AH48" s="35">
        <v>0</v>
      </c>
      <c r="AI48" s="36">
        <v>0</v>
      </c>
      <c r="AJ48" s="36">
        <v>0</v>
      </c>
      <c r="AK48" s="36"/>
      <c r="AL48" s="36">
        <v>0</v>
      </c>
      <c r="AM48" s="36">
        <v>0</v>
      </c>
      <c r="AN48" s="46">
        <v>0</v>
      </c>
      <c r="AO48" s="100">
        <f t="shared" si="29"/>
        <v>0</v>
      </c>
      <c r="AP48" s="3">
        <f t="shared" si="10"/>
        <v>0</v>
      </c>
    </row>
    <row r="49" spans="1:42" x14ac:dyDescent="0.2">
      <c r="A49" s="35" t="s">
        <v>223</v>
      </c>
      <c r="B49" s="37" t="s">
        <v>556</v>
      </c>
      <c r="C49" s="37" t="s">
        <v>571</v>
      </c>
      <c r="D49" s="52"/>
      <c r="E49" s="38" t="s">
        <v>754</v>
      </c>
      <c r="F49" s="36" t="s">
        <v>559</v>
      </c>
      <c r="G49" s="36" t="s">
        <v>593</v>
      </c>
      <c r="H49" s="39">
        <v>0</v>
      </c>
      <c r="I49" s="40">
        <v>0</v>
      </c>
      <c r="J49" s="39">
        <v>0</v>
      </c>
      <c r="K49" s="40">
        <v>0</v>
      </c>
      <c r="L49" s="37" t="s">
        <v>578</v>
      </c>
      <c r="M49" s="41">
        <v>1197.48</v>
      </c>
      <c r="N49" s="42">
        <v>0</v>
      </c>
      <c r="O49" s="36">
        <v>448</v>
      </c>
      <c r="P49" s="41">
        <f t="shared" si="22"/>
        <v>536471.04000000004</v>
      </c>
      <c r="Q49" s="36">
        <v>350</v>
      </c>
      <c r="R49" s="43">
        <f t="shared" si="23"/>
        <v>98</v>
      </c>
      <c r="S49" s="43">
        <f t="shared" si="24"/>
        <v>0</v>
      </c>
      <c r="T49" s="41">
        <f t="shared" si="25"/>
        <v>0</v>
      </c>
      <c r="U49" s="44">
        <f t="shared" si="26"/>
        <v>448</v>
      </c>
      <c r="V49" s="45">
        <f t="shared" si="27"/>
        <v>536471.04000000004</v>
      </c>
      <c r="W49" s="36">
        <v>184</v>
      </c>
      <c r="X49" s="86">
        <v>220336.32</v>
      </c>
      <c r="Y49" s="199">
        <v>1197.4799999999998</v>
      </c>
      <c r="Z49" s="44">
        <v>384</v>
      </c>
      <c r="AA49" s="41">
        <f t="shared" si="5"/>
        <v>459832.31999999995</v>
      </c>
      <c r="AB49" s="44">
        <v>0</v>
      </c>
      <c r="AC49" s="44">
        <f t="shared" si="28"/>
        <v>0</v>
      </c>
      <c r="AD49" s="44">
        <f t="shared" si="7"/>
        <v>384</v>
      </c>
      <c r="AE49" s="111">
        <f t="shared" si="8"/>
        <v>459832.31999999995</v>
      </c>
      <c r="AF49" s="51" t="s">
        <v>578</v>
      </c>
      <c r="AG49" s="115"/>
      <c r="AH49" s="35">
        <v>0</v>
      </c>
      <c r="AI49" s="36">
        <v>0</v>
      </c>
      <c r="AJ49" s="36">
        <v>0</v>
      </c>
      <c r="AK49" s="36"/>
      <c r="AL49" s="36">
        <v>0</v>
      </c>
      <c r="AM49" s="36">
        <v>0</v>
      </c>
      <c r="AN49" s="46">
        <v>0</v>
      </c>
      <c r="AO49" s="100">
        <f t="shared" si="29"/>
        <v>0</v>
      </c>
      <c r="AP49" s="3">
        <f t="shared" si="10"/>
        <v>0</v>
      </c>
    </row>
    <row r="50" spans="1:42" x14ac:dyDescent="0.2">
      <c r="A50" s="35" t="s">
        <v>106</v>
      </c>
      <c r="B50" s="37" t="s">
        <v>556</v>
      </c>
      <c r="C50" s="37" t="s">
        <v>578</v>
      </c>
      <c r="D50" s="52">
        <v>46022</v>
      </c>
      <c r="E50" s="38" t="s">
        <v>764</v>
      </c>
      <c r="F50" s="36" t="s">
        <v>559</v>
      </c>
      <c r="G50" s="36" t="s">
        <v>607</v>
      </c>
      <c r="H50" s="39">
        <v>582</v>
      </c>
      <c r="I50" s="40">
        <v>453869.18</v>
      </c>
      <c r="J50" s="39">
        <v>2979</v>
      </c>
      <c r="K50" s="40">
        <v>1745690.75</v>
      </c>
      <c r="L50" s="37" t="s">
        <v>578</v>
      </c>
      <c r="M50" s="41">
        <v>840.55085388994303</v>
      </c>
      <c r="N50" s="42">
        <v>0</v>
      </c>
      <c r="O50" s="36">
        <v>527</v>
      </c>
      <c r="P50" s="41">
        <f t="shared" si="22"/>
        <v>442970.3</v>
      </c>
      <c r="Q50" s="36">
        <v>850</v>
      </c>
      <c r="R50" s="43">
        <f t="shared" si="23"/>
        <v>-323</v>
      </c>
      <c r="S50" s="43">
        <f t="shared" si="24"/>
        <v>0</v>
      </c>
      <c r="T50" s="41">
        <f t="shared" si="25"/>
        <v>0</v>
      </c>
      <c r="U50" s="44">
        <f t="shared" si="26"/>
        <v>527</v>
      </c>
      <c r="V50" s="45">
        <f t="shared" si="27"/>
        <v>442970.3</v>
      </c>
      <c r="W50" s="36">
        <v>527</v>
      </c>
      <c r="X50" s="86">
        <v>442970.3</v>
      </c>
      <c r="Y50" s="199">
        <v>902.48</v>
      </c>
      <c r="Z50" s="44">
        <v>500</v>
      </c>
      <c r="AA50" s="41">
        <f t="shared" si="5"/>
        <v>451240</v>
      </c>
      <c r="AB50" s="44">
        <v>0</v>
      </c>
      <c r="AC50" s="44">
        <f t="shared" si="28"/>
        <v>0</v>
      </c>
      <c r="AD50" s="44">
        <f t="shared" si="7"/>
        <v>500</v>
      </c>
      <c r="AE50" s="111">
        <f t="shared" si="8"/>
        <v>451240</v>
      </c>
      <c r="AF50" s="51" t="s">
        <v>578</v>
      </c>
      <c r="AG50" s="115"/>
      <c r="AH50" s="35">
        <v>0</v>
      </c>
      <c r="AI50" s="36">
        <v>0</v>
      </c>
      <c r="AJ50" s="36">
        <v>0</v>
      </c>
      <c r="AK50" s="36"/>
      <c r="AL50" s="36">
        <v>0</v>
      </c>
      <c r="AM50" s="36">
        <v>0</v>
      </c>
      <c r="AN50" s="46">
        <v>0</v>
      </c>
      <c r="AO50" s="100">
        <f t="shared" si="29"/>
        <v>0</v>
      </c>
      <c r="AP50" s="3">
        <f t="shared" si="10"/>
        <v>0</v>
      </c>
    </row>
    <row r="51" spans="1:42" x14ac:dyDescent="0.2">
      <c r="A51" s="35" t="s">
        <v>214</v>
      </c>
      <c r="B51" s="37" t="s">
        <v>556</v>
      </c>
      <c r="C51" s="37" t="s">
        <v>578</v>
      </c>
      <c r="D51" s="52">
        <v>46387</v>
      </c>
      <c r="E51" s="38" t="s">
        <v>754</v>
      </c>
      <c r="F51" s="36" t="s">
        <v>559</v>
      </c>
      <c r="G51" s="36" t="s">
        <v>587</v>
      </c>
      <c r="H51" s="39">
        <v>418</v>
      </c>
      <c r="I51" s="40">
        <v>584501.93999999983</v>
      </c>
      <c r="J51" s="39">
        <v>267</v>
      </c>
      <c r="K51" s="40">
        <v>373354.11</v>
      </c>
      <c r="L51" s="37" t="s">
        <v>578</v>
      </c>
      <c r="M51" s="41">
        <v>1398.3300000000002</v>
      </c>
      <c r="N51" s="42">
        <v>0</v>
      </c>
      <c r="O51" s="36">
        <v>700</v>
      </c>
      <c r="P51" s="41">
        <f t="shared" si="22"/>
        <v>978831.00000000012</v>
      </c>
      <c r="Q51" s="36">
        <v>544</v>
      </c>
      <c r="R51" s="43">
        <f t="shared" si="23"/>
        <v>156</v>
      </c>
      <c r="S51" s="43">
        <f t="shared" si="24"/>
        <v>0</v>
      </c>
      <c r="T51" s="41">
        <f t="shared" si="25"/>
        <v>0</v>
      </c>
      <c r="U51" s="44">
        <f t="shared" si="26"/>
        <v>700</v>
      </c>
      <c r="V51" s="45">
        <f t="shared" si="27"/>
        <v>978831.00000000012</v>
      </c>
      <c r="W51" s="36">
        <v>686</v>
      </c>
      <c r="X51" s="86">
        <v>959254.38000000012</v>
      </c>
      <c r="Y51" s="199">
        <v>1328.905</v>
      </c>
      <c r="Z51" s="44">
        <v>330</v>
      </c>
      <c r="AA51" s="41">
        <f t="shared" si="5"/>
        <v>438538.64999999997</v>
      </c>
      <c r="AB51" s="44">
        <v>0</v>
      </c>
      <c r="AC51" s="44">
        <f t="shared" si="28"/>
        <v>0</v>
      </c>
      <c r="AD51" s="44">
        <f t="shared" si="7"/>
        <v>330</v>
      </c>
      <c r="AE51" s="111">
        <f t="shared" si="8"/>
        <v>438538.64999999997</v>
      </c>
      <c r="AF51" s="51" t="s">
        <v>578</v>
      </c>
      <c r="AG51" s="115"/>
      <c r="AH51" s="35">
        <v>0</v>
      </c>
      <c r="AI51" s="36">
        <v>0</v>
      </c>
      <c r="AJ51" s="36">
        <v>0</v>
      </c>
      <c r="AK51" s="36"/>
      <c r="AL51" s="36">
        <v>0</v>
      </c>
      <c r="AM51" s="36">
        <v>0</v>
      </c>
      <c r="AN51" s="46">
        <v>0</v>
      </c>
      <c r="AO51" s="100">
        <f t="shared" si="29"/>
        <v>0</v>
      </c>
      <c r="AP51" s="3">
        <f t="shared" si="10"/>
        <v>0</v>
      </c>
    </row>
    <row r="52" spans="1:42" x14ac:dyDescent="0.2">
      <c r="A52" s="35" t="s">
        <v>108</v>
      </c>
      <c r="B52" s="37" t="s">
        <v>556</v>
      </c>
      <c r="C52" s="37" t="s">
        <v>578</v>
      </c>
      <c r="D52" s="52">
        <v>46022</v>
      </c>
      <c r="E52" s="38" t="s">
        <v>764</v>
      </c>
      <c r="F52" s="36" t="s">
        <v>559</v>
      </c>
      <c r="G52" s="36" t="s">
        <v>607</v>
      </c>
      <c r="H52" s="39">
        <v>672</v>
      </c>
      <c r="I52" s="40">
        <v>450860.43</v>
      </c>
      <c r="J52" s="39">
        <v>923</v>
      </c>
      <c r="K52" s="40">
        <v>719706.7</v>
      </c>
      <c r="L52" s="37" t="s">
        <v>578</v>
      </c>
      <c r="M52" s="41">
        <v>872.05607734806642</v>
      </c>
      <c r="N52" s="42">
        <v>0</v>
      </c>
      <c r="O52" s="36">
        <v>362</v>
      </c>
      <c r="P52" s="41">
        <f t="shared" si="22"/>
        <v>315684.30000000005</v>
      </c>
      <c r="Q52" s="36">
        <v>725</v>
      </c>
      <c r="R52" s="43">
        <f t="shared" si="23"/>
        <v>-363</v>
      </c>
      <c r="S52" s="43">
        <f t="shared" si="24"/>
        <v>263</v>
      </c>
      <c r="T52" s="41">
        <f t="shared" si="25"/>
        <v>229350.74834254148</v>
      </c>
      <c r="U52" s="44">
        <f>500+125</f>
        <v>625</v>
      </c>
      <c r="V52" s="45">
        <f t="shared" si="27"/>
        <v>545035.04834254156</v>
      </c>
      <c r="W52" s="36">
        <v>362</v>
      </c>
      <c r="X52" s="86">
        <v>315684.30000000005</v>
      </c>
      <c r="Y52" s="199">
        <f>VLOOKUP(A52,'[1]2026-2028'!$B$3:$X$32,23,FALSE)</f>
        <v>862.91599999999994</v>
      </c>
      <c r="Z52" s="44">
        <v>0</v>
      </c>
      <c r="AA52" s="41">
        <f t="shared" si="5"/>
        <v>0</v>
      </c>
      <c r="AB52" s="44">
        <v>0</v>
      </c>
      <c r="AC52" s="44">
        <f t="shared" si="28"/>
        <v>500</v>
      </c>
      <c r="AD52" s="44">
        <f t="shared" si="7"/>
        <v>500</v>
      </c>
      <c r="AE52" s="111">
        <f t="shared" si="8"/>
        <v>431457.99999999994</v>
      </c>
      <c r="AF52" s="51" t="s">
        <v>578</v>
      </c>
      <c r="AG52" s="115"/>
      <c r="AH52" s="35">
        <v>0</v>
      </c>
      <c r="AI52" s="36">
        <v>0</v>
      </c>
      <c r="AJ52" s="36">
        <v>0</v>
      </c>
      <c r="AK52" s="50">
        <v>500</v>
      </c>
      <c r="AL52" s="36">
        <v>0</v>
      </c>
      <c r="AM52" s="36">
        <v>0</v>
      </c>
      <c r="AN52" s="46">
        <v>0</v>
      </c>
      <c r="AO52" s="100">
        <f t="shared" si="29"/>
        <v>500</v>
      </c>
      <c r="AP52" s="3">
        <f t="shared" si="10"/>
        <v>431457.99999999994</v>
      </c>
    </row>
    <row r="53" spans="1:42" x14ac:dyDescent="0.2">
      <c r="A53" s="35" t="s">
        <v>409</v>
      </c>
      <c r="B53" s="37" t="s">
        <v>556</v>
      </c>
      <c r="C53" s="37" t="s">
        <v>578</v>
      </c>
      <c r="D53" s="52">
        <v>46387</v>
      </c>
      <c r="E53" s="38" t="s">
        <v>758</v>
      </c>
      <c r="F53" s="36" t="s">
        <v>555</v>
      </c>
      <c r="G53" s="36" t="s">
        <v>591</v>
      </c>
      <c r="H53" s="39">
        <v>50</v>
      </c>
      <c r="I53" s="40">
        <v>3600</v>
      </c>
      <c r="J53" s="39">
        <v>0</v>
      </c>
      <c r="K53" s="40">
        <v>0</v>
      </c>
      <c r="L53" s="37" t="s">
        <v>571</v>
      </c>
      <c r="M53" s="41">
        <v>65.099999999999994</v>
      </c>
      <c r="N53" s="42">
        <v>0</v>
      </c>
      <c r="O53" s="36">
        <v>10000</v>
      </c>
      <c r="P53" s="41">
        <f t="shared" si="22"/>
        <v>651000</v>
      </c>
      <c r="Q53" s="36">
        <v>6500</v>
      </c>
      <c r="R53" s="43">
        <f t="shared" si="23"/>
        <v>3500</v>
      </c>
      <c r="S53" s="43">
        <f t="shared" si="24"/>
        <v>-2000</v>
      </c>
      <c r="T53" s="41">
        <f t="shared" si="25"/>
        <v>-130199.99999999999</v>
      </c>
      <c r="U53" s="44">
        <f>O53/1.25</f>
        <v>8000</v>
      </c>
      <c r="V53" s="45">
        <f t="shared" si="27"/>
        <v>520799.99999999994</v>
      </c>
      <c r="W53" s="36">
        <v>15560</v>
      </c>
      <c r="X53" s="86">
        <v>1012956</v>
      </c>
      <c r="Y53" s="199">
        <v>65.099999999999994</v>
      </c>
      <c r="Z53" s="44">
        <v>1440</v>
      </c>
      <c r="AA53" s="41">
        <f t="shared" si="5"/>
        <v>93743.999999999985</v>
      </c>
      <c r="AB53" s="44">
        <v>0</v>
      </c>
      <c r="AC53" s="44">
        <f t="shared" si="28"/>
        <v>5000</v>
      </c>
      <c r="AD53" s="44">
        <f t="shared" si="7"/>
        <v>6440</v>
      </c>
      <c r="AE53" s="111">
        <f t="shared" si="8"/>
        <v>419243.99999999994</v>
      </c>
      <c r="AF53" s="51" t="s">
        <v>578</v>
      </c>
      <c r="AG53" s="115" t="s">
        <v>747</v>
      </c>
      <c r="AH53" s="35">
        <v>0</v>
      </c>
      <c r="AI53" s="36">
        <v>5000</v>
      </c>
      <c r="AJ53" s="36">
        <v>0</v>
      </c>
      <c r="AK53" s="36"/>
      <c r="AL53" s="36">
        <v>0</v>
      </c>
      <c r="AM53" s="36">
        <v>0</v>
      </c>
      <c r="AN53" s="46">
        <v>0</v>
      </c>
      <c r="AO53" s="100">
        <f t="shared" si="29"/>
        <v>5000</v>
      </c>
      <c r="AP53" s="3">
        <f t="shared" si="10"/>
        <v>325500</v>
      </c>
    </row>
    <row r="54" spans="1:42" x14ac:dyDescent="0.2">
      <c r="A54" s="35" t="s">
        <v>219</v>
      </c>
      <c r="B54" s="37" t="s">
        <v>556</v>
      </c>
      <c r="C54" s="37" t="s">
        <v>571</v>
      </c>
      <c r="D54" s="52"/>
      <c r="E54" s="38" t="s">
        <v>769</v>
      </c>
      <c r="F54" s="36" t="s">
        <v>559</v>
      </c>
      <c r="G54" s="36" t="s">
        <v>599</v>
      </c>
      <c r="H54" s="39">
        <v>4000</v>
      </c>
      <c r="I54" s="40">
        <v>259440</v>
      </c>
      <c r="J54" s="39">
        <v>6500</v>
      </c>
      <c r="K54" s="40">
        <v>426990</v>
      </c>
      <c r="L54" s="37" t="s">
        <v>578</v>
      </c>
      <c r="M54" s="47">
        <v>67.35375520399667</v>
      </c>
      <c r="N54" s="48">
        <v>0</v>
      </c>
      <c r="O54" s="36">
        <v>4500</v>
      </c>
      <c r="P54" s="47">
        <f t="shared" si="22"/>
        <v>303091.89841798501</v>
      </c>
      <c r="Q54" s="36">
        <v>6000</v>
      </c>
      <c r="R54" s="43">
        <f t="shared" si="23"/>
        <v>-1500</v>
      </c>
      <c r="S54" s="43">
        <f t="shared" si="24"/>
        <v>2000</v>
      </c>
      <c r="T54" s="47">
        <f t="shared" si="25"/>
        <v>134707.51040799334</v>
      </c>
      <c r="U54" s="44">
        <v>6500</v>
      </c>
      <c r="V54" s="45">
        <f t="shared" si="27"/>
        <v>437799.40882597835</v>
      </c>
      <c r="W54" s="36">
        <v>6005</v>
      </c>
      <c r="X54" s="86">
        <v>404459.3</v>
      </c>
      <c r="Y54" s="199">
        <v>68.33</v>
      </c>
      <c r="Z54" s="44">
        <v>1000</v>
      </c>
      <c r="AA54" s="41">
        <f t="shared" si="5"/>
        <v>68330</v>
      </c>
      <c r="AB54" s="44">
        <v>0</v>
      </c>
      <c r="AC54" s="44">
        <f t="shared" si="28"/>
        <v>5000</v>
      </c>
      <c r="AD54" s="44">
        <f t="shared" si="7"/>
        <v>6000</v>
      </c>
      <c r="AE54" s="111">
        <f t="shared" si="8"/>
        <v>409980</v>
      </c>
      <c r="AF54" s="51" t="s">
        <v>578</v>
      </c>
      <c r="AG54" s="115"/>
      <c r="AH54" s="35">
        <v>0</v>
      </c>
      <c r="AI54" s="36">
        <v>0</v>
      </c>
      <c r="AJ54" s="36">
        <v>0</v>
      </c>
      <c r="AK54" s="36"/>
      <c r="AL54" s="36">
        <v>0</v>
      </c>
      <c r="AM54" s="36">
        <v>5000</v>
      </c>
      <c r="AN54" s="46">
        <v>0</v>
      </c>
      <c r="AO54" s="100">
        <f t="shared" si="29"/>
        <v>5000</v>
      </c>
      <c r="AP54" s="3">
        <f t="shared" si="10"/>
        <v>341650</v>
      </c>
    </row>
    <row r="55" spans="1:42" x14ac:dyDescent="0.2">
      <c r="A55" s="35" t="s">
        <v>247</v>
      </c>
      <c r="B55" s="37" t="s">
        <v>556</v>
      </c>
      <c r="C55" s="37" t="s">
        <v>578</v>
      </c>
      <c r="D55" s="52">
        <v>46022</v>
      </c>
      <c r="E55" s="38" t="s">
        <v>753</v>
      </c>
      <c r="F55" s="36" t="s">
        <v>559</v>
      </c>
      <c r="G55" s="36" t="s">
        <v>608</v>
      </c>
      <c r="H55" s="39">
        <v>1405</v>
      </c>
      <c r="I55" s="40">
        <v>152744.95000000001</v>
      </c>
      <c r="J55" s="39">
        <v>872</v>
      </c>
      <c r="K55" s="40">
        <v>101474.5</v>
      </c>
      <c r="L55" s="37" t="s">
        <v>578</v>
      </c>
      <c r="M55" s="41">
        <v>143.39304029304029</v>
      </c>
      <c r="N55" s="42">
        <v>0</v>
      </c>
      <c r="O55" s="36">
        <v>1665</v>
      </c>
      <c r="P55" s="41">
        <f t="shared" si="22"/>
        <v>238749.41208791209</v>
      </c>
      <c r="Q55" s="36">
        <v>0</v>
      </c>
      <c r="R55" s="43">
        <f t="shared" si="23"/>
        <v>1665</v>
      </c>
      <c r="S55" s="43">
        <f t="shared" si="24"/>
        <v>0</v>
      </c>
      <c r="T55" s="41">
        <f t="shared" si="25"/>
        <v>0</v>
      </c>
      <c r="U55" s="44">
        <v>1665</v>
      </c>
      <c r="V55" s="45">
        <f t="shared" si="27"/>
        <v>238749.41208791209</v>
      </c>
      <c r="W55" s="36">
        <v>1911</v>
      </c>
      <c r="X55" s="86">
        <v>274024.09999999998</v>
      </c>
      <c r="Y55" s="199">
        <v>148.60857142857142</v>
      </c>
      <c r="Z55" s="44">
        <v>1119</v>
      </c>
      <c r="AA55" s="41">
        <f t="shared" si="5"/>
        <v>166292.99142857143</v>
      </c>
      <c r="AB55" s="44">
        <v>1600</v>
      </c>
      <c r="AC55" s="44">
        <f t="shared" si="28"/>
        <v>1600</v>
      </c>
      <c r="AD55" s="44">
        <f t="shared" si="7"/>
        <v>2719</v>
      </c>
      <c r="AE55" s="111">
        <f t="shared" si="8"/>
        <v>404066.70571428572</v>
      </c>
      <c r="AF55" s="51" t="s">
        <v>578</v>
      </c>
      <c r="AG55" s="115"/>
      <c r="AH55" s="35">
        <v>0</v>
      </c>
      <c r="AI55" s="36">
        <v>0</v>
      </c>
      <c r="AJ55" s="36">
        <v>0</v>
      </c>
      <c r="AK55" s="36"/>
      <c r="AL55" s="36">
        <v>0</v>
      </c>
      <c r="AM55" s="36">
        <v>0</v>
      </c>
      <c r="AN55" s="46">
        <v>0</v>
      </c>
      <c r="AO55" s="100">
        <f t="shared" si="29"/>
        <v>0</v>
      </c>
      <c r="AP55" s="3">
        <f t="shared" si="10"/>
        <v>237773.71428571429</v>
      </c>
    </row>
    <row r="56" spans="1:42" x14ac:dyDescent="0.2">
      <c r="A56" s="35" t="s">
        <v>302</v>
      </c>
      <c r="B56" s="37" t="s">
        <v>556</v>
      </c>
      <c r="C56" s="37" t="s">
        <v>578</v>
      </c>
      <c r="D56" s="52">
        <v>46387</v>
      </c>
      <c r="E56" s="38" t="s">
        <v>754</v>
      </c>
      <c r="F56" s="36" t="s">
        <v>557</v>
      </c>
      <c r="G56" s="36" t="s">
        <v>610</v>
      </c>
      <c r="H56" s="39">
        <v>5943</v>
      </c>
      <c r="I56" s="40">
        <v>434247.58000000007</v>
      </c>
      <c r="J56" s="39">
        <v>2205</v>
      </c>
      <c r="K56" s="40">
        <v>181913.59999999998</v>
      </c>
      <c r="L56" s="37" t="s">
        <v>578</v>
      </c>
      <c r="M56" s="41">
        <v>86.133387671930734</v>
      </c>
      <c r="N56" s="42">
        <v>0</v>
      </c>
      <c r="O56" s="36">
        <v>1982</v>
      </c>
      <c r="P56" s="41">
        <f t="shared" si="22"/>
        <v>170716.37436576671</v>
      </c>
      <c r="Q56" s="36">
        <v>3000</v>
      </c>
      <c r="R56" s="43">
        <f t="shared" si="23"/>
        <v>-1018</v>
      </c>
      <c r="S56" s="43">
        <f t="shared" si="24"/>
        <v>18</v>
      </c>
      <c r="T56" s="41">
        <f t="shared" si="25"/>
        <v>1550.4009780947531</v>
      </c>
      <c r="U56" s="44">
        <v>2000</v>
      </c>
      <c r="V56" s="45">
        <f t="shared" si="27"/>
        <v>172266.77534386146</v>
      </c>
      <c r="W56" s="36">
        <v>3926</v>
      </c>
      <c r="X56" s="86">
        <v>338159.68000000005</v>
      </c>
      <c r="Y56" s="199">
        <v>85.79</v>
      </c>
      <c r="Z56" s="44">
        <v>2717</v>
      </c>
      <c r="AA56" s="41">
        <f t="shared" si="5"/>
        <v>233091.43000000002</v>
      </c>
      <c r="AB56" s="44">
        <v>0</v>
      </c>
      <c r="AC56" s="44">
        <f t="shared" si="28"/>
        <v>1938</v>
      </c>
      <c r="AD56" s="44">
        <f t="shared" si="7"/>
        <v>4655</v>
      </c>
      <c r="AE56" s="111">
        <f t="shared" si="8"/>
        <v>399352.45</v>
      </c>
      <c r="AF56" s="51" t="s">
        <v>578</v>
      </c>
      <c r="AG56" s="115" t="s">
        <v>1038</v>
      </c>
      <c r="AH56" s="35">
        <v>1438</v>
      </c>
      <c r="AI56" s="36">
        <v>0</v>
      </c>
      <c r="AJ56" s="36">
        <v>250</v>
      </c>
      <c r="AK56" s="36"/>
      <c r="AL56" s="36">
        <v>250</v>
      </c>
      <c r="AM56" s="36">
        <v>0</v>
      </c>
      <c r="AN56" s="46">
        <v>0</v>
      </c>
      <c r="AO56" s="100">
        <f t="shared" si="29"/>
        <v>1938</v>
      </c>
      <c r="AP56" s="3">
        <f t="shared" si="10"/>
        <v>166261.02000000002</v>
      </c>
    </row>
    <row r="57" spans="1:42" x14ac:dyDescent="0.2">
      <c r="A57" s="35" t="s">
        <v>218</v>
      </c>
      <c r="B57" s="37" t="s">
        <v>556</v>
      </c>
      <c r="C57" s="37" t="s">
        <v>571</v>
      </c>
      <c r="D57" s="52"/>
      <c r="E57" s="38" t="s">
        <v>769</v>
      </c>
      <c r="F57" s="36" t="s">
        <v>559</v>
      </c>
      <c r="G57" s="36" t="s">
        <v>599</v>
      </c>
      <c r="H57" s="39">
        <v>3000</v>
      </c>
      <c r="I57" s="40">
        <v>189060</v>
      </c>
      <c r="J57" s="39">
        <v>4833</v>
      </c>
      <c r="K57" s="40">
        <v>306050.07</v>
      </c>
      <c r="L57" s="37" t="s">
        <v>578</v>
      </c>
      <c r="M57" s="47">
        <v>65.041547987616099</v>
      </c>
      <c r="N57" s="48">
        <v>0</v>
      </c>
      <c r="O57" s="36">
        <v>3167</v>
      </c>
      <c r="P57" s="47">
        <f t="shared" si="22"/>
        <v>205986.5824767802</v>
      </c>
      <c r="Q57" s="36">
        <v>5000</v>
      </c>
      <c r="R57" s="43">
        <f t="shared" si="23"/>
        <v>-1833</v>
      </c>
      <c r="S57" s="43">
        <f t="shared" si="24"/>
        <v>1000</v>
      </c>
      <c r="T57" s="47">
        <f t="shared" si="25"/>
        <v>65041.547987616097</v>
      </c>
      <c r="U57" s="44">
        <v>4167</v>
      </c>
      <c r="V57" s="45">
        <f t="shared" si="27"/>
        <v>271028.13046439626</v>
      </c>
      <c r="W57" s="36">
        <v>5168</v>
      </c>
      <c r="X57" s="86">
        <v>336134.72</v>
      </c>
      <c r="Y57" s="199">
        <v>65.44</v>
      </c>
      <c r="Z57" s="44">
        <v>2000</v>
      </c>
      <c r="AA57" s="41">
        <f t="shared" si="5"/>
        <v>130880</v>
      </c>
      <c r="AB57" s="44">
        <v>0</v>
      </c>
      <c r="AC57" s="44">
        <f t="shared" si="28"/>
        <v>4000</v>
      </c>
      <c r="AD57" s="44">
        <f t="shared" si="7"/>
        <v>6000</v>
      </c>
      <c r="AE57" s="111">
        <f t="shared" si="8"/>
        <v>392640</v>
      </c>
      <c r="AF57" s="51" t="s">
        <v>578</v>
      </c>
      <c r="AG57" s="115"/>
      <c r="AH57" s="35">
        <v>0</v>
      </c>
      <c r="AI57" s="36">
        <v>0</v>
      </c>
      <c r="AJ57" s="36">
        <v>0</v>
      </c>
      <c r="AK57" s="36"/>
      <c r="AL57" s="36">
        <v>0</v>
      </c>
      <c r="AM57" s="36">
        <v>4000</v>
      </c>
      <c r="AN57" s="46">
        <v>0</v>
      </c>
      <c r="AO57" s="100">
        <f t="shared" si="29"/>
        <v>4000</v>
      </c>
      <c r="AP57" s="3">
        <f t="shared" si="10"/>
        <v>261760</v>
      </c>
    </row>
    <row r="58" spans="1:42" x14ac:dyDescent="0.2">
      <c r="A58" s="35" t="s">
        <v>1023</v>
      </c>
      <c r="B58" s="156" t="s">
        <v>556</v>
      </c>
      <c r="C58" s="37" t="s">
        <v>571</v>
      </c>
      <c r="D58" s="52"/>
      <c r="E58" s="38" t="s">
        <v>594</v>
      </c>
      <c r="F58" s="36" t="s">
        <v>555</v>
      </c>
      <c r="G58" s="36" t="s">
        <v>624</v>
      </c>
      <c r="H58" s="39"/>
      <c r="I58" s="40"/>
      <c r="J58" s="39"/>
      <c r="K58" s="40"/>
      <c r="L58" s="37"/>
      <c r="M58" s="41"/>
      <c r="N58" s="42"/>
      <c r="O58" s="36"/>
      <c r="P58" s="41"/>
      <c r="Q58" s="36"/>
      <c r="R58" s="43"/>
      <c r="S58" s="43"/>
      <c r="T58" s="41"/>
      <c r="U58" s="44"/>
      <c r="V58" s="45"/>
      <c r="W58" s="36"/>
      <c r="X58" s="86"/>
      <c r="Y58" s="199">
        <v>6343.4</v>
      </c>
      <c r="Z58" s="44">
        <v>60</v>
      </c>
      <c r="AA58" s="41">
        <f t="shared" si="5"/>
        <v>380604</v>
      </c>
      <c r="AB58" s="44">
        <v>0</v>
      </c>
      <c r="AC58" s="44">
        <v>0</v>
      </c>
      <c r="AD58" s="44">
        <f t="shared" si="7"/>
        <v>60</v>
      </c>
      <c r="AE58" s="111">
        <f t="shared" si="8"/>
        <v>380604</v>
      </c>
      <c r="AF58" s="51" t="s">
        <v>571</v>
      </c>
      <c r="AG58" s="115"/>
      <c r="AH58" s="35">
        <v>0</v>
      </c>
      <c r="AI58" s="36">
        <v>0</v>
      </c>
      <c r="AJ58" s="36">
        <v>0</v>
      </c>
      <c r="AK58" s="36"/>
      <c r="AL58" s="36">
        <v>0</v>
      </c>
      <c r="AM58" s="36">
        <v>0</v>
      </c>
      <c r="AN58" s="46">
        <v>0</v>
      </c>
      <c r="AO58" s="100"/>
      <c r="AP58" s="3">
        <f t="shared" si="10"/>
        <v>0</v>
      </c>
    </row>
    <row r="59" spans="1:42" x14ac:dyDescent="0.2">
      <c r="A59" s="35" t="s">
        <v>1020</v>
      </c>
      <c r="B59" s="156" t="s">
        <v>556</v>
      </c>
      <c r="C59" s="37" t="s">
        <v>571</v>
      </c>
      <c r="D59" s="52"/>
      <c r="E59" s="38" t="s">
        <v>594</v>
      </c>
      <c r="F59" s="36" t="s">
        <v>555</v>
      </c>
      <c r="G59" s="36" t="s">
        <v>624</v>
      </c>
      <c r="H59" s="39"/>
      <c r="I59" s="40"/>
      <c r="J59" s="39"/>
      <c r="K59" s="40"/>
      <c r="L59" s="37"/>
      <c r="M59" s="41"/>
      <c r="N59" s="42"/>
      <c r="O59" s="36"/>
      <c r="P59" s="41"/>
      <c r="Q59" s="36"/>
      <c r="R59" s="43"/>
      <c r="S59" s="43"/>
      <c r="T59" s="41"/>
      <c r="U59" s="44"/>
      <c r="V59" s="45"/>
      <c r="W59" s="36"/>
      <c r="X59" s="86"/>
      <c r="Y59" s="199">
        <v>6343</v>
      </c>
      <c r="Z59" s="44">
        <v>60</v>
      </c>
      <c r="AA59" s="41">
        <f t="shared" si="5"/>
        <v>380580</v>
      </c>
      <c r="AB59" s="44">
        <v>0</v>
      </c>
      <c r="AC59" s="44">
        <v>0</v>
      </c>
      <c r="AD59" s="44">
        <f t="shared" si="7"/>
        <v>60</v>
      </c>
      <c r="AE59" s="111">
        <f t="shared" si="8"/>
        <v>380580</v>
      </c>
      <c r="AF59" s="51" t="s">
        <v>571</v>
      </c>
      <c r="AG59" s="115"/>
      <c r="AH59" s="35">
        <v>0</v>
      </c>
      <c r="AI59" s="36">
        <v>0</v>
      </c>
      <c r="AJ59" s="36">
        <v>0</v>
      </c>
      <c r="AK59" s="36"/>
      <c r="AL59" s="36">
        <v>0</v>
      </c>
      <c r="AM59" s="36">
        <v>0</v>
      </c>
      <c r="AN59" s="46">
        <v>0</v>
      </c>
      <c r="AO59" s="100"/>
      <c r="AP59" s="3">
        <f t="shared" si="10"/>
        <v>0</v>
      </c>
    </row>
    <row r="60" spans="1:42" x14ac:dyDescent="0.2">
      <c r="A60" s="35" t="s">
        <v>110</v>
      </c>
      <c r="B60" s="37" t="s">
        <v>556</v>
      </c>
      <c r="C60" s="37" t="s">
        <v>578</v>
      </c>
      <c r="D60" s="52">
        <v>46752</v>
      </c>
      <c r="E60" s="38" t="s">
        <v>772</v>
      </c>
      <c r="F60" s="36" t="s">
        <v>559</v>
      </c>
      <c r="G60" s="36" t="s">
        <v>603</v>
      </c>
      <c r="H60" s="39">
        <v>1756</v>
      </c>
      <c r="I60" s="40">
        <v>198109.44999999998</v>
      </c>
      <c r="J60" s="39">
        <v>1597</v>
      </c>
      <c r="K60" s="40">
        <v>180822.41999999998</v>
      </c>
      <c r="L60" s="37" t="s">
        <v>578</v>
      </c>
      <c r="M60" s="41">
        <v>120.66363636363636</v>
      </c>
      <c r="N60" s="42">
        <v>0</v>
      </c>
      <c r="O60" s="36">
        <v>2400</v>
      </c>
      <c r="P60" s="41">
        <f t="shared" ref="P60:P72" si="30">(N60+O60)*M60</f>
        <v>289592.72727272724</v>
      </c>
      <c r="Q60" s="36">
        <v>2000</v>
      </c>
      <c r="R60" s="43">
        <f t="shared" ref="R60:R72" si="31">O60-Q60</f>
        <v>400</v>
      </c>
      <c r="S60" s="43">
        <f t="shared" ref="S60:S72" si="32">U60-O60</f>
        <v>0</v>
      </c>
      <c r="T60" s="41">
        <f t="shared" ref="T60:T72" si="33">S60*M60</f>
        <v>0</v>
      </c>
      <c r="U60" s="44">
        <f>O60</f>
        <v>2400</v>
      </c>
      <c r="V60" s="45">
        <f t="shared" ref="V60:V72" si="34">U60*M60</f>
        <v>289592.72727272724</v>
      </c>
      <c r="W60" s="36">
        <v>2200</v>
      </c>
      <c r="X60" s="86">
        <v>265460</v>
      </c>
      <c r="Y60" s="199">
        <v>122.12</v>
      </c>
      <c r="Z60" s="44">
        <v>800</v>
      </c>
      <c r="AA60" s="41">
        <f t="shared" si="5"/>
        <v>97696</v>
      </c>
      <c r="AB60" s="44">
        <v>0</v>
      </c>
      <c r="AC60" s="44">
        <f>AB60+AO60</f>
        <v>2310</v>
      </c>
      <c r="AD60" s="44">
        <f t="shared" si="7"/>
        <v>3110</v>
      </c>
      <c r="AE60" s="111">
        <f t="shared" si="8"/>
        <v>379793.2</v>
      </c>
      <c r="AF60" s="51" t="s">
        <v>578</v>
      </c>
      <c r="AG60" s="115"/>
      <c r="AH60" s="35">
        <v>2310</v>
      </c>
      <c r="AI60" s="36">
        <v>0</v>
      </c>
      <c r="AJ60" s="36">
        <v>0</v>
      </c>
      <c r="AK60" s="36"/>
      <c r="AL60" s="36">
        <v>0</v>
      </c>
      <c r="AM60" s="36">
        <v>0</v>
      </c>
      <c r="AN60" s="46">
        <v>0</v>
      </c>
      <c r="AO60" s="100">
        <f t="shared" ref="AO60:AO91" si="35">SUM(AH60:AN60)</f>
        <v>2310</v>
      </c>
      <c r="AP60" s="3">
        <f t="shared" si="10"/>
        <v>282097.2</v>
      </c>
    </row>
    <row r="61" spans="1:42" x14ac:dyDescent="0.2">
      <c r="A61" s="35" t="s">
        <v>249</v>
      </c>
      <c r="B61" s="37" t="s">
        <v>556</v>
      </c>
      <c r="C61" s="37" t="s">
        <v>578</v>
      </c>
      <c r="D61" s="52">
        <v>46387</v>
      </c>
      <c r="E61" s="38" t="s">
        <v>754</v>
      </c>
      <c r="F61" s="36" t="s">
        <v>559</v>
      </c>
      <c r="G61" s="36" t="s">
        <v>585</v>
      </c>
      <c r="H61" s="39">
        <v>2236</v>
      </c>
      <c r="I61" s="40">
        <v>240101.68000000008</v>
      </c>
      <c r="J61" s="39">
        <v>1668</v>
      </c>
      <c r="K61" s="40">
        <v>179109.84</v>
      </c>
      <c r="L61" s="37" t="s">
        <v>578</v>
      </c>
      <c r="M61" s="41">
        <v>107.38000000000001</v>
      </c>
      <c r="N61" s="42">
        <v>0</v>
      </c>
      <c r="O61" s="36">
        <v>2041</v>
      </c>
      <c r="P61" s="41">
        <f t="shared" si="30"/>
        <v>219162.58000000002</v>
      </c>
      <c r="Q61" s="36">
        <v>1250</v>
      </c>
      <c r="R61" s="43">
        <f t="shared" si="31"/>
        <v>791</v>
      </c>
      <c r="S61" s="43">
        <f t="shared" si="32"/>
        <v>459</v>
      </c>
      <c r="T61" s="41">
        <f t="shared" si="33"/>
        <v>49287.420000000006</v>
      </c>
      <c r="U61" s="44">
        <v>2500</v>
      </c>
      <c r="V61" s="45">
        <f t="shared" si="34"/>
        <v>268450</v>
      </c>
      <c r="W61" s="36">
        <v>2041</v>
      </c>
      <c r="X61" s="86">
        <v>219162.58000000002</v>
      </c>
      <c r="Y61" s="199">
        <v>107.38000000000001</v>
      </c>
      <c r="Z61" s="44">
        <v>1348</v>
      </c>
      <c r="AA61" s="41">
        <f t="shared" si="5"/>
        <v>144748.24000000002</v>
      </c>
      <c r="AB61" s="44">
        <v>0</v>
      </c>
      <c r="AC61" s="44">
        <f>AB61+AO61</f>
        <v>2096</v>
      </c>
      <c r="AD61" s="44">
        <f t="shared" si="7"/>
        <v>3444</v>
      </c>
      <c r="AE61" s="111">
        <f t="shared" si="8"/>
        <v>369816.72000000003</v>
      </c>
      <c r="AF61" s="51" t="s">
        <v>578</v>
      </c>
      <c r="AG61" s="115"/>
      <c r="AH61" s="35">
        <v>1096</v>
      </c>
      <c r="AI61" s="36">
        <v>0</v>
      </c>
      <c r="AJ61" s="36">
        <v>1000</v>
      </c>
      <c r="AK61" s="36"/>
      <c r="AL61" s="36">
        <v>0</v>
      </c>
      <c r="AM61" s="36">
        <v>0</v>
      </c>
      <c r="AN61" s="46">
        <v>0</v>
      </c>
      <c r="AO61" s="100">
        <f t="shared" si="35"/>
        <v>2096</v>
      </c>
      <c r="AP61" s="3">
        <f t="shared" si="10"/>
        <v>225068.48</v>
      </c>
    </row>
    <row r="62" spans="1:42" x14ac:dyDescent="0.2">
      <c r="A62" s="35" t="s">
        <v>465</v>
      </c>
      <c r="B62" s="37" t="s">
        <v>556</v>
      </c>
      <c r="C62" s="37" t="s">
        <v>578</v>
      </c>
      <c r="D62" s="52">
        <v>46387</v>
      </c>
      <c r="E62" s="38" t="s">
        <v>754</v>
      </c>
      <c r="F62" s="36" t="s">
        <v>557</v>
      </c>
      <c r="G62" s="36" t="s">
        <v>610</v>
      </c>
      <c r="H62" s="39">
        <v>2114</v>
      </c>
      <c r="I62" s="40">
        <v>336672</v>
      </c>
      <c r="J62" s="39">
        <v>4582</v>
      </c>
      <c r="K62" s="40">
        <v>769776</v>
      </c>
      <c r="L62" s="37" t="s">
        <v>571</v>
      </c>
      <c r="M62" s="41">
        <v>188.28000000000003</v>
      </c>
      <c r="N62" s="42">
        <v>0</v>
      </c>
      <c r="O62" s="36">
        <v>0</v>
      </c>
      <c r="P62" s="41">
        <f t="shared" si="30"/>
        <v>0</v>
      </c>
      <c r="Q62" s="36">
        <v>5393</v>
      </c>
      <c r="R62" s="43">
        <f t="shared" si="31"/>
        <v>-5393</v>
      </c>
      <c r="S62" s="43">
        <f t="shared" si="32"/>
        <v>1000</v>
      </c>
      <c r="T62" s="41">
        <f t="shared" si="33"/>
        <v>188280.00000000003</v>
      </c>
      <c r="U62" s="44">
        <v>1000</v>
      </c>
      <c r="V62" s="45">
        <f t="shared" si="34"/>
        <v>188280.00000000003</v>
      </c>
      <c r="W62" s="36">
        <v>1107</v>
      </c>
      <c r="X62" s="86">
        <v>208425.96000000002</v>
      </c>
      <c r="Y62" s="199">
        <v>155.4</v>
      </c>
      <c r="Z62" s="44">
        <v>0</v>
      </c>
      <c r="AA62" s="41">
        <f t="shared" si="5"/>
        <v>0</v>
      </c>
      <c r="AB62" s="44">
        <v>0</v>
      </c>
      <c r="AC62" s="44">
        <v>2339</v>
      </c>
      <c r="AD62" s="44">
        <f t="shared" si="7"/>
        <v>2339</v>
      </c>
      <c r="AE62" s="111">
        <f t="shared" si="8"/>
        <v>363480.60000000003</v>
      </c>
      <c r="AF62" s="51" t="s">
        <v>571</v>
      </c>
      <c r="AG62" s="115" t="s">
        <v>1036</v>
      </c>
      <c r="AH62" s="35">
        <v>0</v>
      </c>
      <c r="AI62" s="36">
        <v>0</v>
      </c>
      <c r="AJ62" s="36">
        <v>0</v>
      </c>
      <c r="AK62" s="36"/>
      <c r="AL62" s="36">
        <v>0</v>
      </c>
      <c r="AM62" s="36">
        <v>0</v>
      </c>
      <c r="AN62" s="46">
        <v>0</v>
      </c>
      <c r="AO62" s="100">
        <f t="shared" si="35"/>
        <v>0</v>
      </c>
      <c r="AP62" s="3">
        <f t="shared" si="10"/>
        <v>363480.60000000003</v>
      </c>
    </row>
    <row r="63" spans="1:42" x14ac:dyDescent="0.2">
      <c r="A63" s="35" t="s">
        <v>390</v>
      </c>
      <c r="B63" s="37" t="s">
        <v>556</v>
      </c>
      <c r="C63" s="37" t="s">
        <v>578</v>
      </c>
      <c r="D63" s="52">
        <v>46387</v>
      </c>
      <c r="E63" s="38" t="s">
        <v>758</v>
      </c>
      <c r="F63" s="36" t="s">
        <v>555</v>
      </c>
      <c r="G63" s="36" t="s">
        <v>600</v>
      </c>
      <c r="H63" s="39">
        <v>270</v>
      </c>
      <c r="I63" s="40">
        <v>104079.6</v>
      </c>
      <c r="J63" s="39">
        <v>20</v>
      </c>
      <c r="K63" s="40">
        <v>7709.6</v>
      </c>
      <c r="L63" s="37" t="s">
        <v>571</v>
      </c>
      <c r="M63" s="41">
        <v>361.69000000000005</v>
      </c>
      <c r="N63" s="42">
        <v>0</v>
      </c>
      <c r="O63" s="36">
        <v>1030</v>
      </c>
      <c r="P63" s="41">
        <f t="shared" si="30"/>
        <v>372540.70000000007</v>
      </c>
      <c r="Q63" s="36">
        <v>600</v>
      </c>
      <c r="R63" s="43">
        <f t="shared" si="31"/>
        <v>430</v>
      </c>
      <c r="S63" s="43">
        <f t="shared" si="32"/>
        <v>0</v>
      </c>
      <c r="T63" s="41">
        <f t="shared" si="33"/>
        <v>0</v>
      </c>
      <c r="U63" s="44">
        <f>O63</f>
        <v>1030</v>
      </c>
      <c r="V63" s="45">
        <f t="shared" si="34"/>
        <v>372540.70000000007</v>
      </c>
      <c r="W63" s="36">
        <v>2035</v>
      </c>
      <c r="X63" s="86">
        <v>736039.15000000014</v>
      </c>
      <c r="Y63" s="199">
        <v>361.69</v>
      </c>
      <c r="Z63" s="44">
        <v>1004</v>
      </c>
      <c r="AA63" s="41">
        <f t="shared" si="5"/>
        <v>363136.76</v>
      </c>
      <c r="AB63" s="44">
        <v>0</v>
      </c>
      <c r="AC63" s="44">
        <f t="shared" ref="AC63:AC94" si="36">AB63+AO63</f>
        <v>0</v>
      </c>
      <c r="AD63" s="44">
        <f t="shared" si="7"/>
        <v>1004</v>
      </c>
      <c r="AE63" s="111">
        <f t="shared" si="8"/>
        <v>363136.76</v>
      </c>
      <c r="AF63" s="51" t="s">
        <v>578</v>
      </c>
      <c r="AG63" s="115"/>
      <c r="AH63" s="35">
        <v>0</v>
      </c>
      <c r="AI63" s="36">
        <v>0</v>
      </c>
      <c r="AJ63" s="36">
        <v>0</v>
      </c>
      <c r="AK63" s="36"/>
      <c r="AL63" s="36">
        <v>0</v>
      </c>
      <c r="AM63" s="36">
        <v>0</v>
      </c>
      <c r="AN63" s="46">
        <v>0</v>
      </c>
      <c r="AO63" s="100">
        <f t="shared" si="35"/>
        <v>0</v>
      </c>
      <c r="AP63" s="3">
        <f t="shared" si="10"/>
        <v>0</v>
      </c>
    </row>
    <row r="64" spans="1:42" x14ac:dyDescent="0.2">
      <c r="A64" s="35" t="s">
        <v>336</v>
      </c>
      <c r="B64" s="37" t="s">
        <v>556</v>
      </c>
      <c r="C64" s="37" t="s">
        <v>571</v>
      </c>
      <c r="D64" s="52"/>
      <c r="E64" s="38" t="s">
        <v>809</v>
      </c>
      <c r="F64" s="36" t="s">
        <v>557</v>
      </c>
      <c r="G64" s="36" t="s">
        <v>610</v>
      </c>
      <c r="H64" s="39">
        <v>0</v>
      </c>
      <c r="I64" s="40">
        <v>0</v>
      </c>
      <c r="J64" s="39">
        <v>269</v>
      </c>
      <c r="K64" s="40">
        <v>279771.5</v>
      </c>
      <c r="L64" s="37" t="s">
        <v>571</v>
      </c>
      <c r="M64" s="41">
        <v>1030.5273184357543</v>
      </c>
      <c r="N64" s="42">
        <v>0</v>
      </c>
      <c r="O64" s="36">
        <v>0</v>
      </c>
      <c r="P64" s="41">
        <f t="shared" si="30"/>
        <v>0</v>
      </c>
      <c r="Q64" s="36">
        <v>0</v>
      </c>
      <c r="R64" s="43">
        <f t="shared" si="31"/>
        <v>0</v>
      </c>
      <c r="S64" s="43">
        <f t="shared" si="32"/>
        <v>5</v>
      </c>
      <c r="T64" s="41">
        <f t="shared" si="33"/>
        <v>5152.636592178771</v>
      </c>
      <c r="U64" s="44">
        <v>5</v>
      </c>
      <c r="V64" s="45">
        <f t="shared" si="34"/>
        <v>5152.636592178771</v>
      </c>
      <c r="W64" s="36">
        <v>358</v>
      </c>
      <c r="X64" s="86">
        <v>368928.78</v>
      </c>
      <c r="Y64" s="199">
        <v>1069.31</v>
      </c>
      <c r="Z64" s="44">
        <v>338</v>
      </c>
      <c r="AA64" s="41">
        <f t="shared" si="5"/>
        <v>361426.77999999997</v>
      </c>
      <c r="AB64" s="44">
        <v>0</v>
      </c>
      <c r="AC64" s="44">
        <f t="shared" si="36"/>
        <v>0</v>
      </c>
      <c r="AD64" s="44">
        <f t="shared" si="7"/>
        <v>338</v>
      </c>
      <c r="AE64" s="111">
        <f t="shared" si="8"/>
        <v>361426.77999999997</v>
      </c>
      <c r="AF64" s="51" t="s">
        <v>571</v>
      </c>
      <c r="AG64" s="115"/>
      <c r="AH64" s="35">
        <v>0</v>
      </c>
      <c r="AI64" s="36">
        <v>0</v>
      </c>
      <c r="AJ64" s="36">
        <v>0</v>
      </c>
      <c r="AK64" s="36"/>
      <c r="AL64" s="36">
        <v>0</v>
      </c>
      <c r="AM64" s="36">
        <v>0</v>
      </c>
      <c r="AN64" s="46">
        <v>0</v>
      </c>
      <c r="AO64" s="100">
        <f t="shared" si="35"/>
        <v>0</v>
      </c>
      <c r="AP64" s="3">
        <f t="shared" si="10"/>
        <v>0</v>
      </c>
    </row>
    <row r="65" spans="1:42" x14ac:dyDescent="0.2">
      <c r="A65" s="35" t="s">
        <v>360</v>
      </c>
      <c r="B65" s="37" t="s">
        <v>556</v>
      </c>
      <c r="C65" s="37" t="s">
        <v>578</v>
      </c>
      <c r="D65" s="52">
        <v>46022</v>
      </c>
      <c r="E65" s="38" t="s">
        <v>753</v>
      </c>
      <c r="F65" s="36" t="s">
        <v>557</v>
      </c>
      <c r="G65" s="36" t="s">
        <v>581</v>
      </c>
      <c r="H65" s="39">
        <v>173</v>
      </c>
      <c r="I65" s="40">
        <v>69235.819999999992</v>
      </c>
      <c r="J65" s="39">
        <v>179</v>
      </c>
      <c r="K65" s="40">
        <v>72298.10000000002</v>
      </c>
      <c r="L65" s="37" t="s">
        <v>578</v>
      </c>
      <c r="M65" s="41">
        <v>403.9</v>
      </c>
      <c r="N65" s="42">
        <v>0</v>
      </c>
      <c r="O65" s="36">
        <v>397</v>
      </c>
      <c r="P65" s="41">
        <f t="shared" si="30"/>
        <v>160348.29999999999</v>
      </c>
      <c r="Q65" s="36">
        <v>350</v>
      </c>
      <c r="R65" s="43">
        <f t="shared" si="31"/>
        <v>47</v>
      </c>
      <c r="S65" s="43">
        <f t="shared" si="32"/>
        <v>0</v>
      </c>
      <c r="T65" s="41">
        <f t="shared" si="33"/>
        <v>0</v>
      </c>
      <c r="U65" s="44">
        <f>O65</f>
        <v>397</v>
      </c>
      <c r="V65" s="45">
        <f t="shared" si="34"/>
        <v>160348.29999999999</v>
      </c>
      <c r="W65" s="36">
        <v>272</v>
      </c>
      <c r="X65" s="86">
        <v>109860.79999999999</v>
      </c>
      <c r="Y65" s="199">
        <v>544.87</v>
      </c>
      <c r="Z65" s="44">
        <v>651</v>
      </c>
      <c r="AA65" s="41">
        <f t="shared" si="5"/>
        <v>354710.37</v>
      </c>
      <c r="AB65" s="44">
        <v>0</v>
      </c>
      <c r="AC65" s="44">
        <f t="shared" si="36"/>
        <v>0</v>
      </c>
      <c r="AD65" s="44">
        <f t="shared" si="7"/>
        <v>651</v>
      </c>
      <c r="AE65" s="111">
        <f t="shared" si="8"/>
        <v>354710.37</v>
      </c>
      <c r="AF65" s="51" t="s">
        <v>578</v>
      </c>
      <c r="AG65" s="115"/>
      <c r="AH65" s="35">
        <v>0</v>
      </c>
      <c r="AI65" s="36">
        <v>0</v>
      </c>
      <c r="AJ65" s="36">
        <v>0</v>
      </c>
      <c r="AK65" s="36"/>
      <c r="AL65" s="36">
        <v>0</v>
      </c>
      <c r="AM65" s="36">
        <v>0</v>
      </c>
      <c r="AN65" s="46">
        <v>0</v>
      </c>
      <c r="AO65" s="100">
        <f t="shared" si="35"/>
        <v>0</v>
      </c>
      <c r="AP65" s="3">
        <f t="shared" si="10"/>
        <v>0</v>
      </c>
    </row>
    <row r="66" spans="1:42" x14ac:dyDescent="0.2">
      <c r="A66" s="35" t="s">
        <v>246</v>
      </c>
      <c r="B66" s="37" t="s">
        <v>556</v>
      </c>
      <c r="C66" s="37" t="s">
        <v>578</v>
      </c>
      <c r="D66" s="52">
        <v>46022</v>
      </c>
      <c r="E66" s="38" t="s">
        <v>753</v>
      </c>
      <c r="F66" s="36" t="s">
        <v>559</v>
      </c>
      <c r="G66" s="36" t="s">
        <v>608</v>
      </c>
      <c r="H66" s="39">
        <v>1180</v>
      </c>
      <c r="I66" s="40">
        <v>132769.70000000001</v>
      </c>
      <c r="J66" s="39">
        <v>900</v>
      </c>
      <c r="K66" s="40">
        <v>101391.6</v>
      </c>
      <c r="L66" s="37" t="s">
        <v>578</v>
      </c>
      <c r="M66" s="41">
        <v>145.15192442267318</v>
      </c>
      <c r="N66" s="42">
        <v>0</v>
      </c>
      <c r="O66" s="36">
        <v>826</v>
      </c>
      <c r="P66" s="41">
        <f t="shared" si="30"/>
        <v>119895.48957312804</v>
      </c>
      <c r="Q66" s="36">
        <v>0</v>
      </c>
      <c r="R66" s="43">
        <f t="shared" si="31"/>
        <v>826</v>
      </c>
      <c r="S66" s="43">
        <f t="shared" si="32"/>
        <v>74</v>
      </c>
      <c r="T66" s="41">
        <f t="shared" si="33"/>
        <v>10741.242407277816</v>
      </c>
      <c r="U66" s="44">
        <v>900</v>
      </c>
      <c r="V66" s="45">
        <f t="shared" si="34"/>
        <v>130636.73198040586</v>
      </c>
      <c r="W66" s="36">
        <v>1429</v>
      </c>
      <c r="X66" s="86">
        <v>207422.09999999998</v>
      </c>
      <c r="Y66" s="199">
        <v>153.91857142857143</v>
      </c>
      <c r="Z66" s="44">
        <v>641</v>
      </c>
      <c r="AA66" s="41">
        <f t="shared" ref="AA66:AA129" si="37">Z66*Y66</f>
        <v>98661.804285714286</v>
      </c>
      <c r="AB66" s="44">
        <v>1600</v>
      </c>
      <c r="AC66" s="44">
        <f t="shared" si="36"/>
        <v>1644</v>
      </c>
      <c r="AD66" s="44">
        <f t="shared" ref="AD66:AD129" si="38">AC66+Z66</f>
        <v>2285</v>
      </c>
      <c r="AE66" s="111">
        <f t="shared" ref="AE66:AE129" si="39">AD66*Y66</f>
        <v>351703.9357142857</v>
      </c>
      <c r="AF66" s="51" t="s">
        <v>578</v>
      </c>
      <c r="AG66" s="115"/>
      <c r="AH66" s="35">
        <v>44</v>
      </c>
      <c r="AI66" s="36">
        <v>0</v>
      </c>
      <c r="AJ66" s="36">
        <v>0</v>
      </c>
      <c r="AK66" s="36"/>
      <c r="AL66" s="36">
        <v>0</v>
      </c>
      <c r="AM66" s="36">
        <v>0</v>
      </c>
      <c r="AN66" s="46">
        <v>0</v>
      </c>
      <c r="AO66" s="100">
        <f t="shared" si="35"/>
        <v>44</v>
      </c>
      <c r="AP66" s="3">
        <f t="shared" ref="AP66:AP129" si="40">AC66*Y66</f>
        <v>253042.13142857142</v>
      </c>
    </row>
    <row r="67" spans="1:42" x14ac:dyDescent="0.2">
      <c r="A67" s="35" t="s">
        <v>216</v>
      </c>
      <c r="B67" s="37" t="s">
        <v>556</v>
      </c>
      <c r="C67" s="37" t="s">
        <v>571</v>
      </c>
      <c r="D67" s="52"/>
      <c r="E67" s="38" t="s">
        <v>769</v>
      </c>
      <c r="F67" s="36" t="s">
        <v>559</v>
      </c>
      <c r="G67" s="36" t="s">
        <v>599</v>
      </c>
      <c r="H67" s="39">
        <v>2068</v>
      </c>
      <c r="I67" s="40">
        <v>126830.44</v>
      </c>
      <c r="J67" s="39">
        <v>1905</v>
      </c>
      <c r="K67" s="40">
        <v>119208.55000000002</v>
      </c>
      <c r="L67" s="37" t="s">
        <v>578</v>
      </c>
      <c r="M67" s="47">
        <v>63.641549991183219</v>
      </c>
      <c r="N67" s="48">
        <v>0</v>
      </c>
      <c r="O67" s="36">
        <v>3986</v>
      </c>
      <c r="P67" s="47">
        <f t="shared" si="30"/>
        <v>253675.21826485632</v>
      </c>
      <c r="Q67" s="36">
        <v>5726</v>
      </c>
      <c r="R67" s="43">
        <f t="shared" si="31"/>
        <v>-1740</v>
      </c>
      <c r="S67" s="43">
        <f t="shared" si="32"/>
        <v>514</v>
      </c>
      <c r="T67" s="47">
        <f t="shared" si="33"/>
        <v>32711.756695468175</v>
      </c>
      <c r="U67" s="44">
        <v>4500</v>
      </c>
      <c r="V67" s="45">
        <f t="shared" si="34"/>
        <v>286386.97496032447</v>
      </c>
      <c r="W67" s="36">
        <v>5671</v>
      </c>
      <c r="X67" s="86">
        <v>360911.23000000004</v>
      </c>
      <c r="Y67" s="199">
        <v>66</v>
      </c>
      <c r="Z67" s="44">
        <v>1523</v>
      </c>
      <c r="AA67" s="41">
        <f t="shared" si="37"/>
        <v>100518</v>
      </c>
      <c r="AB67" s="44">
        <v>0</v>
      </c>
      <c r="AC67" s="44">
        <f t="shared" si="36"/>
        <v>3772</v>
      </c>
      <c r="AD67" s="44">
        <f t="shared" si="38"/>
        <v>5295</v>
      </c>
      <c r="AE67" s="111">
        <f t="shared" si="39"/>
        <v>349470</v>
      </c>
      <c r="AF67" s="51" t="s">
        <v>578</v>
      </c>
      <c r="AG67" s="115"/>
      <c r="AH67" s="35">
        <v>0</v>
      </c>
      <c r="AI67" s="36">
        <v>0</v>
      </c>
      <c r="AJ67" s="36">
        <v>0</v>
      </c>
      <c r="AK67" s="36"/>
      <c r="AL67" s="36">
        <v>0</v>
      </c>
      <c r="AM67" s="36">
        <v>3772</v>
      </c>
      <c r="AN67" s="46">
        <v>0</v>
      </c>
      <c r="AO67" s="100">
        <f t="shared" si="35"/>
        <v>3772</v>
      </c>
      <c r="AP67" s="3">
        <f t="shared" si="40"/>
        <v>248952</v>
      </c>
    </row>
    <row r="68" spans="1:42" x14ac:dyDescent="0.2">
      <c r="A68" s="35" t="s">
        <v>357</v>
      </c>
      <c r="B68" s="37" t="s">
        <v>556</v>
      </c>
      <c r="C68" s="37" t="s">
        <v>578</v>
      </c>
      <c r="D68" s="52">
        <v>46387</v>
      </c>
      <c r="E68" s="38" t="s">
        <v>754</v>
      </c>
      <c r="F68" s="36" t="s">
        <v>557</v>
      </c>
      <c r="G68" s="36" t="s">
        <v>597</v>
      </c>
      <c r="H68" s="39">
        <v>218</v>
      </c>
      <c r="I68" s="40">
        <v>121489.64</v>
      </c>
      <c r="J68" s="39">
        <v>228</v>
      </c>
      <c r="K68" s="40">
        <v>163307.28</v>
      </c>
      <c r="L68" s="37" t="s">
        <v>578</v>
      </c>
      <c r="M68" s="41">
        <v>716.26</v>
      </c>
      <c r="N68" s="42">
        <v>0</v>
      </c>
      <c r="O68" s="36">
        <v>122</v>
      </c>
      <c r="P68" s="41">
        <f t="shared" si="30"/>
        <v>87383.72</v>
      </c>
      <c r="Q68" s="36">
        <v>386</v>
      </c>
      <c r="R68" s="43">
        <f t="shared" si="31"/>
        <v>-264</v>
      </c>
      <c r="S68" s="43">
        <f t="shared" si="32"/>
        <v>0</v>
      </c>
      <c r="T68" s="41">
        <f t="shared" si="33"/>
        <v>0</v>
      </c>
      <c r="U68" s="44">
        <f>O68</f>
        <v>122</v>
      </c>
      <c r="V68" s="45">
        <f t="shared" si="34"/>
        <v>87383.72</v>
      </c>
      <c r="W68" s="36">
        <v>113</v>
      </c>
      <c r="X68" s="86">
        <v>80937.38</v>
      </c>
      <c r="Y68" s="199">
        <v>716.2600000000001</v>
      </c>
      <c r="Z68" s="44">
        <v>233</v>
      </c>
      <c r="AA68" s="41">
        <f t="shared" si="37"/>
        <v>166888.58000000002</v>
      </c>
      <c r="AB68" s="44">
        <v>0</v>
      </c>
      <c r="AC68" s="44">
        <f t="shared" si="36"/>
        <v>223</v>
      </c>
      <c r="AD68" s="44">
        <f t="shared" si="38"/>
        <v>456</v>
      </c>
      <c r="AE68" s="111">
        <f t="shared" si="39"/>
        <v>326614.56000000006</v>
      </c>
      <c r="AF68" s="51" t="s">
        <v>578</v>
      </c>
      <c r="AG68" s="115"/>
      <c r="AH68" s="35">
        <v>223</v>
      </c>
      <c r="AI68" s="36">
        <v>0</v>
      </c>
      <c r="AJ68" s="36">
        <v>0</v>
      </c>
      <c r="AK68" s="36"/>
      <c r="AL68" s="36">
        <v>0</v>
      </c>
      <c r="AM68" s="36">
        <v>0</v>
      </c>
      <c r="AN68" s="46">
        <v>0</v>
      </c>
      <c r="AO68" s="100">
        <f t="shared" si="35"/>
        <v>223</v>
      </c>
      <c r="AP68" s="3">
        <f t="shared" si="40"/>
        <v>159725.98000000001</v>
      </c>
    </row>
    <row r="69" spans="1:42" x14ac:dyDescent="0.2">
      <c r="A69" s="35" t="s">
        <v>263</v>
      </c>
      <c r="B69" s="37" t="s">
        <v>556</v>
      </c>
      <c r="C69" s="37" t="s">
        <v>571</v>
      </c>
      <c r="D69" s="52"/>
      <c r="E69" s="38" t="s">
        <v>760</v>
      </c>
      <c r="F69" s="36" t="s">
        <v>563</v>
      </c>
      <c r="G69" s="36" t="s">
        <v>604</v>
      </c>
      <c r="H69" s="39">
        <v>0</v>
      </c>
      <c r="I69" s="40">
        <v>0</v>
      </c>
      <c r="J69" s="39">
        <v>0</v>
      </c>
      <c r="K69" s="40">
        <v>0</v>
      </c>
      <c r="L69" s="37" t="s">
        <v>578</v>
      </c>
      <c r="M69" s="41">
        <v>65.236952609478109</v>
      </c>
      <c r="N69" s="42">
        <v>0</v>
      </c>
      <c r="O69" s="36">
        <v>5001</v>
      </c>
      <c r="P69" s="41">
        <f t="shared" si="30"/>
        <v>326250</v>
      </c>
      <c r="Q69" s="36">
        <v>0</v>
      </c>
      <c r="R69" s="43">
        <f t="shared" si="31"/>
        <v>5001</v>
      </c>
      <c r="S69" s="43">
        <f t="shared" si="32"/>
        <v>0</v>
      </c>
      <c r="T69" s="41">
        <f t="shared" si="33"/>
        <v>0</v>
      </c>
      <c r="U69" s="44">
        <f>O69</f>
        <v>5001</v>
      </c>
      <c r="V69" s="45">
        <f t="shared" si="34"/>
        <v>326250</v>
      </c>
      <c r="W69" s="36">
        <v>5001</v>
      </c>
      <c r="X69" s="86">
        <v>326250</v>
      </c>
      <c r="Y69" s="199">
        <v>65</v>
      </c>
      <c r="Z69" s="44">
        <v>0</v>
      </c>
      <c r="AA69" s="41">
        <f t="shared" si="37"/>
        <v>0</v>
      </c>
      <c r="AB69" s="44">
        <v>0</v>
      </c>
      <c r="AC69" s="44">
        <f t="shared" si="36"/>
        <v>5000</v>
      </c>
      <c r="AD69" s="44">
        <f t="shared" si="38"/>
        <v>5000</v>
      </c>
      <c r="AE69" s="111">
        <f t="shared" si="39"/>
        <v>325000</v>
      </c>
      <c r="AF69" s="51" t="s">
        <v>578</v>
      </c>
      <c r="AG69" s="115" t="s">
        <v>1037</v>
      </c>
      <c r="AH69" s="35">
        <v>0</v>
      </c>
      <c r="AI69" s="36">
        <v>0</v>
      </c>
      <c r="AJ69" s="36">
        <v>0</v>
      </c>
      <c r="AK69" s="36"/>
      <c r="AL69" s="36">
        <v>5000</v>
      </c>
      <c r="AM69" s="36">
        <v>0</v>
      </c>
      <c r="AN69" s="46">
        <v>0</v>
      </c>
      <c r="AO69" s="100">
        <f t="shared" si="35"/>
        <v>5000</v>
      </c>
      <c r="AP69" s="3">
        <f t="shared" si="40"/>
        <v>325000</v>
      </c>
    </row>
    <row r="70" spans="1:42" x14ac:dyDescent="0.2">
      <c r="A70" s="35" t="s">
        <v>100</v>
      </c>
      <c r="B70" s="37" t="s">
        <v>556</v>
      </c>
      <c r="C70" s="37" t="s">
        <v>578</v>
      </c>
      <c r="D70" s="52">
        <v>46387</v>
      </c>
      <c r="E70" s="38" t="s">
        <v>754</v>
      </c>
      <c r="F70" s="36" t="s">
        <v>559</v>
      </c>
      <c r="G70" s="36" t="s">
        <v>587</v>
      </c>
      <c r="H70" s="39">
        <v>335</v>
      </c>
      <c r="I70" s="40">
        <v>132325</v>
      </c>
      <c r="J70" s="39">
        <v>307</v>
      </c>
      <c r="K70" s="40">
        <v>121265</v>
      </c>
      <c r="L70" s="37" t="s">
        <v>578</v>
      </c>
      <c r="M70" s="41">
        <v>395</v>
      </c>
      <c r="N70" s="42">
        <v>20</v>
      </c>
      <c r="O70" s="36">
        <v>170</v>
      </c>
      <c r="P70" s="41">
        <f t="shared" si="30"/>
        <v>75050</v>
      </c>
      <c r="Q70" s="36">
        <v>270</v>
      </c>
      <c r="R70" s="43">
        <f t="shared" si="31"/>
        <v>-100</v>
      </c>
      <c r="S70" s="43">
        <f t="shared" si="32"/>
        <v>130</v>
      </c>
      <c r="T70" s="41">
        <f t="shared" si="33"/>
        <v>51350</v>
      </c>
      <c r="U70" s="44">
        <v>300</v>
      </c>
      <c r="V70" s="45">
        <f t="shared" si="34"/>
        <v>118500</v>
      </c>
      <c r="W70" s="36">
        <v>680</v>
      </c>
      <c r="X70" s="86">
        <v>268600</v>
      </c>
      <c r="Y70" s="199">
        <v>395</v>
      </c>
      <c r="Z70" s="44">
        <v>400</v>
      </c>
      <c r="AA70" s="41">
        <f t="shared" si="37"/>
        <v>158000</v>
      </c>
      <c r="AB70" s="44">
        <v>20</v>
      </c>
      <c r="AC70" s="44">
        <f t="shared" si="36"/>
        <v>420</v>
      </c>
      <c r="AD70" s="44">
        <f t="shared" si="38"/>
        <v>820</v>
      </c>
      <c r="AE70" s="111">
        <f t="shared" si="39"/>
        <v>323900</v>
      </c>
      <c r="AF70" s="51" t="s">
        <v>578</v>
      </c>
      <c r="AG70" s="115"/>
      <c r="AH70" s="35">
        <v>100</v>
      </c>
      <c r="AI70" s="36">
        <v>0</v>
      </c>
      <c r="AJ70" s="36">
        <v>300</v>
      </c>
      <c r="AK70" s="36"/>
      <c r="AL70" s="36">
        <v>0</v>
      </c>
      <c r="AM70" s="36">
        <v>0</v>
      </c>
      <c r="AN70" s="46">
        <v>0</v>
      </c>
      <c r="AO70" s="100">
        <f t="shared" si="35"/>
        <v>400</v>
      </c>
      <c r="AP70" s="3">
        <f t="shared" si="40"/>
        <v>165900</v>
      </c>
    </row>
    <row r="71" spans="1:42" x14ac:dyDescent="0.2">
      <c r="A71" s="35" t="s">
        <v>470</v>
      </c>
      <c r="B71" s="37" t="s">
        <v>556</v>
      </c>
      <c r="C71" s="37" t="s">
        <v>571</v>
      </c>
      <c r="D71" s="52"/>
      <c r="E71" s="38" t="s">
        <v>766</v>
      </c>
      <c r="F71" s="36" t="s">
        <v>559</v>
      </c>
      <c r="G71" s="36" t="s">
        <v>598</v>
      </c>
      <c r="H71" s="39">
        <v>2239</v>
      </c>
      <c r="I71" s="40">
        <v>321296.5</v>
      </c>
      <c r="J71" s="39">
        <v>2000</v>
      </c>
      <c r="K71" s="40">
        <v>334518.31</v>
      </c>
      <c r="L71" s="37" t="s">
        <v>578</v>
      </c>
      <c r="M71" s="41">
        <v>183.97117647058823</v>
      </c>
      <c r="N71" s="42">
        <v>0</v>
      </c>
      <c r="O71" s="36">
        <v>0</v>
      </c>
      <c r="P71" s="41">
        <f t="shared" si="30"/>
        <v>0</v>
      </c>
      <c r="Q71" s="36">
        <v>1500</v>
      </c>
      <c r="R71" s="43">
        <f t="shared" si="31"/>
        <v>-1500</v>
      </c>
      <c r="S71" s="43">
        <f t="shared" si="32"/>
        <v>1000</v>
      </c>
      <c r="T71" s="41">
        <f t="shared" si="33"/>
        <v>183971.17647058822</v>
      </c>
      <c r="U71" s="44">
        <v>1000</v>
      </c>
      <c r="V71" s="45">
        <f t="shared" si="34"/>
        <v>183971.17647058822</v>
      </c>
      <c r="W71" s="36">
        <v>850</v>
      </c>
      <c r="X71" s="86">
        <v>156375.5</v>
      </c>
      <c r="Y71" s="199">
        <v>207.03</v>
      </c>
      <c r="Z71" s="44">
        <v>50</v>
      </c>
      <c r="AA71" s="41">
        <f t="shared" si="37"/>
        <v>10351.5</v>
      </c>
      <c r="AB71" s="44">
        <v>0</v>
      </c>
      <c r="AC71" s="44">
        <f t="shared" si="36"/>
        <v>1500</v>
      </c>
      <c r="AD71" s="44">
        <f t="shared" si="38"/>
        <v>1550</v>
      </c>
      <c r="AE71" s="111">
        <f t="shared" si="39"/>
        <v>320896.5</v>
      </c>
      <c r="AF71" s="51" t="s">
        <v>578</v>
      </c>
      <c r="AG71" s="115"/>
      <c r="AH71" s="35">
        <v>0</v>
      </c>
      <c r="AI71" s="36">
        <v>0</v>
      </c>
      <c r="AJ71" s="36">
        <v>0</v>
      </c>
      <c r="AK71" s="50">
        <v>1500</v>
      </c>
      <c r="AL71" s="36">
        <v>0</v>
      </c>
      <c r="AM71" s="36">
        <v>0</v>
      </c>
      <c r="AN71" s="46">
        <v>0</v>
      </c>
      <c r="AO71" s="100">
        <f t="shared" si="35"/>
        <v>1500</v>
      </c>
      <c r="AP71" s="3">
        <f t="shared" si="40"/>
        <v>310545</v>
      </c>
    </row>
    <row r="72" spans="1:42" x14ac:dyDescent="0.2">
      <c r="A72" s="35" t="s">
        <v>321</v>
      </c>
      <c r="B72" s="37" t="s">
        <v>556</v>
      </c>
      <c r="C72" s="37" t="s">
        <v>578</v>
      </c>
      <c r="D72" s="52">
        <v>46022</v>
      </c>
      <c r="E72" s="38" t="s">
        <v>753</v>
      </c>
      <c r="F72" s="36" t="s">
        <v>557</v>
      </c>
      <c r="G72" s="36" t="s">
        <v>581</v>
      </c>
      <c r="H72" s="39">
        <v>367</v>
      </c>
      <c r="I72" s="40">
        <v>179371.25</v>
      </c>
      <c r="J72" s="39">
        <v>279</v>
      </c>
      <c r="K72" s="40">
        <v>136361.25</v>
      </c>
      <c r="L72" s="37" t="s">
        <v>578</v>
      </c>
      <c r="M72" s="41">
        <v>488.75</v>
      </c>
      <c r="N72" s="42">
        <v>1</v>
      </c>
      <c r="O72" s="36">
        <v>285</v>
      </c>
      <c r="P72" s="41">
        <f t="shared" si="30"/>
        <v>139782.5</v>
      </c>
      <c r="Q72" s="36">
        <v>314</v>
      </c>
      <c r="R72" s="43">
        <f t="shared" si="31"/>
        <v>-29</v>
      </c>
      <c r="S72" s="43">
        <f t="shared" si="32"/>
        <v>15</v>
      </c>
      <c r="T72" s="41">
        <f t="shared" si="33"/>
        <v>7331.25</v>
      </c>
      <c r="U72" s="44">
        <v>300</v>
      </c>
      <c r="V72" s="45">
        <f t="shared" si="34"/>
        <v>146625</v>
      </c>
      <c r="W72" s="36">
        <v>181</v>
      </c>
      <c r="X72" s="86">
        <v>88463.75</v>
      </c>
      <c r="Y72" s="199">
        <v>530.70000000000005</v>
      </c>
      <c r="Z72" s="44">
        <v>596</v>
      </c>
      <c r="AA72" s="41">
        <f t="shared" si="37"/>
        <v>316297.2</v>
      </c>
      <c r="AB72" s="44">
        <v>0</v>
      </c>
      <c r="AC72" s="44">
        <f t="shared" si="36"/>
        <v>0</v>
      </c>
      <c r="AD72" s="44">
        <f t="shared" si="38"/>
        <v>596</v>
      </c>
      <c r="AE72" s="111">
        <f t="shared" si="39"/>
        <v>316297.2</v>
      </c>
      <c r="AF72" s="51" t="s">
        <v>578</v>
      </c>
      <c r="AG72" s="115"/>
      <c r="AH72" s="35">
        <v>0</v>
      </c>
      <c r="AI72" s="36">
        <v>0</v>
      </c>
      <c r="AJ72" s="36">
        <v>0</v>
      </c>
      <c r="AK72" s="36"/>
      <c r="AL72" s="36">
        <v>0</v>
      </c>
      <c r="AM72" s="36">
        <v>0</v>
      </c>
      <c r="AN72" s="46">
        <v>0</v>
      </c>
      <c r="AO72" s="100">
        <f t="shared" si="35"/>
        <v>0</v>
      </c>
      <c r="AP72" s="3">
        <f t="shared" si="40"/>
        <v>0</v>
      </c>
    </row>
    <row r="73" spans="1:42" x14ac:dyDescent="0.2">
      <c r="A73" s="35" t="s">
        <v>842</v>
      </c>
      <c r="B73" s="37" t="s">
        <v>556</v>
      </c>
      <c r="C73" s="37" t="s">
        <v>571</v>
      </c>
      <c r="D73" s="52"/>
      <c r="E73" s="38" t="s">
        <v>998</v>
      </c>
      <c r="F73" s="36" t="s">
        <v>561</v>
      </c>
      <c r="G73" s="36" t="s">
        <v>955</v>
      </c>
      <c r="H73" s="39"/>
      <c r="I73" s="40"/>
      <c r="J73" s="39">
        <v>220</v>
      </c>
      <c r="K73" s="40">
        <v>140063</v>
      </c>
      <c r="L73" s="51"/>
      <c r="M73" s="41">
        <v>636.65</v>
      </c>
      <c r="N73" s="41"/>
      <c r="O73" s="36"/>
      <c r="P73" s="41"/>
      <c r="Q73" s="36"/>
      <c r="R73" s="43"/>
      <c r="S73" s="43"/>
      <c r="T73" s="41"/>
      <c r="U73" s="44"/>
      <c r="V73" s="45"/>
      <c r="W73" s="36">
        <v>50</v>
      </c>
      <c r="X73" s="86">
        <v>31832.5</v>
      </c>
      <c r="Y73" s="199">
        <v>643.2833333333333</v>
      </c>
      <c r="Z73" s="44">
        <v>490</v>
      </c>
      <c r="AA73" s="41">
        <f t="shared" si="37"/>
        <v>315208.83333333331</v>
      </c>
      <c r="AB73" s="44">
        <v>0</v>
      </c>
      <c r="AC73" s="44">
        <f t="shared" si="36"/>
        <v>0</v>
      </c>
      <c r="AD73" s="44">
        <f t="shared" si="38"/>
        <v>490</v>
      </c>
      <c r="AE73" s="111">
        <f t="shared" si="39"/>
        <v>315208.83333333331</v>
      </c>
      <c r="AF73" s="51" t="s">
        <v>578</v>
      </c>
      <c r="AG73" s="115"/>
      <c r="AH73" s="35">
        <v>0</v>
      </c>
      <c r="AI73" s="36">
        <v>0</v>
      </c>
      <c r="AJ73" s="36">
        <v>0</v>
      </c>
      <c r="AK73" s="36"/>
      <c r="AL73" s="36">
        <v>0</v>
      </c>
      <c r="AM73" s="36">
        <v>0</v>
      </c>
      <c r="AN73" s="46">
        <v>0</v>
      </c>
      <c r="AO73" s="100">
        <f t="shared" si="35"/>
        <v>0</v>
      </c>
      <c r="AP73" s="3">
        <f t="shared" si="40"/>
        <v>0</v>
      </c>
    </row>
    <row r="74" spans="1:42" x14ac:dyDescent="0.2">
      <c r="A74" s="35" t="s">
        <v>383</v>
      </c>
      <c r="B74" s="37" t="s">
        <v>556</v>
      </c>
      <c r="C74" s="37" t="s">
        <v>578</v>
      </c>
      <c r="D74" s="52"/>
      <c r="E74" s="38" t="s">
        <v>768</v>
      </c>
      <c r="F74" s="36" t="s">
        <v>558</v>
      </c>
      <c r="G74" s="36" t="s">
        <v>582</v>
      </c>
      <c r="H74" s="39">
        <v>325</v>
      </c>
      <c r="I74" s="40">
        <v>236249.45</v>
      </c>
      <c r="J74" s="39">
        <v>247</v>
      </c>
      <c r="K74" s="40">
        <v>200696.13</v>
      </c>
      <c r="L74" s="37" t="s">
        <v>578</v>
      </c>
      <c r="M74" s="41">
        <v>856.78218749999996</v>
      </c>
      <c r="N74" s="42">
        <v>61</v>
      </c>
      <c r="O74" s="36">
        <v>259</v>
      </c>
      <c r="P74" s="41">
        <f t="shared" ref="P74:P89" si="41">(N74+O74)*M74</f>
        <v>274170.3</v>
      </c>
      <c r="Q74" s="36">
        <v>164</v>
      </c>
      <c r="R74" s="43">
        <f t="shared" ref="R74:R89" si="42">O74-Q74</f>
        <v>95</v>
      </c>
      <c r="S74" s="43">
        <f t="shared" ref="S74:S89" si="43">U74-O74</f>
        <v>41</v>
      </c>
      <c r="T74" s="41">
        <f t="shared" ref="T74:T89" si="44">S74*M74</f>
        <v>35128.069687499999</v>
      </c>
      <c r="U74" s="44">
        <v>300</v>
      </c>
      <c r="V74" s="45">
        <f t="shared" ref="V74:V89" si="45">U74*M74</f>
        <v>257034.65625</v>
      </c>
      <c r="W74" s="36">
        <v>320</v>
      </c>
      <c r="X74" s="86">
        <v>274170.3</v>
      </c>
      <c r="Y74" s="199">
        <v>887.25</v>
      </c>
      <c r="Z74" s="44">
        <v>279</v>
      </c>
      <c r="AA74" s="41">
        <f t="shared" si="37"/>
        <v>247542.75</v>
      </c>
      <c r="AB74" s="44">
        <v>0</v>
      </c>
      <c r="AC74" s="44">
        <f t="shared" si="36"/>
        <v>75</v>
      </c>
      <c r="AD74" s="44">
        <f t="shared" si="38"/>
        <v>354</v>
      </c>
      <c r="AE74" s="111">
        <f t="shared" si="39"/>
        <v>314086.5</v>
      </c>
      <c r="AF74" s="51" t="s">
        <v>578</v>
      </c>
      <c r="AG74" s="115"/>
      <c r="AH74" s="35">
        <v>0</v>
      </c>
      <c r="AI74" s="36">
        <v>0</v>
      </c>
      <c r="AJ74" s="36">
        <v>75</v>
      </c>
      <c r="AK74" s="36"/>
      <c r="AL74" s="36">
        <v>0</v>
      </c>
      <c r="AM74" s="36">
        <v>0</v>
      </c>
      <c r="AN74" s="46">
        <v>0</v>
      </c>
      <c r="AO74" s="100">
        <f t="shared" si="35"/>
        <v>75</v>
      </c>
      <c r="AP74" s="3">
        <f t="shared" si="40"/>
        <v>66543.75</v>
      </c>
    </row>
    <row r="75" spans="1:42" x14ac:dyDescent="0.2">
      <c r="A75" s="35" t="s">
        <v>472</v>
      </c>
      <c r="B75" s="37" t="s">
        <v>556</v>
      </c>
      <c r="C75" s="37" t="s">
        <v>571</v>
      </c>
      <c r="D75" s="52"/>
      <c r="E75" s="38" t="s">
        <v>766</v>
      </c>
      <c r="F75" s="36" t="s">
        <v>559</v>
      </c>
      <c r="G75" s="36" t="s">
        <v>598</v>
      </c>
      <c r="H75" s="39">
        <v>1468</v>
      </c>
      <c r="I75" s="40">
        <v>191236</v>
      </c>
      <c r="J75" s="39">
        <v>2455</v>
      </c>
      <c r="K75" s="40">
        <v>373980.19999999995</v>
      </c>
      <c r="L75" s="37" t="s">
        <v>578</v>
      </c>
      <c r="M75" s="41">
        <v>175.87</v>
      </c>
      <c r="N75" s="42">
        <v>0</v>
      </c>
      <c r="O75" s="36">
        <v>0</v>
      </c>
      <c r="P75" s="41">
        <f t="shared" si="41"/>
        <v>0</v>
      </c>
      <c r="Q75" s="36">
        <v>1400</v>
      </c>
      <c r="R75" s="43">
        <f t="shared" si="42"/>
        <v>-1400</v>
      </c>
      <c r="S75" s="43">
        <f t="shared" si="43"/>
        <v>1000</v>
      </c>
      <c r="T75" s="41">
        <f t="shared" si="44"/>
        <v>175870</v>
      </c>
      <c r="U75" s="44">
        <v>1000</v>
      </c>
      <c r="V75" s="45">
        <f t="shared" si="45"/>
        <v>175870</v>
      </c>
      <c r="W75" s="36">
        <v>1450</v>
      </c>
      <c r="X75" s="86">
        <v>255011.5</v>
      </c>
      <c r="Y75" s="199">
        <v>198.55</v>
      </c>
      <c r="Z75" s="44">
        <v>50</v>
      </c>
      <c r="AA75" s="41">
        <f t="shared" si="37"/>
        <v>9927.5</v>
      </c>
      <c r="AB75" s="44">
        <v>0</v>
      </c>
      <c r="AC75" s="44">
        <f t="shared" si="36"/>
        <v>1500</v>
      </c>
      <c r="AD75" s="44">
        <f t="shared" si="38"/>
        <v>1550</v>
      </c>
      <c r="AE75" s="111">
        <f t="shared" si="39"/>
        <v>307752.5</v>
      </c>
      <c r="AF75" s="51" t="s">
        <v>578</v>
      </c>
      <c r="AG75" s="115"/>
      <c r="AH75" s="35">
        <v>0</v>
      </c>
      <c r="AI75" s="36">
        <v>0</v>
      </c>
      <c r="AJ75" s="36">
        <v>0</v>
      </c>
      <c r="AK75" s="50">
        <v>1500</v>
      </c>
      <c r="AL75" s="36">
        <v>0</v>
      </c>
      <c r="AM75" s="36">
        <v>0</v>
      </c>
      <c r="AN75" s="46">
        <v>0</v>
      </c>
      <c r="AO75" s="100">
        <f t="shared" si="35"/>
        <v>1500</v>
      </c>
      <c r="AP75" s="3">
        <f t="shared" si="40"/>
        <v>297825</v>
      </c>
    </row>
    <row r="76" spans="1:42" x14ac:dyDescent="0.2">
      <c r="A76" s="35" t="s">
        <v>426</v>
      </c>
      <c r="B76" s="156" t="s">
        <v>556</v>
      </c>
      <c r="C76" s="37" t="s">
        <v>578</v>
      </c>
      <c r="D76" s="52">
        <v>46387</v>
      </c>
      <c r="E76" s="38" t="s">
        <v>758</v>
      </c>
      <c r="F76" s="36" t="s">
        <v>555</v>
      </c>
      <c r="G76" s="36" t="s">
        <v>583</v>
      </c>
      <c r="H76" s="39">
        <v>0</v>
      </c>
      <c r="I76" s="40">
        <v>0</v>
      </c>
      <c r="J76" s="39">
        <v>0</v>
      </c>
      <c r="K76" s="40">
        <v>0</v>
      </c>
      <c r="L76" s="37" t="s">
        <v>578</v>
      </c>
      <c r="M76" s="41">
        <v>361.68999999999994</v>
      </c>
      <c r="N76" s="42">
        <v>0</v>
      </c>
      <c r="O76" s="36">
        <v>555</v>
      </c>
      <c r="P76" s="41">
        <f t="shared" si="41"/>
        <v>200737.94999999995</v>
      </c>
      <c r="Q76" s="36">
        <v>0</v>
      </c>
      <c r="R76" s="43">
        <f t="shared" si="42"/>
        <v>555</v>
      </c>
      <c r="S76" s="43">
        <f t="shared" si="43"/>
        <v>-111</v>
      </c>
      <c r="T76" s="41">
        <f t="shared" si="44"/>
        <v>-40147.589999999997</v>
      </c>
      <c r="U76" s="44">
        <f>O76/1.25</f>
        <v>444</v>
      </c>
      <c r="V76" s="45">
        <f t="shared" si="45"/>
        <v>160590.35999999999</v>
      </c>
      <c r="W76" s="36">
        <v>1395</v>
      </c>
      <c r="X76" s="86">
        <v>504557.54999999993</v>
      </c>
      <c r="Y76" s="199">
        <v>361.69</v>
      </c>
      <c r="Z76" s="44">
        <v>694</v>
      </c>
      <c r="AA76" s="41">
        <f t="shared" si="37"/>
        <v>251012.86</v>
      </c>
      <c r="AB76" s="44">
        <v>0</v>
      </c>
      <c r="AC76" s="44">
        <f t="shared" si="36"/>
        <v>140</v>
      </c>
      <c r="AD76" s="44">
        <f t="shared" si="38"/>
        <v>834</v>
      </c>
      <c r="AE76" s="111">
        <f t="shared" si="39"/>
        <v>301649.46000000002</v>
      </c>
      <c r="AF76" s="51" t="s">
        <v>578</v>
      </c>
      <c r="AG76" s="115" t="s">
        <v>747</v>
      </c>
      <c r="AH76" s="35">
        <v>0</v>
      </c>
      <c r="AI76" s="36">
        <v>140</v>
      </c>
      <c r="AJ76" s="36">
        <v>0</v>
      </c>
      <c r="AK76" s="36"/>
      <c r="AL76" s="36">
        <v>0</v>
      </c>
      <c r="AM76" s="36">
        <v>0</v>
      </c>
      <c r="AN76" s="46">
        <v>0</v>
      </c>
      <c r="AO76" s="100">
        <f t="shared" si="35"/>
        <v>140</v>
      </c>
      <c r="AP76" s="3">
        <f t="shared" si="40"/>
        <v>50636.6</v>
      </c>
    </row>
    <row r="77" spans="1:42" x14ac:dyDescent="0.2">
      <c r="A77" s="35" t="s">
        <v>194</v>
      </c>
      <c r="B77" s="37" t="s">
        <v>556</v>
      </c>
      <c r="C77" s="37" t="s">
        <v>571</v>
      </c>
      <c r="D77" s="52"/>
      <c r="E77" s="38" t="s">
        <v>766</v>
      </c>
      <c r="F77" s="36" t="s">
        <v>559</v>
      </c>
      <c r="G77" s="36" t="s">
        <v>598</v>
      </c>
      <c r="H77" s="39">
        <v>3470</v>
      </c>
      <c r="I77" s="40">
        <v>595881.35000000009</v>
      </c>
      <c r="J77" s="39">
        <v>653</v>
      </c>
      <c r="K77" s="40">
        <v>124717.62</v>
      </c>
      <c r="L77" s="37" t="s">
        <v>578</v>
      </c>
      <c r="M77" s="41">
        <v>197.60096774193548</v>
      </c>
      <c r="N77" s="42">
        <v>0</v>
      </c>
      <c r="O77" s="36">
        <v>2000</v>
      </c>
      <c r="P77" s="41">
        <f t="shared" si="41"/>
        <v>395201.93548387097</v>
      </c>
      <c r="Q77" s="36">
        <v>1500</v>
      </c>
      <c r="R77" s="43">
        <f t="shared" si="42"/>
        <v>500</v>
      </c>
      <c r="S77" s="43">
        <f t="shared" si="43"/>
        <v>500</v>
      </c>
      <c r="T77" s="41">
        <f t="shared" si="44"/>
        <v>98800.483870967742</v>
      </c>
      <c r="U77" s="44">
        <v>2500</v>
      </c>
      <c r="V77" s="45">
        <f t="shared" si="45"/>
        <v>494002.41935483867</v>
      </c>
      <c r="W77" s="36">
        <v>3100</v>
      </c>
      <c r="X77" s="86">
        <v>612563</v>
      </c>
      <c r="Y77" s="199">
        <v>200.9</v>
      </c>
      <c r="Z77" s="44">
        <v>0</v>
      </c>
      <c r="AA77" s="41">
        <f t="shared" si="37"/>
        <v>0</v>
      </c>
      <c r="AB77" s="44">
        <v>0</v>
      </c>
      <c r="AC77" s="44">
        <f t="shared" si="36"/>
        <v>1500</v>
      </c>
      <c r="AD77" s="44">
        <f t="shared" si="38"/>
        <v>1500</v>
      </c>
      <c r="AE77" s="111">
        <f t="shared" si="39"/>
        <v>301350</v>
      </c>
      <c r="AF77" s="51" t="s">
        <v>578</v>
      </c>
      <c r="AG77" s="115"/>
      <c r="AH77" s="35">
        <v>0</v>
      </c>
      <c r="AI77" s="36">
        <v>0</v>
      </c>
      <c r="AJ77" s="36">
        <v>0</v>
      </c>
      <c r="AK77" s="50">
        <v>1500</v>
      </c>
      <c r="AL77" s="36">
        <v>0</v>
      </c>
      <c r="AM77" s="36">
        <v>0</v>
      </c>
      <c r="AN77" s="46">
        <v>0</v>
      </c>
      <c r="AO77" s="100">
        <f t="shared" si="35"/>
        <v>1500</v>
      </c>
      <c r="AP77" s="3">
        <f t="shared" si="40"/>
        <v>301350</v>
      </c>
    </row>
    <row r="78" spans="1:42" x14ac:dyDescent="0.2">
      <c r="A78" s="35" t="s">
        <v>114</v>
      </c>
      <c r="B78" s="37" t="s">
        <v>556</v>
      </c>
      <c r="C78" s="37" t="s">
        <v>571</v>
      </c>
      <c r="D78" s="52"/>
      <c r="E78" s="38" t="s">
        <v>771</v>
      </c>
      <c r="F78" s="36" t="s">
        <v>559</v>
      </c>
      <c r="G78" s="36" t="s">
        <v>613</v>
      </c>
      <c r="H78" s="39">
        <v>3000</v>
      </c>
      <c r="I78" s="40">
        <v>98250</v>
      </c>
      <c r="J78" s="39">
        <v>7700</v>
      </c>
      <c r="K78" s="40">
        <v>252175</v>
      </c>
      <c r="L78" s="37" t="s">
        <v>578</v>
      </c>
      <c r="M78" s="41">
        <v>33.285344827586208</v>
      </c>
      <c r="N78" s="42">
        <v>0</v>
      </c>
      <c r="O78" s="36">
        <v>5800</v>
      </c>
      <c r="P78" s="41">
        <f t="shared" si="41"/>
        <v>193055</v>
      </c>
      <c r="Q78" s="36">
        <v>4500</v>
      </c>
      <c r="R78" s="43">
        <f t="shared" si="42"/>
        <v>1300</v>
      </c>
      <c r="S78" s="43">
        <f t="shared" si="43"/>
        <v>0</v>
      </c>
      <c r="T78" s="41">
        <f t="shared" si="44"/>
        <v>0</v>
      </c>
      <c r="U78" s="44">
        <f>O78</f>
        <v>5800</v>
      </c>
      <c r="V78" s="45">
        <f t="shared" si="45"/>
        <v>193055</v>
      </c>
      <c r="W78" s="36">
        <v>5800</v>
      </c>
      <c r="X78" s="86">
        <v>193055</v>
      </c>
      <c r="Y78" s="199">
        <v>33.44</v>
      </c>
      <c r="Z78" s="44">
        <v>7500</v>
      </c>
      <c r="AA78" s="41">
        <f t="shared" si="37"/>
        <v>250799.99999999997</v>
      </c>
      <c r="AB78" s="44">
        <v>0</v>
      </c>
      <c r="AC78" s="44">
        <f t="shared" si="36"/>
        <v>1500</v>
      </c>
      <c r="AD78" s="44">
        <f t="shared" si="38"/>
        <v>9000</v>
      </c>
      <c r="AE78" s="111">
        <f t="shared" si="39"/>
        <v>300960</v>
      </c>
      <c r="AF78" s="51" t="s">
        <v>578</v>
      </c>
      <c r="AG78" s="115"/>
      <c r="AH78" s="35">
        <v>0</v>
      </c>
      <c r="AI78" s="36">
        <v>0</v>
      </c>
      <c r="AJ78" s="36">
        <v>0</v>
      </c>
      <c r="AK78" s="36"/>
      <c r="AL78" s="36">
        <v>0</v>
      </c>
      <c r="AM78" s="36">
        <v>0</v>
      </c>
      <c r="AN78" s="46">
        <v>1500</v>
      </c>
      <c r="AO78" s="100">
        <f t="shared" si="35"/>
        <v>1500</v>
      </c>
      <c r="AP78" s="3">
        <f t="shared" si="40"/>
        <v>50160</v>
      </c>
    </row>
    <row r="79" spans="1:42" x14ac:dyDescent="0.2">
      <c r="A79" s="35" t="s">
        <v>344</v>
      </c>
      <c r="B79" s="37" t="s">
        <v>556</v>
      </c>
      <c r="C79" s="37" t="s">
        <v>578</v>
      </c>
      <c r="D79" s="52">
        <v>46387</v>
      </c>
      <c r="E79" s="38" t="s">
        <v>754</v>
      </c>
      <c r="F79" s="36" t="s">
        <v>557</v>
      </c>
      <c r="G79" s="36" t="s">
        <v>592</v>
      </c>
      <c r="H79" s="39">
        <v>719</v>
      </c>
      <c r="I79" s="40">
        <v>404193.19999999995</v>
      </c>
      <c r="J79" s="39">
        <v>0</v>
      </c>
      <c r="K79" s="40">
        <v>0</v>
      </c>
      <c r="L79" s="37" t="s">
        <v>578</v>
      </c>
      <c r="M79" s="41">
        <v>671.62000000000012</v>
      </c>
      <c r="N79" s="42">
        <v>0</v>
      </c>
      <c r="O79" s="36">
        <v>583</v>
      </c>
      <c r="P79" s="41">
        <f t="shared" si="41"/>
        <v>391554.46000000008</v>
      </c>
      <c r="Q79" s="36">
        <v>492</v>
      </c>
      <c r="R79" s="43">
        <f t="shared" si="42"/>
        <v>91</v>
      </c>
      <c r="S79" s="43">
        <f t="shared" si="43"/>
        <v>0</v>
      </c>
      <c r="T79" s="41">
        <f t="shared" si="44"/>
        <v>0</v>
      </c>
      <c r="U79" s="44">
        <f>O79</f>
        <v>583</v>
      </c>
      <c r="V79" s="45">
        <f t="shared" si="45"/>
        <v>391554.46000000008</v>
      </c>
      <c r="W79" s="36">
        <v>677</v>
      </c>
      <c r="X79" s="86">
        <v>454686.74000000005</v>
      </c>
      <c r="Y79" s="199">
        <v>671.62</v>
      </c>
      <c r="Z79" s="44">
        <v>249</v>
      </c>
      <c r="AA79" s="41">
        <f t="shared" si="37"/>
        <v>167233.38</v>
      </c>
      <c r="AB79" s="44">
        <v>0</v>
      </c>
      <c r="AC79" s="44">
        <f t="shared" si="36"/>
        <v>198</v>
      </c>
      <c r="AD79" s="44">
        <f t="shared" si="38"/>
        <v>447</v>
      </c>
      <c r="AE79" s="111">
        <f t="shared" si="39"/>
        <v>300214.14</v>
      </c>
      <c r="AF79" s="51" t="s">
        <v>578</v>
      </c>
      <c r="AG79" s="115"/>
      <c r="AH79" s="35">
        <v>198</v>
      </c>
      <c r="AI79" s="36">
        <v>0</v>
      </c>
      <c r="AJ79" s="36">
        <v>0</v>
      </c>
      <c r="AK79" s="36"/>
      <c r="AL79" s="36">
        <v>0</v>
      </c>
      <c r="AM79" s="36">
        <v>0</v>
      </c>
      <c r="AN79" s="46">
        <v>0</v>
      </c>
      <c r="AO79" s="100">
        <f t="shared" si="35"/>
        <v>198</v>
      </c>
      <c r="AP79" s="3">
        <f t="shared" si="40"/>
        <v>132980.76</v>
      </c>
    </row>
    <row r="80" spans="1:42" x14ac:dyDescent="0.2">
      <c r="A80" s="35" t="s">
        <v>126</v>
      </c>
      <c r="B80" s="37" t="s">
        <v>556</v>
      </c>
      <c r="C80" s="37" t="s">
        <v>578</v>
      </c>
      <c r="D80" s="52">
        <v>46752</v>
      </c>
      <c r="E80" s="38" t="s">
        <v>772</v>
      </c>
      <c r="F80" s="36" t="s">
        <v>559</v>
      </c>
      <c r="G80" s="36" t="s">
        <v>603</v>
      </c>
      <c r="H80" s="39">
        <v>200</v>
      </c>
      <c r="I80" s="40">
        <v>157499</v>
      </c>
      <c r="J80" s="39">
        <v>250</v>
      </c>
      <c r="K80" s="40">
        <v>203799</v>
      </c>
      <c r="L80" s="37" t="s">
        <v>578</v>
      </c>
      <c r="M80" s="41">
        <v>825.63</v>
      </c>
      <c r="N80" s="42">
        <v>0</v>
      </c>
      <c r="O80" s="36">
        <v>251</v>
      </c>
      <c r="P80" s="41">
        <f t="shared" si="41"/>
        <v>207233.13</v>
      </c>
      <c r="Q80" s="36">
        <v>372</v>
      </c>
      <c r="R80" s="43">
        <f t="shared" si="42"/>
        <v>-121</v>
      </c>
      <c r="S80" s="43">
        <f t="shared" si="43"/>
        <v>150</v>
      </c>
      <c r="T80" s="41">
        <f t="shared" si="44"/>
        <v>123844.5</v>
      </c>
      <c r="U80" s="44">
        <v>401</v>
      </c>
      <c r="V80" s="45">
        <f t="shared" si="45"/>
        <v>331077.63</v>
      </c>
      <c r="W80" s="36">
        <v>250</v>
      </c>
      <c r="X80" s="86">
        <v>206407.5</v>
      </c>
      <c r="Y80" s="199">
        <v>825.63</v>
      </c>
      <c r="Z80" s="44">
        <v>348</v>
      </c>
      <c r="AA80" s="41">
        <f t="shared" si="37"/>
        <v>287319.24</v>
      </c>
      <c r="AB80" s="44">
        <v>0</v>
      </c>
      <c r="AC80" s="44">
        <f t="shared" si="36"/>
        <v>0</v>
      </c>
      <c r="AD80" s="44">
        <f t="shared" si="38"/>
        <v>348</v>
      </c>
      <c r="AE80" s="111">
        <f t="shared" si="39"/>
        <v>287319.24</v>
      </c>
      <c r="AF80" s="51" t="s">
        <v>578</v>
      </c>
      <c r="AG80" s="115"/>
      <c r="AH80" s="35">
        <v>0</v>
      </c>
      <c r="AI80" s="36">
        <v>0</v>
      </c>
      <c r="AJ80" s="36">
        <v>0</v>
      </c>
      <c r="AK80" s="36"/>
      <c r="AL80" s="36">
        <v>0</v>
      </c>
      <c r="AM80" s="36">
        <v>0</v>
      </c>
      <c r="AN80" s="46">
        <v>0</v>
      </c>
      <c r="AO80" s="100">
        <f t="shared" si="35"/>
        <v>0</v>
      </c>
      <c r="AP80" s="3">
        <f t="shared" si="40"/>
        <v>0</v>
      </c>
    </row>
    <row r="81" spans="1:42" x14ac:dyDescent="0.2">
      <c r="A81" s="49" t="s">
        <v>285</v>
      </c>
      <c r="B81" s="37" t="s">
        <v>562</v>
      </c>
      <c r="C81" s="37" t="s">
        <v>571</v>
      </c>
      <c r="D81" s="52"/>
      <c r="E81" s="38" t="s">
        <v>755</v>
      </c>
      <c r="F81" s="36" t="s">
        <v>560</v>
      </c>
      <c r="G81" s="36" t="s">
        <v>619</v>
      </c>
      <c r="H81" s="39">
        <v>69</v>
      </c>
      <c r="I81" s="40">
        <v>504182</v>
      </c>
      <c r="J81" s="39">
        <v>24</v>
      </c>
      <c r="K81" s="40">
        <v>188010.8</v>
      </c>
      <c r="L81" s="37" t="s">
        <v>571</v>
      </c>
      <c r="M81" s="41">
        <v>8798.795319148936</v>
      </c>
      <c r="N81" s="42">
        <v>17</v>
      </c>
      <c r="O81" s="36">
        <v>0</v>
      </c>
      <c r="P81" s="41">
        <f t="shared" si="41"/>
        <v>149579.5204255319</v>
      </c>
      <c r="Q81" s="36">
        <v>0</v>
      </c>
      <c r="R81" s="43">
        <f t="shared" si="42"/>
        <v>0</v>
      </c>
      <c r="S81" s="43">
        <f t="shared" si="43"/>
        <v>17</v>
      </c>
      <c r="T81" s="41">
        <f t="shared" si="44"/>
        <v>149579.5204255319</v>
      </c>
      <c r="U81" s="44">
        <v>17</v>
      </c>
      <c r="V81" s="45">
        <f t="shared" si="45"/>
        <v>149579.5204255319</v>
      </c>
      <c r="W81" s="36">
        <v>47</v>
      </c>
      <c r="X81" s="86">
        <v>413543.38</v>
      </c>
      <c r="Y81" s="199">
        <v>9125</v>
      </c>
      <c r="Z81" s="44">
        <v>0</v>
      </c>
      <c r="AA81" s="41">
        <f t="shared" si="37"/>
        <v>0</v>
      </c>
      <c r="AB81" s="44">
        <v>0</v>
      </c>
      <c r="AC81" s="44">
        <f t="shared" si="36"/>
        <v>30</v>
      </c>
      <c r="AD81" s="44">
        <f t="shared" si="38"/>
        <v>30</v>
      </c>
      <c r="AE81" s="111">
        <f t="shared" si="39"/>
        <v>273750</v>
      </c>
      <c r="AF81" s="51" t="s">
        <v>571</v>
      </c>
      <c r="AG81" s="115" t="s">
        <v>1051</v>
      </c>
      <c r="AH81" s="35">
        <v>0</v>
      </c>
      <c r="AI81" s="36">
        <v>0</v>
      </c>
      <c r="AJ81" s="36">
        <v>0</v>
      </c>
      <c r="AK81" s="36"/>
      <c r="AL81" s="36">
        <v>30</v>
      </c>
      <c r="AM81" s="36">
        <v>0</v>
      </c>
      <c r="AN81" s="46">
        <v>0</v>
      </c>
      <c r="AO81" s="100">
        <f t="shared" si="35"/>
        <v>30</v>
      </c>
      <c r="AP81" s="3">
        <f t="shared" si="40"/>
        <v>273750</v>
      </c>
    </row>
    <row r="82" spans="1:42" x14ac:dyDescent="0.2">
      <c r="A82" s="35" t="s">
        <v>221</v>
      </c>
      <c r="B82" s="37" t="s">
        <v>556</v>
      </c>
      <c r="C82" s="37" t="s">
        <v>571</v>
      </c>
      <c r="D82" s="52"/>
      <c r="E82" s="38" t="s">
        <v>769</v>
      </c>
      <c r="F82" s="36" t="s">
        <v>559</v>
      </c>
      <c r="G82" s="36" t="s">
        <v>602</v>
      </c>
      <c r="H82" s="39">
        <v>3570</v>
      </c>
      <c r="I82" s="40">
        <v>196528.5</v>
      </c>
      <c r="J82" s="39">
        <v>5051</v>
      </c>
      <c r="K82" s="40">
        <v>278057.55</v>
      </c>
      <c r="L82" s="37" t="s">
        <v>578</v>
      </c>
      <c r="M82" s="47">
        <v>55.630852819807423</v>
      </c>
      <c r="N82" s="48">
        <v>0</v>
      </c>
      <c r="O82" s="36">
        <v>3123</v>
      </c>
      <c r="P82" s="47">
        <f t="shared" si="41"/>
        <v>173735.15335625858</v>
      </c>
      <c r="Q82" s="36">
        <v>5100</v>
      </c>
      <c r="R82" s="43">
        <f t="shared" si="42"/>
        <v>-1977</v>
      </c>
      <c r="S82" s="43">
        <f t="shared" si="43"/>
        <v>1010</v>
      </c>
      <c r="T82" s="47">
        <f t="shared" si="44"/>
        <v>56187.161348005495</v>
      </c>
      <c r="U82" s="44">
        <v>4133</v>
      </c>
      <c r="V82" s="45">
        <f t="shared" si="45"/>
        <v>229922.31470426408</v>
      </c>
      <c r="W82" s="36">
        <v>3635</v>
      </c>
      <c r="X82" s="86">
        <v>202218.15</v>
      </c>
      <c r="Y82" s="199">
        <v>57</v>
      </c>
      <c r="Z82" s="44">
        <v>1020</v>
      </c>
      <c r="AA82" s="41">
        <f t="shared" si="37"/>
        <v>58140</v>
      </c>
      <c r="AB82" s="44">
        <v>0</v>
      </c>
      <c r="AC82" s="44">
        <f t="shared" si="36"/>
        <v>3570</v>
      </c>
      <c r="AD82" s="44">
        <f t="shared" si="38"/>
        <v>4590</v>
      </c>
      <c r="AE82" s="111">
        <f t="shared" si="39"/>
        <v>261630</v>
      </c>
      <c r="AF82" s="51" t="s">
        <v>578</v>
      </c>
      <c r="AG82" s="115"/>
      <c r="AH82" s="35">
        <v>0</v>
      </c>
      <c r="AI82" s="36">
        <v>0</v>
      </c>
      <c r="AJ82" s="36">
        <v>0</v>
      </c>
      <c r="AK82" s="36"/>
      <c r="AL82" s="36">
        <v>0</v>
      </c>
      <c r="AM82" s="36">
        <v>3570</v>
      </c>
      <c r="AN82" s="46">
        <v>0</v>
      </c>
      <c r="AO82" s="100">
        <f t="shared" si="35"/>
        <v>3570</v>
      </c>
      <c r="AP82" s="3">
        <f t="shared" si="40"/>
        <v>203490</v>
      </c>
    </row>
    <row r="83" spans="1:42" x14ac:dyDescent="0.2">
      <c r="A83" s="35" t="s">
        <v>466</v>
      </c>
      <c r="B83" s="37" t="s">
        <v>556</v>
      </c>
      <c r="C83" s="37" t="s">
        <v>571</v>
      </c>
      <c r="D83" s="52"/>
      <c r="E83" s="38" t="s">
        <v>682</v>
      </c>
      <c r="F83" s="36" t="s">
        <v>564</v>
      </c>
      <c r="G83" s="36" t="s">
        <v>675</v>
      </c>
      <c r="H83" s="39">
        <v>1967</v>
      </c>
      <c r="I83" s="40">
        <v>526329.8600000001</v>
      </c>
      <c r="J83" s="39">
        <v>1240</v>
      </c>
      <c r="K83" s="40">
        <v>378225.44</v>
      </c>
      <c r="L83" s="37" t="s">
        <v>578</v>
      </c>
      <c r="M83" s="41">
        <v>315.73999999999995</v>
      </c>
      <c r="N83" s="42">
        <v>0</v>
      </c>
      <c r="O83" s="36">
        <v>270</v>
      </c>
      <c r="P83" s="41">
        <f t="shared" si="41"/>
        <v>85249.799999999988</v>
      </c>
      <c r="Q83" s="36">
        <v>1200</v>
      </c>
      <c r="R83" s="43">
        <f t="shared" si="42"/>
        <v>-930</v>
      </c>
      <c r="S83" s="43">
        <f t="shared" si="43"/>
        <v>930</v>
      </c>
      <c r="T83" s="41">
        <f t="shared" si="44"/>
        <v>293638.19999999995</v>
      </c>
      <c r="U83" s="44">
        <f>Q83</f>
        <v>1200</v>
      </c>
      <c r="V83" s="45">
        <f t="shared" si="45"/>
        <v>378887.99999999994</v>
      </c>
      <c r="W83" s="36">
        <v>270</v>
      </c>
      <c r="X83" s="86">
        <v>85249.799999999988</v>
      </c>
      <c r="Y83" s="199">
        <v>315.74</v>
      </c>
      <c r="Z83" s="44">
        <v>0</v>
      </c>
      <c r="AA83" s="41">
        <f t="shared" si="37"/>
        <v>0</v>
      </c>
      <c r="AB83" s="44">
        <v>0</v>
      </c>
      <c r="AC83" s="44">
        <f t="shared" si="36"/>
        <v>828</v>
      </c>
      <c r="AD83" s="44">
        <f t="shared" si="38"/>
        <v>828</v>
      </c>
      <c r="AE83" s="111">
        <f t="shared" si="39"/>
        <v>261432.72</v>
      </c>
      <c r="AF83" s="51" t="s">
        <v>578</v>
      </c>
      <c r="AG83" s="115"/>
      <c r="AH83" s="35">
        <v>0</v>
      </c>
      <c r="AI83" s="36">
        <v>0</v>
      </c>
      <c r="AJ83" s="36">
        <v>0</v>
      </c>
      <c r="AK83" s="36"/>
      <c r="AL83" s="36">
        <v>0</v>
      </c>
      <c r="AM83" s="36">
        <v>0</v>
      </c>
      <c r="AN83" s="46">
        <v>828</v>
      </c>
      <c r="AO83" s="100">
        <f t="shared" si="35"/>
        <v>828</v>
      </c>
      <c r="AP83" s="3">
        <f t="shared" si="40"/>
        <v>261432.72</v>
      </c>
    </row>
    <row r="84" spans="1:42" x14ac:dyDescent="0.2">
      <c r="A84" s="35" t="s">
        <v>338</v>
      </c>
      <c r="B84" s="37" t="s">
        <v>556</v>
      </c>
      <c r="C84" s="37" t="s">
        <v>578</v>
      </c>
      <c r="D84" s="52">
        <v>46387</v>
      </c>
      <c r="E84" s="38" t="s">
        <v>754</v>
      </c>
      <c r="F84" s="36" t="s">
        <v>557</v>
      </c>
      <c r="G84" s="36" t="s">
        <v>610</v>
      </c>
      <c r="H84" s="39">
        <v>89</v>
      </c>
      <c r="I84" s="40">
        <v>59678.950000000004</v>
      </c>
      <c r="J84" s="39">
        <v>166</v>
      </c>
      <c r="K84" s="40">
        <v>111311.3</v>
      </c>
      <c r="L84" s="37" t="s">
        <v>578</v>
      </c>
      <c r="M84" s="41">
        <v>670.55000000000018</v>
      </c>
      <c r="N84" s="42">
        <v>6</v>
      </c>
      <c r="O84" s="36">
        <v>206</v>
      </c>
      <c r="P84" s="41">
        <f t="shared" si="41"/>
        <v>142156.60000000003</v>
      </c>
      <c r="Q84" s="36">
        <v>322</v>
      </c>
      <c r="R84" s="43">
        <f t="shared" si="42"/>
        <v>-116</v>
      </c>
      <c r="S84" s="43">
        <f t="shared" si="43"/>
        <v>6</v>
      </c>
      <c r="T84" s="41">
        <f t="shared" si="44"/>
        <v>4023.3000000000011</v>
      </c>
      <c r="U84" s="44">
        <v>212</v>
      </c>
      <c r="V84" s="45">
        <f t="shared" si="45"/>
        <v>142156.60000000003</v>
      </c>
      <c r="W84" s="36">
        <v>171</v>
      </c>
      <c r="X84" s="86">
        <v>114664.05000000003</v>
      </c>
      <c r="Y84" s="199">
        <v>877.89</v>
      </c>
      <c r="Z84" s="44">
        <v>193</v>
      </c>
      <c r="AA84" s="41">
        <f t="shared" si="37"/>
        <v>169432.77</v>
      </c>
      <c r="AB84" s="44">
        <v>0</v>
      </c>
      <c r="AC84" s="44">
        <f t="shared" si="36"/>
        <v>100</v>
      </c>
      <c r="AD84" s="44">
        <f t="shared" si="38"/>
        <v>293</v>
      </c>
      <c r="AE84" s="111">
        <f t="shared" si="39"/>
        <v>257221.77</v>
      </c>
      <c r="AF84" s="51" t="s">
        <v>578</v>
      </c>
      <c r="AG84" s="115"/>
      <c r="AH84" s="35">
        <v>0</v>
      </c>
      <c r="AI84" s="36">
        <v>0</v>
      </c>
      <c r="AJ84" s="36">
        <v>100</v>
      </c>
      <c r="AK84" s="36"/>
      <c r="AL84" s="36">
        <v>0</v>
      </c>
      <c r="AM84" s="36">
        <v>0</v>
      </c>
      <c r="AN84" s="46">
        <v>0</v>
      </c>
      <c r="AO84" s="100">
        <f t="shared" si="35"/>
        <v>100</v>
      </c>
      <c r="AP84" s="3">
        <f t="shared" si="40"/>
        <v>87789</v>
      </c>
    </row>
    <row r="85" spans="1:42" x14ac:dyDescent="0.2">
      <c r="A85" s="35" t="s">
        <v>373</v>
      </c>
      <c r="B85" s="37" t="s">
        <v>562</v>
      </c>
      <c r="C85" s="37" t="s">
        <v>571</v>
      </c>
      <c r="D85" s="52"/>
      <c r="E85" s="38" t="s">
        <v>784</v>
      </c>
      <c r="F85" s="36" t="s">
        <v>558</v>
      </c>
      <c r="G85" s="36" t="s">
        <v>584</v>
      </c>
      <c r="H85" s="39">
        <v>0</v>
      </c>
      <c r="I85" s="40">
        <v>0</v>
      </c>
      <c r="J85" s="39">
        <v>1718</v>
      </c>
      <c r="K85" s="40">
        <v>159022.59999999998</v>
      </c>
      <c r="L85" s="37" t="s">
        <v>571</v>
      </c>
      <c r="M85" s="41">
        <v>92.11999999999999</v>
      </c>
      <c r="N85" s="42">
        <v>0</v>
      </c>
      <c r="O85" s="36">
        <v>750</v>
      </c>
      <c r="P85" s="41">
        <f t="shared" si="41"/>
        <v>69090</v>
      </c>
      <c r="Q85" s="36">
        <v>2100</v>
      </c>
      <c r="R85" s="43">
        <f t="shared" si="42"/>
        <v>-1350</v>
      </c>
      <c r="S85" s="43">
        <f t="shared" si="43"/>
        <v>250</v>
      </c>
      <c r="T85" s="41">
        <f t="shared" si="44"/>
        <v>23029.999999999996</v>
      </c>
      <c r="U85" s="44">
        <v>1000</v>
      </c>
      <c r="V85" s="45">
        <f t="shared" si="45"/>
        <v>92119.999999999985</v>
      </c>
      <c r="W85" s="36">
        <v>752</v>
      </c>
      <c r="X85" s="86">
        <v>69274.239999999991</v>
      </c>
      <c r="Y85" s="199">
        <v>250.65</v>
      </c>
      <c r="Z85" s="44">
        <v>0</v>
      </c>
      <c r="AA85" s="41">
        <f t="shared" si="37"/>
        <v>0</v>
      </c>
      <c r="AB85" s="44">
        <v>0</v>
      </c>
      <c r="AC85" s="44">
        <f t="shared" si="36"/>
        <v>1020</v>
      </c>
      <c r="AD85" s="44">
        <f t="shared" si="38"/>
        <v>1020</v>
      </c>
      <c r="AE85" s="111">
        <f t="shared" si="39"/>
        <v>255663</v>
      </c>
      <c r="AF85" s="51" t="s">
        <v>571</v>
      </c>
      <c r="AG85" s="115" t="s">
        <v>1039</v>
      </c>
      <c r="AH85" s="35">
        <v>0</v>
      </c>
      <c r="AI85" s="36">
        <v>0</v>
      </c>
      <c r="AJ85" s="36">
        <v>0</v>
      </c>
      <c r="AK85" s="36"/>
      <c r="AL85" s="36">
        <v>20</v>
      </c>
      <c r="AM85" s="36">
        <v>1000</v>
      </c>
      <c r="AN85" s="46">
        <v>0</v>
      </c>
      <c r="AO85" s="100">
        <f t="shared" si="35"/>
        <v>1020</v>
      </c>
      <c r="AP85" s="3">
        <f t="shared" si="40"/>
        <v>255663</v>
      </c>
    </row>
    <row r="86" spans="1:42" x14ac:dyDescent="0.2">
      <c r="A86" s="35" t="s">
        <v>475</v>
      </c>
      <c r="B86" s="37" t="s">
        <v>556</v>
      </c>
      <c r="C86" s="37" t="s">
        <v>578</v>
      </c>
      <c r="D86" s="52">
        <v>46477</v>
      </c>
      <c r="E86" s="38" t="s">
        <v>779</v>
      </c>
      <c r="F86" s="36" t="s">
        <v>560</v>
      </c>
      <c r="G86" s="36" t="s">
        <v>678</v>
      </c>
      <c r="H86" s="39">
        <v>117</v>
      </c>
      <c r="I86" s="40">
        <v>276418.34999999998</v>
      </c>
      <c r="J86" s="39">
        <v>175</v>
      </c>
      <c r="K86" s="40">
        <v>413446.25</v>
      </c>
      <c r="L86" s="37" t="s">
        <v>578</v>
      </c>
      <c r="M86" s="41">
        <v>2362.5499999999997</v>
      </c>
      <c r="N86" s="42">
        <v>0</v>
      </c>
      <c r="O86" s="36">
        <v>0</v>
      </c>
      <c r="P86" s="41">
        <f t="shared" si="41"/>
        <v>0</v>
      </c>
      <c r="Q86" s="36">
        <v>75</v>
      </c>
      <c r="R86" s="43">
        <f t="shared" si="42"/>
        <v>-75</v>
      </c>
      <c r="S86" s="43">
        <f t="shared" si="43"/>
        <v>50</v>
      </c>
      <c r="T86" s="41">
        <f t="shared" si="44"/>
        <v>118127.49999999999</v>
      </c>
      <c r="U86" s="44">
        <v>50</v>
      </c>
      <c r="V86" s="45">
        <f t="shared" si="45"/>
        <v>118127.49999999999</v>
      </c>
      <c r="W86" s="36">
        <v>29</v>
      </c>
      <c r="X86" s="86">
        <v>68513.95</v>
      </c>
      <c r="Y86" s="199">
        <v>2362.5500000000002</v>
      </c>
      <c r="Z86" s="44">
        <v>105</v>
      </c>
      <c r="AA86" s="41">
        <f t="shared" si="37"/>
        <v>248067.75000000003</v>
      </c>
      <c r="AB86" s="44">
        <v>0</v>
      </c>
      <c r="AC86" s="44">
        <f t="shared" si="36"/>
        <v>0</v>
      </c>
      <c r="AD86" s="44">
        <f t="shared" si="38"/>
        <v>105</v>
      </c>
      <c r="AE86" s="111">
        <f t="shared" si="39"/>
        <v>248067.75000000003</v>
      </c>
      <c r="AF86" s="51" t="s">
        <v>578</v>
      </c>
      <c r="AG86" s="115"/>
      <c r="AH86" s="35">
        <v>0</v>
      </c>
      <c r="AI86" s="36">
        <v>0</v>
      </c>
      <c r="AJ86" s="36">
        <v>0</v>
      </c>
      <c r="AK86" s="36"/>
      <c r="AL86" s="36">
        <v>0</v>
      </c>
      <c r="AM86" s="36">
        <v>0</v>
      </c>
      <c r="AN86" s="46">
        <v>0</v>
      </c>
      <c r="AO86" s="100">
        <f t="shared" si="35"/>
        <v>0</v>
      </c>
      <c r="AP86" s="3">
        <f t="shared" si="40"/>
        <v>0</v>
      </c>
    </row>
    <row r="87" spans="1:42" x14ac:dyDescent="0.2">
      <c r="A87" s="35" t="s">
        <v>278</v>
      </c>
      <c r="B87" s="37" t="s">
        <v>556</v>
      </c>
      <c r="C87" s="37" t="s">
        <v>571</v>
      </c>
      <c r="D87" s="52"/>
      <c r="E87" s="38" t="s">
        <v>763</v>
      </c>
      <c r="F87" s="36" t="s">
        <v>560</v>
      </c>
      <c r="G87" s="36" t="s">
        <v>626</v>
      </c>
      <c r="H87" s="39">
        <v>202</v>
      </c>
      <c r="I87" s="40">
        <v>231625.98</v>
      </c>
      <c r="J87" s="39">
        <v>18</v>
      </c>
      <c r="K87" s="40">
        <v>19547.820000000003</v>
      </c>
      <c r="L87" s="37" t="s">
        <v>571</v>
      </c>
      <c r="M87" s="41">
        <v>1152.5986956521738</v>
      </c>
      <c r="N87" s="42">
        <v>0</v>
      </c>
      <c r="O87" s="36">
        <v>84</v>
      </c>
      <c r="P87" s="41">
        <f t="shared" si="41"/>
        <v>96818.290434782597</v>
      </c>
      <c r="Q87" s="36">
        <v>153</v>
      </c>
      <c r="R87" s="43">
        <f t="shared" si="42"/>
        <v>-69</v>
      </c>
      <c r="S87" s="43">
        <f t="shared" si="43"/>
        <v>51</v>
      </c>
      <c r="T87" s="41">
        <f t="shared" si="44"/>
        <v>58782.533478260862</v>
      </c>
      <c r="U87" s="44">
        <f>84+51</f>
        <v>135</v>
      </c>
      <c r="V87" s="45">
        <f t="shared" si="45"/>
        <v>155600.82391304345</v>
      </c>
      <c r="W87" s="36">
        <v>184</v>
      </c>
      <c r="X87" s="86">
        <v>212078.15999999997</v>
      </c>
      <c r="Y87" s="199">
        <v>1208.55</v>
      </c>
      <c r="Z87" s="44">
        <v>0</v>
      </c>
      <c r="AA87" s="41">
        <f t="shared" si="37"/>
        <v>0</v>
      </c>
      <c r="AB87" s="44">
        <v>0</v>
      </c>
      <c r="AC87" s="44">
        <f t="shared" si="36"/>
        <v>204</v>
      </c>
      <c r="AD87" s="44">
        <f t="shared" si="38"/>
        <v>204</v>
      </c>
      <c r="AE87" s="111">
        <f t="shared" si="39"/>
        <v>246544.19999999998</v>
      </c>
      <c r="AF87" s="51" t="s">
        <v>571</v>
      </c>
      <c r="AG87" s="115"/>
      <c r="AH87" s="35">
        <v>0</v>
      </c>
      <c r="AI87" s="36">
        <v>0</v>
      </c>
      <c r="AJ87" s="36">
        <v>204</v>
      </c>
      <c r="AK87" s="36"/>
      <c r="AL87" s="36">
        <v>0</v>
      </c>
      <c r="AM87" s="36">
        <v>0</v>
      </c>
      <c r="AN87" s="46">
        <v>0</v>
      </c>
      <c r="AO87" s="100">
        <f t="shared" si="35"/>
        <v>204</v>
      </c>
      <c r="AP87" s="3">
        <f t="shared" si="40"/>
        <v>246544.19999999998</v>
      </c>
    </row>
    <row r="88" spans="1:42" x14ac:dyDescent="0.2">
      <c r="A88" s="35" t="s">
        <v>16</v>
      </c>
      <c r="B88" s="37" t="s">
        <v>556</v>
      </c>
      <c r="C88" s="37" t="s">
        <v>571</v>
      </c>
      <c r="D88" s="52"/>
      <c r="E88" s="38" t="s">
        <v>770</v>
      </c>
      <c r="F88" s="36" t="s">
        <v>564</v>
      </c>
      <c r="G88" s="36" t="s">
        <v>605</v>
      </c>
      <c r="H88" s="39">
        <v>704</v>
      </c>
      <c r="I88" s="40">
        <v>119977.2</v>
      </c>
      <c r="J88" s="39">
        <v>1476</v>
      </c>
      <c r="K88" s="40">
        <v>256578.55999999997</v>
      </c>
      <c r="L88" s="37" t="s">
        <v>578</v>
      </c>
      <c r="M88" s="41">
        <v>176.68</v>
      </c>
      <c r="N88" s="42">
        <v>34</v>
      </c>
      <c r="O88" s="36">
        <v>1886</v>
      </c>
      <c r="P88" s="41">
        <f t="shared" si="41"/>
        <v>339225.60000000003</v>
      </c>
      <c r="Q88" s="36">
        <v>1200</v>
      </c>
      <c r="R88" s="43">
        <f t="shared" si="42"/>
        <v>686</v>
      </c>
      <c r="S88" s="43">
        <f t="shared" si="43"/>
        <v>114</v>
      </c>
      <c r="T88" s="41">
        <f t="shared" si="44"/>
        <v>20141.52</v>
      </c>
      <c r="U88" s="44">
        <v>2000</v>
      </c>
      <c r="V88" s="45">
        <f t="shared" si="45"/>
        <v>353360</v>
      </c>
      <c r="W88" s="36">
        <v>2298</v>
      </c>
      <c r="X88" s="86">
        <v>406010.64</v>
      </c>
      <c r="Y88" s="199">
        <v>176.68000000000004</v>
      </c>
      <c r="Z88" s="44">
        <v>552</v>
      </c>
      <c r="AA88" s="41">
        <f t="shared" si="37"/>
        <v>97527.360000000015</v>
      </c>
      <c r="AB88" s="44">
        <v>0</v>
      </c>
      <c r="AC88" s="44">
        <f t="shared" si="36"/>
        <v>826</v>
      </c>
      <c r="AD88" s="44">
        <f t="shared" si="38"/>
        <v>1378</v>
      </c>
      <c r="AE88" s="111">
        <f t="shared" si="39"/>
        <v>243465.04000000004</v>
      </c>
      <c r="AF88" s="51" t="s">
        <v>578</v>
      </c>
      <c r="AG88" s="115"/>
      <c r="AH88" s="35">
        <v>0</v>
      </c>
      <c r="AI88" s="36">
        <v>0</v>
      </c>
      <c r="AJ88" s="36">
        <v>0</v>
      </c>
      <c r="AK88" s="36"/>
      <c r="AL88" s="36">
        <v>0</v>
      </c>
      <c r="AM88" s="36">
        <v>0</v>
      </c>
      <c r="AN88" s="46">
        <v>826</v>
      </c>
      <c r="AO88" s="100">
        <f t="shared" si="35"/>
        <v>826</v>
      </c>
      <c r="AP88" s="3">
        <f t="shared" si="40"/>
        <v>145937.68000000002</v>
      </c>
    </row>
    <row r="89" spans="1:42" x14ac:dyDescent="0.2">
      <c r="A89" s="35" t="s">
        <v>102</v>
      </c>
      <c r="B89" s="37" t="s">
        <v>556</v>
      </c>
      <c r="C89" s="37" t="s">
        <v>578</v>
      </c>
      <c r="D89" s="52">
        <v>46387</v>
      </c>
      <c r="E89" s="38" t="s">
        <v>754</v>
      </c>
      <c r="F89" s="36" t="s">
        <v>559</v>
      </c>
      <c r="G89" s="36" t="s">
        <v>587</v>
      </c>
      <c r="H89" s="39">
        <v>416</v>
      </c>
      <c r="I89" s="40">
        <v>145600</v>
      </c>
      <c r="J89" s="39">
        <v>330</v>
      </c>
      <c r="K89" s="40">
        <v>115500</v>
      </c>
      <c r="L89" s="37" t="s">
        <v>578</v>
      </c>
      <c r="M89" s="41">
        <v>350</v>
      </c>
      <c r="N89" s="42">
        <v>0</v>
      </c>
      <c r="O89" s="36">
        <v>175</v>
      </c>
      <c r="P89" s="41">
        <f t="shared" si="41"/>
        <v>61250</v>
      </c>
      <c r="Q89" s="36">
        <v>245</v>
      </c>
      <c r="R89" s="43">
        <f t="shared" si="42"/>
        <v>-70</v>
      </c>
      <c r="S89" s="43">
        <f t="shared" si="43"/>
        <v>70</v>
      </c>
      <c r="T89" s="41">
        <f t="shared" si="44"/>
        <v>24500</v>
      </c>
      <c r="U89" s="44">
        <v>245</v>
      </c>
      <c r="V89" s="45">
        <f t="shared" si="45"/>
        <v>85750</v>
      </c>
      <c r="W89" s="36">
        <v>485</v>
      </c>
      <c r="X89" s="86">
        <v>169750</v>
      </c>
      <c r="Y89" s="199">
        <v>350</v>
      </c>
      <c r="Z89" s="44">
        <v>250</v>
      </c>
      <c r="AA89" s="41">
        <f t="shared" si="37"/>
        <v>87500</v>
      </c>
      <c r="AB89" s="44">
        <v>45</v>
      </c>
      <c r="AC89" s="44">
        <f t="shared" si="36"/>
        <v>445</v>
      </c>
      <c r="AD89" s="44">
        <f t="shared" si="38"/>
        <v>695</v>
      </c>
      <c r="AE89" s="111">
        <f t="shared" si="39"/>
        <v>243250</v>
      </c>
      <c r="AF89" s="51" t="s">
        <v>578</v>
      </c>
      <c r="AG89" s="115"/>
      <c r="AH89" s="35">
        <v>100</v>
      </c>
      <c r="AI89" s="36">
        <v>0</v>
      </c>
      <c r="AJ89" s="36">
        <v>300</v>
      </c>
      <c r="AK89" s="36"/>
      <c r="AL89" s="36">
        <v>0</v>
      </c>
      <c r="AM89" s="36">
        <v>0</v>
      </c>
      <c r="AN89" s="46">
        <v>0</v>
      </c>
      <c r="AO89" s="100">
        <f t="shared" si="35"/>
        <v>400</v>
      </c>
      <c r="AP89" s="3">
        <f t="shared" si="40"/>
        <v>155750</v>
      </c>
    </row>
    <row r="90" spans="1:42" x14ac:dyDescent="0.2">
      <c r="A90" s="49" t="s">
        <v>934</v>
      </c>
      <c r="B90" s="37" t="s">
        <v>562</v>
      </c>
      <c r="C90" s="37" t="s">
        <v>571</v>
      </c>
      <c r="D90" s="52"/>
      <c r="E90" s="38" t="s">
        <v>999</v>
      </c>
      <c r="F90" s="36" t="s">
        <v>568</v>
      </c>
      <c r="G90" s="36" t="s">
        <v>956</v>
      </c>
      <c r="H90" s="39"/>
      <c r="I90" s="40"/>
      <c r="J90" s="39"/>
      <c r="K90" s="40"/>
      <c r="L90" s="37"/>
      <c r="M90" s="41"/>
      <c r="N90" s="36"/>
      <c r="O90" s="41"/>
      <c r="P90" s="36"/>
      <c r="Q90" s="43"/>
      <c r="R90" s="43"/>
      <c r="S90" s="41"/>
      <c r="T90" s="44"/>
      <c r="U90" s="45"/>
      <c r="V90" s="36"/>
      <c r="W90" s="45"/>
      <c r="X90" s="46"/>
      <c r="Y90" s="199">
        <v>757.88249999999994</v>
      </c>
      <c r="Z90" s="44">
        <v>249</v>
      </c>
      <c r="AA90" s="41">
        <f t="shared" si="37"/>
        <v>188712.74249999999</v>
      </c>
      <c r="AB90" s="44">
        <v>0</v>
      </c>
      <c r="AC90" s="44">
        <f t="shared" si="36"/>
        <v>50</v>
      </c>
      <c r="AD90" s="44">
        <f t="shared" si="38"/>
        <v>299</v>
      </c>
      <c r="AE90" s="111">
        <f t="shared" si="39"/>
        <v>226606.86749999999</v>
      </c>
      <c r="AF90" s="51" t="s">
        <v>571</v>
      </c>
      <c r="AG90" s="115" t="s">
        <v>1041</v>
      </c>
      <c r="AH90" s="35">
        <v>0</v>
      </c>
      <c r="AI90" s="36">
        <v>0</v>
      </c>
      <c r="AJ90" s="36">
        <v>0</v>
      </c>
      <c r="AK90" s="36"/>
      <c r="AL90" s="36">
        <v>50</v>
      </c>
      <c r="AM90" s="36">
        <v>0</v>
      </c>
      <c r="AN90" s="46">
        <v>0</v>
      </c>
      <c r="AO90" s="100">
        <f t="shared" si="35"/>
        <v>50</v>
      </c>
      <c r="AP90" s="3">
        <f t="shared" si="40"/>
        <v>37894.125</v>
      </c>
    </row>
    <row r="91" spans="1:42" x14ac:dyDescent="0.2">
      <c r="A91" s="35" t="s">
        <v>384</v>
      </c>
      <c r="B91" s="37" t="s">
        <v>562</v>
      </c>
      <c r="C91" s="37" t="s">
        <v>571</v>
      </c>
      <c r="D91" s="52"/>
      <c r="E91" s="38" t="s">
        <v>768</v>
      </c>
      <c r="F91" s="36" t="s">
        <v>558</v>
      </c>
      <c r="G91" s="36" t="s">
        <v>582</v>
      </c>
      <c r="H91" s="39">
        <v>329</v>
      </c>
      <c r="I91" s="40">
        <v>706436</v>
      </c>
      <c r="J91" s="39">
        <v>5</v>
      </c>
      <c r="K91" s="40">
        <v>14396.85</v>
      </c>
      <c r="L91" s="37" t="s">
        <v>578</v>
      </c>
      <c r="M91" s="41">
        <v>2200</v>
      </c>
      <c r="N91" s="42">
        <v>0</v>
      </c>
      <c r="O91" s="36">
        <v>110</v>
      </c>
      <c r="P91" s="41">
        <f t="shared" ref="P91:P127" si="46">(N91+O91)*M91</f>
        <v>242000</v>
      </c>
      <c r="Q91" s="36">
        <v>0</v>
      </c>
      <c r="R91" s="43">
        <f t="shared" ref="R91:R127" si="47">O91-Q91</f>
        <v>110</v>
      </c>
      <c r="S91" s="43">
        <f t="shared" ref="S91:S127" si="48">U91-O91</f>
        <v>100</v>
      </c>
      <c r="T91" s="41">
        <f t="shared" ref="T91:T127" si="49">S91*M91</f>
        <v>220000</v>
      </c>
      <c r="U91" s="44">
        <f>110+100</f>
        <v>210</v>
      </c>
      <c r="V91" s="45">
        <f t="shared" ref="V91:V127" si="50">U91*M91</f>
        <v>462000</v>
      </c>
      <c r="W91" s="36">
        <v>110</v>
      </c>
      <c r="X91" s="86">
        <v>242000</v>
      </c>
      <c r="Y91" s="199">
        <v>2200</v>
      </c>
      <c r="Z91" s="44">
        <v>0</v>
      </c>
      <c r="AA91" s="41">
        <f t="shared" si="37"/>
        <v>0</v>
      </c>
      <c r="AB91" s="44">
        <v>0</v>
      </c>
      <c r="AC91" s="44">
        <f t="shared" si="36"/>
        <v>100</v>
      </c>
      <c r="AD91" s="44">
        <f t="shared" si="38"/>
        <v>100</v>
      </c>
      <c r="AE91" s="111">
        <f t="shared" si="39"/>
        <v>220000</v>
      </c>
      <c r="AF91" s="51" t="s">
        <v>578</v>
      </c>
      <c r="AG91" s="115"/>
      <c r="AH91" s="35">
        <v>0</v>
      </c>
      <c r="AI91" s="36">
        <v>0</v>
      </c>
      <c r="AJ91" s="36">
        <v>50</v>
      </c>
      <c r="AK91" s="36"/>
      <c r="AL91" s="36">
        <v>0</v>
      </c>
      <c r="AM91" s="36">
        <v>50</v>
      </c>
      <c r="AN91" s="46">
        <v>0</v>
      </c>
      <c r="AO91" s="100">
        <f t="shared" si="35"/>
        <v>100</v>
      </c>
      <c r="AP91" s="3">
        <f t="shared" si="40"/>
        <v>220000</v>
      </c>
    </row>
    <row r="92" spans="1:42" x14ac:dyDescent="0.2">
      <c r="A92" s="35" t="s">
        <v>271</v>
      </c>
      <c r="B92" s="37" t="s">
        <v>556</v>
      </c>
      <c r="C92" s="37" t="s">
        <v>571</v>
      </c>
      <c r="D92" s="52"/>
      <c r="E92" s="38" t="s">
        <v>761</v>
      </c>
      <c r="F92" s="36" t="s">
        <v>560</v>
      </c>
      <c r="G92" s="36" t="s">
        <v>586</v>
      </c>
      <c r="H92" s="39">
        <v>384</v>
      </c>
      <c r="I92" s="40">
        <v>235776</v>
      </c>
      <c r="J92" s="39">
        <v>204</v>
      </c>
      <c r="K92" s="40">
        <v>205213.96000000002</v>
      </c>
      <c r="L92" s="37" t="s">
        <v>578</v>
      </c>
      <c r="M92" s="41">
        <v>830.0942446043166</v>
      </c>
      <c r="N92" s="42">
        <v>0</v>
      </c>
      <c r="O92" s="36">
        <v>140</v>
      </c>
      <c r="P92" s="41">
        <f t="shared" si="46"/>
        <v>116213.19424460432</v>
      </c>
      <c r="Q92" s="36">
        <v>200</v>
      </c>
      <c r="R92" s="43">
        <f t="shared" si="47"/>
        <v>-60</v>
      </c>
      <c r="S92" s="43">
        <f t="shared" si="48"/>
        <v>85</v>
      </c>
      <c r="T92" s="41">
        <f t="shared" si="49"/>
        <v>70558.010791366905</v>
      </c>
      <c r="U92" s="44">
        <v>225</v>
      </c>
      <c r="V92" s="45">
        <f t="shared" si="50"/>
        <v>186771.20503597124</v>
      </c>
      <c r="W92" s="36">
        <v>278</v>
      </c>
      <c r="X92" s="86">
        <v>230766.2</v>
      </c>
      <c r="Y92" s="199">
        <v>1085.57</v>
      </c>
      <c r="Z92" s="44">
        <v>150</v>
      </c>
      <c r="AA92" s="41">
        <f t="shared" si="37"/>
        <v>162835.5</v>
      </c>
      <c r="AB92" s="44">
        <v>0</v>
      </c>
      <c r="AC92" s="44">
        <f t="shared" si="36"/>
        <v>50</v>
      </c>
      <c r="AD92" s="44">
        <f t="shared" si="38"/>
        <v>200</v>
      </c>
      <c r="AE92" s="111">
        <f t="shared" si="39"/>
        <v>217114</v>
      </c>
      <c r="AF92" s="51" t="s">
        <v>578</v>
      </c>
      <c r="AG92" s="115"/>
      <c r="AH92" s="35">
        <v>0</v>
      </c>
      <c r="AI92" s="36">
        <v>0</v>
      </c>
      <c r="AJ92" s="36">
        <v>50</v>
      </c>
      <c r="AK92" s="36"/>
      <c r="AL92" s="36">
        <v>0</v>
      </c>
      <c r="AM92" s="36">
        <v>0</v>
      </c>
      <c r="AN92" s="46">
        <v>0</v>
      </c>
      <c r="AO92" s="100">
        <f t="shared" ref="AO92:AO123" si="51">SUM(AH92:AN92)</f>
        <v>50</v>
      </c>
      <c r="AP92" s="3">
        <f t="shared" si="40"/>
        <v>54278.5</v>
      </c>
    </row>
    <row r="93" spans="1:42" x14ac:dyDescent="0.2">
      <c r="A93" s="35" t="s">
        <v>345</v>
      </c>
      <c r="B93" s="37" t="s">
        <v>556</v>
      </c>
      <c r="C93" s="37" t="s">
        <v>571</v>
      </c>
      <c r="D93" s="52"/>
      <c r="E93" s="38" t="s">
        <v>765</v>
      </c>
      <c r="F93" s="36" t="s">
        <v>557</v>
      </c>
      <c r="G93" s="36" t="s">
        <v>581</v>
      </c>
      <c r="H93" s="39">
        <v>360</v>
      </c>
      <c r="I93" s="40">
        <v>100252.8</v>
      </c>
      <c r="J93" s="39">
        <v>139</v>
      </c>
      <c r="K93" s="40">
        <v>41417.83</v>
      </c>
      <c r="L93" s="37" t="s">
        <v>578</v>
      </c>
      <c r="M93" s="41">
        <v>88.084032258064511</v>
      </c>
      <c r="N93" s="42">
        <v>0</v>
      </c>
      <c r="O93" s="36">
        <v>1616</v>
      </c>
      <c r="P93" s="41">
        <f t="shared" si="46"/>
        <v>142343.79612903224</v>
      </c>
      <c r="Q93" s="36">
        <v>750</v>
      </c>
      <c r="R93" s="43">
        <f t="shared" si="47"/>
        <v>866</v>
      </c>
      <c r="S93" s="43">
        <f t="shared" si="48"/>
        <v>0</v>
      </c>
      <c r="T93" s="41">
        <f t="shared" si="49"/>
        <v>0</v>
      </c>
      <c r="U93" s="44">
        <f>O93</f>
        <v>1616</v>
      </c>
      <c r="V93" s="45">
        <f t="shared" si="50"/>
        <v>142343.79612903224</v>
      </c>
      <c r="W93" s="36">
        <v>4092</v>
      </c>
      <c r="X93" s="86">
        <v>360439.86</v>
      </c>
      <c r="Y93" s="199">
        <v>297.97000000000014</v>
      </c>
      <c r="Z93" s="44">
        <v>704</v>
      </c>
      <c r="AA93" s="41">
        <f t="shared" si="37"/>
        <v>209770.88000000009</v>
      </c>
      <c r="AB93" s="44">
        <v>0</v>
      </c>
      <c r="AC93" s="44">
        <f t="shared" si="36"/>
        <v>0</v>
      </c>
      <c r="AD93" s="44">
        <f t="shared" si="38"/>
        <v>704</v>
      </c>
      <c r="AE93" s="111">
        <f t="shared" si="39"/>
        <v>209770.88000000009</v>
      </c>
      <c r="AF93" s="51" t="s">
        <v>578</v>
      </c>
      <c r="AG93" s="115"/>
      <c r="AH93" s="35">
        <v>0</v>
      </c>
      <c r="AI93" s="36">
        <v>0</v>
      </c>
      <c r="AJ93" s="36">
        <v>0</v>
      </c>
      <c r="AK93" s="36"/>
      <c r="AL93" s="36">
        <v>0</v>
      </c>
      <c r="AM93" s="36">
        <v>0</v>
      </c>
      <c r="AN93" s="46">
        <v>0</v>
      </c>
      <c r="AO93" s="100">
        <f t="shared" si="51"/>
        <v>0</v>
      </c>
      <c r="AP93" s="3">
        <f t="shared" si="40"/>
        <v>0</v>
      </c>
    </row>
    <row r="94" spans="1:42" x14ac:dyDescent="0.2">
      <c r="A94" s="35" t="s">
        <v>499</v>
      </c>
      <c r="B94" s="37" t="s">
        <v>556</v>
      </c>
      <c r="C94" s="37" t="s">
        <v>571</v>
      </c>
      <c r="D94" s="52"/>
      <c r="E94" s="38" t="s">
        <v>791</v>
      </c>
      <c r="F94" s="36" t="s">
        <v>557</v>
      </c>
      <c r="G94" s="36" t="s">
        <v>634</v>
      </c>
      <c r="H94" s="39">
        <v>1609</v>
      </c>
      <c r="I94" s="40">
        <v>91072.92</v>
      </c>
      <c r="J94" s="39">
        <v>806</v>
      </c>
      <c r="K94" s="40">
        <v>46095.14</v>
      </c>
      <c r="L94" s="37" t="s">
        <v>571</v>
      </c>
      <c r="M94" s="41">
        <v>65.78</v>
      </c>
      <c r="N94" s="42">
        <v>0</v>
      </c>
      <c r="O94" s="36">
        <v>500</v>
      </c>
      <c r="P94" s="41">
        <f t="shared" si="46"/>
        <v>32890</v>
      </c>
      <c r="Q94" s="36">
        <v>1000</v>
      </c>
      <c r="R94" s="43">
        <f t="shared" si="47"/>
        <v>-500</v>
      </c>
      <c r="S94" s="43">
        <f t="shared" si="48"/>
        <v>500</v>
      </c>
      <c r="T94" s="41">
        <f t="shared" si="49"/>
        <v>32890</v>
      </c>
      <c r="U94" s="44">
        <f>Q94</f>
        <v>1000</v>
      </c>
      <c r="V94" s="45">
        <f t="shared" si="50"/>
        <v>65780</v>
      </c>
      <c r="W94" s="36">
        <v>500</v>
      </c>
      <c r="X94" s="86">
        <v>32890</v>
      </c>
      <c r="Y94" s="199">
        <v>65.78</v>
      </c>
      <c r="Z94" s="44">
        <v>500</v>
      </c>
      <c r="AA94" s="41">
        <f t="shared" si="37"/>
        <v>32890</v>
      </c>
      <c r="AB94" s="44">
        <v>0</v>
      </c>
      <c r="AC94" s="44">
        <f t="shared" si="36"/>
        <v>2500</v>
      </c>
      <c r="AD94" s="44">
        <f t="shared" si="38"/>
        <v>3000</v>
      </c>
      <c r="AE94" s="111">
        <f t="shared" si="39"/>
        <v>197340</v>
      </c>
      <c r="AF94" s="51" t="s">
        <v>571</v>
      </c>
      <c r="AG94" s="115"/>
      <c r="AH94" s="35">
        <v>0</v>
      </c>
      <c r="AI94" s="36">
        <v>0</v>
      </c>
      <c r="AJ94" s="36">
        <v>0</v>
      </c>
      <c r="AK94" s="36"/>
      <c r="AL94" s="36">
        <v>0</v>
      </c>
      <c r="AM94" s="36">
        <v>0</v>
      </c>
      <c r="AN94" s="46">
        <v>2500</v>
      </c>
      <c r="AO94" s="100">
        <f t="shared" si="51"/>
        <v>2500</v>
      </c>
      <c r="AP94" s="3">
        <f t="shared" si="40"/>
        <v>164450</v>
      </c>
    </row>
    <row r="95" spans="1:42" x14ac:dyDescent="0.2">
      <c r="A95" s="35" t="s">
        <v>303</v>
      </c>
      <c r="B95" s="37" t="s">
        <v>556</v>
      </c>
      <c r="C95" s="37" t="s">
        <v>578</v>
      </c>
      <c r="D95" s="52">
        <v>46387</v>
      </c>
      <c r="E95" s="38" t="s">
        <v>754</v>
      </c>
      <c r="F95" s="36" t="s">
        <v>557</v>
      </c>
      <c r="G95" s="36" t="s">
        <v>610</v>
      </c>
      <c r="H95" s="39">
        <v>1189</v>
      </c>
      <c r="I95" s="40">
        <v>119031.24000000003</v>
      </c>
      <c r="J95" s="39">
        <v>1364</v>
      </c>
      <c r="K95" s="40">
        <v>157927.26</v>
      </c>
      <c r="L95" s="37" t="s">
        <v>578</v>
      </c>
      <c r="M95" s="41">
        <v>118.80874015748029</v>
      </c>
      <c r="N95" s="42">
        <v>46</v>
      </c>
      <c r="O95" s="36">
        <v>1397</v>
      </c>
      <c r="P95" s="41">
        <f t="shared" si="46"/>
        <v>171441.01204724406</v>
      </c>
      <c r="Q95" s="36">
        <v>1300</v>
      </c>
      <c r="R95" s="43">
        <f t="shared" si="47"/>
        <v>97</v>
      </c>
      <c r="S95" s="43">
        <f t="shared" si="48"/>
        <v>30</v>
      </c>
      <c r="T95" s="41">
        <f t="shared" si="49"/>
        <v>3564.2622047244085</v>
      </c>
      <c r="U95" s="44">
        <v>1427</v>
      </c>
      <c r="V95" s="45">
        <f t="shared" si="50"/>
        <v>169540.07220472436</v>
      </c>
      <c r="W95" s="36">
        <v>1397</v>
      </c>
      <c r="X95" s="86">
        <v>165975.80999999997</v>
      </c>
      <c r="Y95" s="199">
        <v>149.6</v>
      </c>
      <c r="Z95" s="44">
        <v>493</v>
      </c>
      <c r="AA95" s="41">
        <f t="shared" si="37"/>
        <v>73752.800000000003</v>
      </c>
      <c r="AB95" s="44">
        <v>0</v>
      </c>
      <c r="AC95" s="44">
        <f t="shared" ref="AC95:AC126" si="52">AB95+AO95</f>
        <v>819</v>
      </c>
      <c r="AD95" s="44">
        <f t="shared" si="38"/>
        <v>1312</v>
      </c>
      <c r="AE95" s="111">
        <f t="shared" si="39"/>
        <v>196275.19999999998</v>
      </c>
      <c r="AF95" s="51" t="s">
        <v>578</v>
      </c>
      <c r="AG95" s="115"/>
      <c r="AH95" s="35">
        <v>519</v>
      </c>
      <c r="AI95" s="36">
        <v>0</v>
      </c>
      <c r="AJ95" s="36">
        <v>300</v>
      </c>
      <c r="AK95" s="36"/>
      <c r="AL95" s="36">
        <v>0</v>
      </c>
      <c r="AM95" s="36">
        <v>0</v>
      </c>
      <c r="AN95" s="46">
        <v>0</v>
      </c>
      <c r="AO95" s="100">
        <f t="shared" si="51"/>
        <v>819</v>
      </c>
      <c r="AP95" s="3">
        <f t="shared" si="40"/>
        <v>122522.4</v>
      </c>
    </row>
    <row r="96" spans="1:42" x14ac:dyDescent="0.2">
      <c r="A96" s="35" t="s">
        <v>54</v>
      </c>
      <c r="B96" s="37" t="s">
        <v>556</v>
      </c>
      <c r="C96" s="37" t="s">
        <v>578</v>
      </c>
      <c r="D96" s="52">
        <v>46387</v>
      </c>
      <c r="E96" s="38" t="s">
        <v>754</v>
      </c>
      <c r="F96" s="36" t="s">
        <v>559</v>
      </c>
      <c r="G96" s="36" t="s">
        <v>585</v>
      </c>
      <c r="H96" s="39">
        <v>850</v>
      </c>
      <c r="I96" s="40">
        <v>107975.5</v>
      </c>
      <c r="J96" s="39">
        <v>1809</v>
      </c>
      <c r="K96" s="40">
        <v>229797.27</v>
      </c>
      <c r="L96" s="37" t="s">
        <v>578</v>
      </c>
      <c r="M96" s="41">
        <v>127.03</v>
      </c>
      <c r="N96" s="42">
        <v>20</v>
      </c>
      <c r="O96" s="36">
        <v>273</v>
      </c>
      <c r="P96" s="41">
        <f t="shared" si="46"/>
        <v>37219.79</v>
      </c>
      <c r="Q96" s="36">
        <v>100</v>
      </c>
      <c r="R96" s="43">
        <f t="shared" si="47"/>
        <v>173</v>
      </c>
      <c r="S96" s="43">
        <f t="shared" si="48"/>
        <v>1827</v>
      </c>
      <c r="T96" s="41">
        <f t="shared" si="49"/>
        <v>232083.81</v>
      </c>
      <c r="U96" s="44">
        <f>2000+100</f>
        <v>2100</v>
      </c>
      <c r="V96" s="45">
        <f t="shared" si="50"/>
        <v>266763</v>
      </c>
      <c r="W96" s="36">
        <v>293</v>
      </c>
      <c r="X96" s="86">
        <v>37219.79</v>
      </c>
      <c r="Y96" s="199">
        <v>127.02999999999999</v>
      </c>
      <c r="Z96" s="44">
        <v>1153</v>
      </c>
      <c r="AA96" s="41">
        <f t="shared" si="37"/>
        <v>146465.59</v>
      </c>
      <c r="AB96" s="44">
        <v>0</v>
      </c>
      <c r="AC96" s="44">
        <f t="shared" si="52"/>
        <v>387</v>
      </c>
      <c r="AD96" s="44">
        <f t="shared" si="38"/>
        <v>1540</v>
      </c>
      <c r="AE96" s="111">
        <f t="shared" si="39"/>
        <v>195626.19999999998</v>
      </c>
      <c r="AF96" s="51" t="s">
        <v>578</v>
      </c>
      <c r="AG96" s="115"/>
      <c r="AH96" s="35">
        <v>187</v>
      </c>
      <c r="AI96" s="36">
        <v>0</v>
      </c>
      <c r="AJ96" s="36">
        <v>200</v>
      </c>
      <c r="AK96" s="36"/>
      <c r="AL96" s="36">
        <v>0</v>
      </c>
      <c r="AM96" s="36">
        <v>0</v>
      </c>
      <c r="AN96" s="46">
        <v>0</v>
      </c>
      <c r="AO96" s="100">
        <f t="shared" si="51"/>
        <v>387</v>
      </c>
      <c r="AP96" s="3">
        <f t="shared" si="40"/>
        <v>49160.609999999993</v>
      </c>
    </row>
    <row r="97" spans="1:42" x14ac:dyDescent="0.2">
      <c r="A97" s="35" t="s">
        <v>315</v>
      </c>
      <c r="B97" s="37" t="s">
        <v>562</v>
      </c>
      <c r="C97" s="37" t="s">
        <v>571</v>
      </c>
      <c r="D97" s="52"/>
      <c r="E97" s="38" t="s">
        <v>762</v>
      </c>
      <c r="F97" s="36" t="s">
        <v>557</v>
      </c>
      <c r="G97" s="36" t="s">
        <v>592</v>
      </c>
      <c r="H97" s="39">
        <v>999</v>
      </c>
      <c r="I97" s="40">
        <v>330220.08999999997</v>
      </c>
      <c r="J97" s="39">
        <v>1826</v>
      </c>
      <c r="K97" s="40">
        <v>675889.08000000007</v>
      </c>
      <c r="L97" s="37" t="s">
        <v>578</v>
      </c>
      <c r="M97" s="41">
        <v>387.089619145651</v>
      </c>
      <c r="N97" s="42">
        <v>0</v>
      </c>
      <c r="O97" s="36">
        <v>1463</v>
      </c>
      <c r="P97" s="41">
        <f t="shared" si="46"/>
        <v>566312.11281008739</v>
      </c>
      <c r="Q97" s="36">
        <v>1675</v>
      </c>
      <c r="R97" s="43">
        <f t="shared" si="47"/>
        <v>-212</v>
      </c>
      <c r="S97" s="43">
        <f t="shared" si="48"/>
        <v>187</v>
      </c>
      <c r="T97" s="41">
        <f t="shared" si="49"/>
        <v>72385.758780236734</v>
      </c>
      <c r="U97" s="44">
        <v>1650</v>
      </c>
      <c r="V97" s="45">
        <f t="shared" si="50"/>
        <v>638697.8715903241</v>
      </c>
      <c r="W97" s="36">
        <v>1943</v>
      </c>
      <c r="X97" s="86">
        <v>752115.12999999989</v>
      </c>
      <c r="Y97" s="199">
        <v>406.37999999999994</v>
      </c>
      <c r="Z97" s="44">
        <v>480</v>
      </c>
      <c r="AA97" s="41">
        <f t="shared" si="37"/>
        <v>195062.39999999997</v>
      </c>
      <c r="AB97" s="44">
        <v>0</v>
      </c>
      <c r="AC97" s="44">
        <f t="shared" si="52"/>
        <v>0</v>
      </c>
      <c r="AD97" s="44">
        <f t="shared" si="38"/>
        <v>480</v>
      </c>
      <c r="AE97" s="111">
        <f t="shared" si="39"/>
        <v>195062.39999999997</v>
      </c>
      <c r="AF97" s="51" t="s">
        <v>578</v>
      </c>
      <c r="AG97" s="115"/>
      <c r="AH97" s="35">
        <v>0</v>
      </c>
      <c r="AI97" s="36">
        <v>0</v>
      </c>
      <c r="AJ97" s="36">
        <v>0</v>
      </c>
      <c r="AK97" s="36"/>
      <c r="AL97" s="36">
        <v>0</v>
      </c>
      <c r="AM97" s="36">
        <v>0</v>
      </c>
      <c r="AN97" s="46">
        <v>0</v>
      </c>
      <c r="AO97" s="100">
        <f t="shared" si="51"/>
        <v>0</v>
      </c>
      <c r="AP97" s="3">
        <f t="shared" si="40"/>
        <v>0</v>
      </c>
    </row>
    <row r="98" spans="1:42" x14ac:dyDescent="0.2">
      <c r="A98" s="35" t="s">
        <v>474</v>
      </c>
      <c r="B98" s="37" t="s">
        <v>556</v>
      </c>
      <c r="C98" s="37" t="s">
        <v>571</v>
      </c>
      <c r="D98" s="52"/>
      <c r="E98" s="38" t="s">
        <v>770</v>
      </c>
      <c r="F98" s="36" t="s">
        <v>564</v>
      </c>
      <c r="G98" s="36" t="s">
        <v>564</v>
      </c>
      <c r="H98" s="39">
        <v>1733</v>
      </c>
      <c r="I98" s="40">
        <v>127231.7</v>
      </c>
      <c r="J98" s="39">
        <v>2363</v>
      </c>
      <c r="K98" s="40">
        <v>178939.62</v>
      </c>
      <c r="L98" s="37" t="s">
        <v>578</v>
      </c>
      <c r="M98" s="47">
        <v>77.379999999999981</v>
      </c>
      <c r="N98" s="48">
        <v>0</v>
      </c>
      <c r="O98" s="36">
        <v>0</v>
      </c>
      <c r="P98" s="47">
        <f t="shared" si="46"/>
        <v>0</v>
      </c>
      <c r="Q98" s="36">
        <v>2669</v>
      </c>
      <c r="R98" s="43">
        <f t="shared" si="47"/>
        <v>-2669</v>
      </c>
      <c r="S98" s="43">
        <f t="shared" si="48"/>
        <v>2642</v>
      </c>
      <c r="T98" s="47">
        <f t="shared" si="49"/>
        <v>204437.95999999996</v>
      </c>
      <c r="U98" s="44">
        <v>2642</v>
      </c>
      <c r="V98" s="45">
        <f t="shared" si="50"/>
        <v>204437.95999999996</v>
      </c>
      <c r="W98" s="36">
        <v>2593</v>
      </c>
      <c r="X98" s="86">
        <v>200646.33999999997</v>
      </c>
      <c r="Y98" s="199">
        <v>78</v>
      </c>
      <c r="Z98" s="44">
        <v>0</v>
      </c>
      <c r="AA98" s="41">
        <f t="shared" si="37"/>
        <v>0</v>
      </c>
      <c r="AB98" s="44">
        <v>0</v>
      </c>
      <c r="AC98" s="44">
        <f t="shared" si="52"/>
        <v>2500</v>
      </c>
      <c r="AD98" s="44">
        <f t="shared" si="38"/>
        <v>2500</v>
      </c>
      <c r="AE98" s="111">
        <f t="shared" si="39"/>
        <v>195000</v>
      </c>
      <c r="AF98" s="51" t="s">
        <v>578</v>
      </c>
      <c r="AG98" s="115"/>
      <c r="AH98" s="35">
        <v>0</v>
      </c>
      <c r="AI98" s="36">
        <v>0</v>
      </c>
      <c r="AJ98" s="36">
        <v>0</v>
      </c>
      <c r="AK98" s="36"/>
      <c r="AL98" s="36">
        <v>0</v>
      </c>
      <c r="AM98" s="36">
        <v>0</v>
      </c>
      <c r="AN98" s="46">
        <v>2500</v>
      </c>
      <c r="AO98" s="100">
        <f t="shared" si="51"/>
        <v>2500</v>
      </c>
      <c r="AP98" s="3">
        <f t="shared" si="40"/>
        <v>195000</v>
      </c>
    </row>
    <row r="99" spans="1:42" x14ac:dyDescent="0.2">
      <c r="A99" s="35" t="s">
        <v>340</v>
      </c>
      <c r="B99" s="37" t="s">
        <v>556</v>
      </c>
      <c r="C99" s="37" t="s">
        <v>578</v>
      </c>
      <c r="D99" s="52">
        <v>46387</v>
      </c>
      <c r="E99" s="38" t="s">
        <v>754</v>
      </c>
      <c r="F99" s="36" t="s">
        <v>557</v>
      </c>
      <c r="G99" s="36" t="s">
        <v>592</v>
      </c>
      <c r="H99" s="39">
        <v>239</v>
      </c>
      <c r="I99" s="40">
        <v>197008.13999999998</v>
      </c>
      <c r="J99" s="39">
        <v>253</v>
      </c>
      <c r="K99" s="40">
        <v>211737.90000000002</v>
      </c>
      <c r="L99" s="37" t="s">
        <v>578</v>
      </c>
      <c r="M99" s="41">
        <v>819.72307692307697</v>
      </c>
      <c r="N99" s="42">
        <v>0</v>
      </c>
      <c r="O99" s="36">
        <v>168</v>
      </c>
      <c r="P99" s="41">
        <f t="shared" si="46"/>
        <v>137713.47692307693</v>
      </c>
      <c r="Q99" s="36">
        <v>313</v>
      </c>
      <c r="R99" s="43">
        <f t="shared" si="47"/>
        <v>-145</v>
      </c>
      <c r="S99" s="43">
        <f t="shared" si="48"/>
        <v>32</v>
      </c>
      <c r="T99" s="41">
        <f t="shared" si="49"/>
        <v>26231.138461538463</v>
      </c>
      <c r="U99" s="44">
        <v>200</v>
      </c>
      <c r="V99" s="45">
        <f t="shared" si="50"/>
        <v>163944.6153846154</v>
      </c>
      <c r="W99" s="36">
        <v>234</v>
      </c>
      <c r="X99" s="86">
        <v>191815.2</v>
      </c>
      <c r="Y99" s="199">
        <v>799.5</v>
      </c>
      <c r="Z99" s="44">
        <v>126</v>
      </c>
      <c r="AA99" s="41">
        <f t="shared" si="37"/>
        <v>100737</v>
      </c>
      <c r="AB99" s="44">
        <v>0</v>
      </c>
      <c r="AC99" s="44">
        <f t="shared" si="52"/>
        <v>107</v>
      </c>
      <c r="AD99" s="44">
        <f t="shared" si="38"/>
        <v>233</v>
      </c>
      <c r="AE99" s="111">
        <f t="shared" si="39"/>
        <v>186283.5</v>
      </c>
      <c r="AF99" s="51" t="s">
        <v>578</v>
      </c>
      <c r="AG99" s="115"/>
      <c r="AH99" s="35">
        <v>107</v>
      </c>
      <c r="AI99" s="36">
        <v>0</v>
      </c>
      <c r="AJ99" s="36">
        <v>0</v>
      </c>
      <c r="AK99" s="36"/>
      <c r="AL99" s="36">
        <v>0</v>
      </c>
      <c r="AM99" s="36">
        <v>0</v>
      </c>
      <c r="AN99" s="46">
        <v>0</v>
      </c>
      <c r="AO99" s="100">
        <f t="shared" si="51"/>
        <v>107</v>
      </c>
      <c r="AP99" s="3">
        <f t="shared" si="40"/>
        <v>85546.5</v>
      </c>
    </row>
    <row r="100" spans="1:42" x14ac:dyDescent="0.2">
      <c r="A100" s="35" t="s">
        <v>385</v>
      </c>
      <c r="B100" s="37" t="s">
        <v>556</v>
      </c>
      <c r="C100" s="37" t="s">
        <v>571</v>
      </c>
      <c r="D100" s="52"/>
      <c r="E100" s="38" t="s">
        <v>755</v>
      </c>
      <c r="F100" s="36" t="s">
        <v>558</v>
      </c>
      <c r="G100" s="36" t="s">
        <v>582</v>
      </c>
      <c r="H100" s="39">
        <v>470</v>
      </c>
      <c r="I100" s="40">
        <v>244808.48</v>
      </c>
      <c r="J100" s="39">
        <v>574</v>
      </c>
      <c r="K100" s="40">
        <v>353945.27</v>
      </c>
      <c r="L100" s="37" t="s">
        <v>571</v>
      </c>
      <c r="M100" s="41">
        <v>705.68018018018017</v>
      </c>
      <c r="N100" s="42">
        <v>0</v>
      </c>
      <c r="O100" s="36">
        <v>0</v>
      </c>
      <c r="P100" s="41">
        <f t="shared" si="46"/>
        <v>0</v>
      </c>
      <c r="Q100" s="36">
        <v>120</v>
      </c>
      <c r="R100" s="43">
        <f t="shared" si="47"/>
        <v>-120</v>
      </c>
      <c r="S100" s="43">
        <f t="shared" si="48"/>
        <v>120</v>
      </c>
      <c r="T100" s="41">
        <f t="shared" si="49"/>
        <v>84681.621621621627</v>
      </c>
      <c r="U100" s="44">
        <v>120</v>
      </c>
      <c r="V100" s="45">
        <f t="shared" si="50"/>
        <v>84681.621621621627</v>
      </c>
      <c r="W100" s="36">
        <v>111</v>
      </c>
      <c r="X100" s="86">
        <v>78330.5</v>
      </c>
      <c r="Y100" s="199">
        <v>742.5</v>
      </c>
      <c r="Z100" s="44">
        <v>0</v>
      </c>
      <c r="AA100" s="41">
        <f t="shared" si="37"/>
        <v>0</v>
      </c>
      <c r="AB100" s="44">
        <v>0</v>
      </c>
      <c r="AC100" s="44">
        <f t="shared" si="52"/>
        <v>250</v>
      </c>
      <c r="AD100" s="44">
        <f t="shared" si="38"/>
        <v>250</v>
      </c>
      <c r="AE100" s="111">
        <f t="shared" si="39"/>
        <v>185625</v>
      </c>
      <c r="AF100" s="51" t="s">
        <v>571</v>
      </c>
      <c r="AG100" s="115" t="s">
        <v>1061</v>
      </c>
      <c r="AH100" s="35">
        <v>0</v>
      </c>
      <c r="AI100" s="36">
        <v>0</v>
      </c>
      <c r="AJ100" s="36">
        <v>0</v>
      </c>
      <c r="AK100" s="36"/>
      <c r="AL100" s="36">
        <v>250</v>
      </c>
      <c r="AM100" s="36">
        <v>0</v>
      </c>
      <c r="AN100" s="46">
        <v>0</v>
      </c>
      <c r="AO100" s="100">
        <f t="shared" si="51"/>
        <v>250</v>
      </c>
      <c r="AP100" s="3">
        <f t="shared" si="40"/>
        <v>185625</v>
      </c>
    </row>
    <row r="101" spans="1:42" x14ac:dyDescent="0.2">
      <c r="A101" s="35" t="s">
        <v>122</v>
      </c>
      <c r="B101" s="37" t="s">
        <v>565</v>
      </c>
      <c r="C101" s="37" t="s">
        <v>571</v>
      </c>
      <c r="D101" s="52"/>
      <c r="E101" s="38" t="s">
        <v>772</v>
      </c>
      <c r="F101" s="36" t="s">
        <v>559</v>
      </c>
      <c r="G101" s="36" t="s">
        <v>637</v>
      </c>
      <c r="H101" s="39">
        <v>100</v>
      </c>
      <c r="I101" s="40">
        <v>28553</v>
      </c>
      <c r="J101" s="39">
        <v>280</v>
      </c>
      <c r="K101" s="40">
        <v>81662.399999999994</v>
      </c>
      <c r="L101" s="37" t="s">
        <v>571</v>
      </c>
      <c r="M101" s="41">
        <v>294.10000000000002</v>
      </c>
      <c r="N101" s="42">
        <v>0</v>
      </c>
      <c r="O101" s="36">
        <v>150</v>
      </c>
      <c r="P101" s="41">
        <f t="shared" si="46"/>
        <v>44115</v>
      </c>
      <c r="Q101" s="36">
        <v>300</v>
      </c>
      <c r="R101" s="43">
        <f t="shared" si="47"/>
        <v>-150</v>
      </c>
      <c r="S101" s="43">
        <f t="shared" si="48"/>
        <v>50</v>
      </c>
      <c r="T101" s="41">
        <f t="shared" si="49"/>
        <v>14705.000000000002</v>
      </c>
      <c r="U101" s="44">
        <v>200</v>
      </c>
      <c r="V101" s="45">
        <f t="shared" si="50"/>
        <v>58820.000000000007</v>
      </c>
      <c r="W101" s="36">
        <v>150</v>
      </c>
      <c r="X101" s="86">
        <v>44115</v>
      </c>
      <c r="Y101" s="199">
        <v>370</v>
      </c>
      <c r="Z101" s="44">
        <v>500</v>
      </c>
      <c r="AA101" s="41">
        <f t="shared" si="37"/>
        <v>185000</v>
      </c>
      <c r="AB101" s="44">
        <v>0</v>
      </c>
      <c r="AC101" s="44">
        <f t="shared" si="52"/>
        <v>0</v>
      </c>
      <c r="AD101" s="44">
        <f t="shared" si="38"/>
        <v>500</v>
      </c>
      <c r="AE101" s="111">
        <f t="shared" si="39"/>
        <v>185000</v>
      </c>
      <c r="AF101" s="51" t="s">
        <v>571</v>
      </c>
      <c r="AG101" s="115"/>
      <c r="AH101" s="35">
        <v>0</v>
      </c>
      <c r="AI101" s="36">
        <v>0</v>
      </c>
      <c r="AJ101" s="36">
        <v>0</v>
      </c>
      <c r="AK101" s="36"/>
      <c r="AL101" s="36">
        <v>0</v>
      </c>
      <c r="AM101" s="36">
        <v>0</v>
      </c>
      <c r="AN101" s="46">
        <v>0</v>
      </c>
      <c r="AO101" s="100">
        <f t="shared" si="51"/>
        <v>0</v>
      </c>
      <c r="AP101" s="3">
        <f t="shared" si="40"/>
        <v>0</v>
      </c>
    </row>
    <row r="102" spans="1:42" x14ac:dyDescent="0.2">
      <c r="A102" s="35" t="s">
        <v>419</v>
      </c>
      <c r="B102" s="37" t="s">
        <v>556</v>
      </c>
      <c r="C102" s="37" t="s">
        <v>571</v>
      </c>
      <c r="D102" s="52"/>
      <c r="E102" s="38" t="s">
        <v>594</v>
      </c>
      <c r="F102" s="36" t="s">
        <v>555</v>
      </c>
      <c r="G102" s="36" t="s">
        <v>968</v>
      </c>
      <c r="H102" s="39">
        <v>0</v>
      </c>
      <c r="I102" s="40">
        <v>0</v>
      </c>
      <c r="J102" s="39">
        <v>605</v>
      </c>
      <c r="K102" s="40">
        <v>185735</v>
      </c>
      <c r="L102" s="37" t="s">
        <v>571</v>
      </c>
      <c r="M102" s="41">
        <v>307</v>
      </c>
      <c r="N102" s="42">
        <v>0</v>
      </c>
      <c r="O102" s="36">
        <v>1495</v>
      </c>
      <c r="P102" s="41">
        <f t="shared" si="46"/>
        <v>458965</v>
      </c>
      <c r="Q102" s="36">
        <v>600</v>
      </c>
      <c r="R102" s="43">
        <f t="shared" si="47"/>
        <v>895</v>
      </c>
      <c r="S102" s="43">
        <f t="shared" si="48"/>
        <v>0</v>
      </c>
      <c r="T102" s="41">
        <f t="shared" si="49"/>
        <v>0</v>
      </c>
      <c r="U102" s="44">
        <f>O102</f>
        <v>1495</v>
      </c>
      <c r="V102" s="45">
        <f t="shared" si="50"/>
        <v>458965</v>
      </c>
      <c r="W102" s="36">
        <v>1495</v>
      </c>
      <c r="X102" s="86">
        <v>458965</v>
      </c>
      <c r="Y102" s="199">
        <v>307</v>
      </c>
      <c r="Z102" s="44">
        <v>0</v>
      </c>
      <c r="AA102" s="41">
        <f t="shared" si="37"/>
        <v>0</v>
      </c>
      <c r="AB102" s="44">
        <v>0</v>
      </c>
      <c r="AC102" s="44">
        <f t="shared" si="52"/>
        <v>600</v>
      </c>
      <c r="AD102" s="44">
        <f t="shared" si="38"/>
        <v>600</v>
      </c>
      <c r="AE102" s="111">
        <f t="shared" si="39"/>
        <v>184200</v>
      </c>
      <c r="AF102" s="51" t="s">
        <v>571</v>
      </c>
      <c r="AG102" s="115"/>
      <c r="AH102" s="35">
        <v>0</v>
      </c>
      <c r="AI102" s="36">
        <v>600</v>
      </c>
      <c r="AJ102" s="36">
        <v>0</v>
      </c>
      <c r="AK102" s="36"/>
      <c r="AL102" s="36">
        <v>0</v>
      </c>
      <c r="AM102" s="36">
        <v>0</v>
      </c>
      <c r="AN102" s="46">
        <v>0</v>
      </c>
      <c r="AO102" s="100">
        <f t="shared" si="51"/>
        <v>600</v>
      </c>
      <c r="AP102" s="3">
        <f t="shared" si="40"/>
        <v>184200</v>
      </c>
    </row>
    <row r="103" spans="1:42" x14ac:dyDescent="0.2">
      <c r="A103" s="35" t="s">
        <v>275</v>
      </c>
      <c r="B103" s="37" t="s">
        <v>565</v>
      </c>
      <c r="C103" s="37" t="s">
        <v>571</v>
      </c>
      <c r="D103" s="52"/>
      <c r="E103" s="38" t="s">
        <v>755</v>
      </c>
      <c r="F103" s="36" t="s">
        <v>560</v>
      </c>
      <c r="G103" s="36" t="s">
        <v>586</v>
      </c>
      <c r="H103" s="39">
        <v>40</v>
      </c>
      <c r="I103" s="40">
        <v>44000</v>
      </c>
      <c r="J103" s="39">
        <v>134</v>
      </c>
      <c r="K103" s="40">
        <v>150550</v>
      </c>
      <c r="L103" s="37" t="s">
        <v>578</v>
      </c>
      <c r="M103" s="41">
        <v>1941.48</v>
      </c>
      <c r="N103" s="42">
        <v>0</v>
      </c>
      <c r="O103" s="36">
        <v>20</v>
      </c>
      <c r="P103" s="41">
        <f t="shared" si="46"/>
        <v>38829.599999999999</v>
      </c>
      <c r="Q103" s="36">
        <v>185</v>
      </c>
      <c r="R103" s="43">
        <f t="shared" si="47"/>
        <v>-165</v>
      </c>
      <c r="S103" s="43">
        <f t="shared" si="48"/>
        <v>30</v>
      </c>
      <c r="T103" s="41">
        <f t="shared" si="49"/>
        <v>58244.4</v>
      </c>
      <c r="U103" s="44">
        <v>50</v>
      </c>
      <c r="V103" s="45">
        <f t="shared" si="50"/>
        <v>97074</v>
      </c>
      <c r="W103" s="36">
        <v>31</v>
      </c>
      <c r="X103" s="86">
        <v>60185.88</v>
      </c>
      <c r="Y103" s="199">
        <v>1545.74</v>
      </c>
      <c r="Z103" s="44">
        <v>119</v>
      </c>
      <c r="AA103" s="41">
        <f t="shared" si="37"/>
        <v>183943.06</v>
      </c>
      <c r="AB103" s="44">
        <v>0</v>
      </c>
      <c r="AC103" s="44">
        <f t="shared" si="52"/>
        <v>0</v>
      </c>
      <c r="AD103" s="44">
        <f t="shared" si="38"/>
        <v>119</v>
      </c>
      <c r="AE103" s="111">
        <f t="shared" si="39"/>
        <v>183943.06</v>
      </c>
      <c r="AF103" s="51" t="s">
        <v>571</v>
      </c>
      <c r="AG103" s="115" t="s">
        <v>1040</v>
      </c>
      <c r="AH103" s="35">
        <v>0</v>
      </c>
      <c r="AI103" s="36">
        <v>0</v>
      </c>
      <c r="AJ103" s="36">
        <v>0</v>
      </c>
      <c r="AK103" s="36"/>
      <c r="AL103" s="36">
        <v>0</v>
      </c>
      <c r="AM103" s="36">
        <v>0</v>
      </c>
      <c r="AN103" s="46">
        <v>0</v>
      </c>
      <c r="AO103" s="100">
        <f t="shared" si="51"/>
        <v>0</v>
      </c>
      <c r="AP103" s="3">
        <f t="shared" si="40"/>
        <v>0</v>
      </c>
    </row>
    <row r="104" spans="1:42" x14ac:dyDescent="0.2">
      <c r="A104" s="35" t="s">
        <v>471</v>
      </c>
      <c r="B104" s="37" t="s">
        <v>556</v>
      </c>
      <c r="C104" s="37" t="s">
        <v>571</v>
      </c>
      <c r="D104" s="52"/>
      <c r="E104" s="38" t="s">
        <v>766</v>
      </c>
      <c r="F104" s="36" t="s">
        <v>559</v>
      </c>
      <c r="G104" s="36" t="s">
        <v>598</v>
      </c>
      <c r="H104" s="39">
        <v>1567</v>
      </c>
      <c r="I104" s="40">
        <v>206069.5</v>
      </c>
      <c r="J104" s="39">
        <v>2698</v>
      </c>
      <c r="K104" s="40">
        <v>452119.83</v>
      </c>
      <c r="L104" s="37" t="s">
        <v>578</v>
      </c>
      <c r="M104" s="41">
        <v>175.87368484848486</v>
      </c>
      <c r="N104" s="42">
        <v>252</v>
      </c>
      <c r="O104" s="36">
        <v>29</v>
      </c>
      <c r="P104" s="41">
        <f t="shared" si="46"/>
        <v>49420.505442424248</v>
      </c>
      <c r="Q104" s="36">
        <v>1500</v>
      </c>
      <c r="R104" s="43">
        <f t="shared" si="47"/>
        <v>-1471</v>
      </c>
      <c r="S104" s="43">
        <f t="shared" si="48"/>
        <v>971</v>
      </c>
      <c r="T104" s="41">
        <f t="shared" si="49"/>
        <v>170773.34798787881</v>
      </c>
      <c r="U104" s="44">
        <v>1000</v>
      </c>
      <c r="V104" s="45">
        <f t="shared" si="50"/>
        <v>175873.68484848485</v>
      </c>
      <c r="W104" s="36">
        <v>825</v>
      </c>
      <c r="X104" s="86">
        <v>145095.79</v>
      </c>
      <c r="Y104" s="199">
        <v>192.34</v>
      </c>
      <c r="Z104" s="44">
        <v>550</v>
      </c>
      <c r="AA104" s="41">
        <f t="shared" si="37"/>
        <v>105787</v>
      </c>
      <c r="AB104" s="44">
        <v>0</v>
      </c>
      <c r="AC104" s="44">
        <f t="shared" si="52"/>
        <v>400</v>
      </c>
      <c r="AD104" s="44">
        <f t="shared" si="38"/>
        <v>950</v>
      </c>
      <c r="AE104" s="111">
        <f t="shared" si="39"/>
        <v>182723</v>
      </c>
      <c r="AF104" s="51" t="s">
        <v>578</v>
      </c>
      <c r="AG104" s="115"/>
      <c r="AH104" s="35">
        <v>0</v>
      </c>
      <c r="AI104" s="36">
        <v>0</v>
      </c>
      <c r="AJ104" s="36">
        <v>0</v>
      </c>
      <c r="AK104" s="50">
        <v>400</v>
      </c>
      <c r="AL104" s="36">
        <v>0</v>
      </c>
      <c r="AM104" s="36">
        <v>0</v>
      </c>
      <c r="AN104" s="46">
        <v>0</v>
      </c>
      <c r="AO104" s="100">
        <f t="shared" si="51"/>
        <v>400</v>
      </c>
      <c r="AP104" s="3">
        <f t="shared" si="40"/>
        <v>76936</v>
      </c>
    </row>
    <row r="105" spans="1:42" x14ac:dyDescent="0.2">
      <c r="A105" s="35" t="s">
        <v>220</v>
      </c>
      <c r="B105" s="37" t="s">
        <v>562</v>
      </c>
      <c r="C105" s="37" t="s">
        <v>578</v>
      </c>
      <c r="D105" s="52">
        <v>46022</v>
      </c>
      <c r="E105" s="38" t="s">
        <v>764</v>
      </c>
      <c r="F105" s="36" t="s">
        <v>559</v>
      </c>
      <c r="G105" s="36" t="s">
        <v>617</v>
      </c>
      <c r="H105" s="39">
        <v>250</v>
      </c>
      <c r="I105" s="40">
        <v>183960</v>
      </c>
      <c r="J105" s="39">
        <v>709</v>
      </c>
      <c r="K105" s="40">
        <v>521710.56</v>
      </c>
      <c r="L105" s="37" t="s">
        <v>578</v>
      </c>
      <c r="M105" s="41">
        <v>735.83999999999992</v>
      </c>
      <c r="N105" s="42">
        <v>0</v>
      </c>
      <c r="O105" s="36">
        <v>41</v>
      </c>
      <c r="P105" s="41">
        <f t="shared" si="46"/>
        <v>30169.439999999995</v>
      </c>
      <c r="Q105" s="36">
        <v>250</v>
      </c>
      <c r="R105" s="43">
        <f t="shared" si="47"/>
        <v>-209</v>
      </c>
      <c r="S105" s="43">
        <f t="shared" si="48"/>
        <v>209</v>
      </c>
      <c r="T105" s="41">
        <f t="shared" si="49"/>
        <v>153790.55999999997</v>
      </c>
      <c r="U105" s="44">
        <v>250</v>
      </c>
      <c r="V105" s="45">
        <f t="shared" si="50"/>
        <v>183959.99999999997</v>
      </c>
      <c r="W105" s="36">
        <v>41</v>
      </c>
      <c r="X105" s="86">
        <v>30169.439999999999</v>
      </c>
      <c r="Y105" s="199">
        <f>VLOOKUP(A105,'[1]2026-2028'!$B$3:$X$32,23,FALSE)</f>
        <v>912.44159999999999</v>
      </c>
      <c r="Z105" s="44">
        <v>0</v>
      </c>
      <c r="AA105" s="41">
        <f t="shared" si="37"/>
        <v>0</v>
      </c>
      <c r="AB105" s="44">
        <v>0</v>
      </c>
      <c r="AC105" s="44">
        <f t="shared" si="52"/>
        <v>200</v>
      </c>
      <c r="AD105" s="44">
        <f t="shared" si="38"/>
        <v>200</v>
      </c>
      <c r="AE105" s="111">
        <f t="shared" si="39"/>
        <v>182488.32000000001</v>
      </c>
      <c r="AF105" s="51" t="s">
        <v>578</v>
      </c>
      <c r="AG105" s="115"/>
      <c r="AH105" s="35">
        <v>0</v>
      </c>
      <c r="AI105" s="36">
        <v>0</v>
      </c>
      <c r="AJ105" s="36">
        <v>0</v>
      </c>
      <c r="AK105" s="50">
        <v>200</v>
      </c>
      <c r="AL105" s="36">
        <v>0</v>
      </c>
      <c r="AM105" s="36">
        <v>0</v>
      </c>
      <c r="AN105" s="46">
        <v>0</v>
      </c>
      <c r="AO105" s="100">
        <f t="shared" si="51"/>
        <v>200</v>
      </c>
      <c r="AP105" s="3">
        <f t="shared" si="40"/>
        <v>182488.32000000001</v>
      </c>
    </row>
    <row r="106" spans="1:42" x14ac:dyDescent="0.2">
      <c r="A106" s="35" t="s">
        <v>489</v>
      </c>
      <c r="B106" s="37" t="s">
        <v>556</v>
      </c>
      <c r="C106" s="37" t="s">
        <v>571</v>
      </c>
      <c r="D106" s="52"/>
      <c r="E106" s="38" t="s">
        <v>594</v>
      </c>
      <c r="F106" s="36" t="s">
        <v>555</v>
      </c>
      <c r="G106" s="36" t="s">
        <v>624</v>
      </c>
      <c r="H106" s="39">
        <v>832</v>
      </c>
      <c r="I106" s="40">
        <v>214820.7</v>
      </c>
      <c r="J106" s="39">
        <v>258</v>
      </c>
      <c r="K106" s="40">
        <v>70813.259999999995</v>
      </c>
      <c r="L106" s="37" t="s">
        <v>571</v>
      </c>
      <c r="M106" s="41">
        <v>268.45513364446327</v>
      </c>
      <c r="N106" s="42">
        <v>0</v>
      </c>
      <c r="O106" s="36">
        <v>1632</v>
      </c>
      <c r="P106" s="41">
        <f t="shared" si="46"/>
        <v>438118.77810776408</v>
      </c>
      <c r="Q106" s="36">
        <v>300</v>
      </c>
      <c r="R106" s="43">
        <f t="shared" si="47"/>
        <v>1332</v>
      </c>
      <c r="S106" s="43">
        <f t="shared" si="48"/>
        <v>0</v>
      </c>
      <c r="T106" s="41">
        <f t="shared" si="49"/>
        <v>0</v>
      </c>
      <c r="U106" s="44">
        <f>O106</f>
        <v>1632</v>
      </c>
      <c r="V106" s="45">
        <f t="shared" si="50"/>
        <v>438118.77810776408</v>
      </c>
      <c r="W106" s="36">
        <v>2357</v>
      </c>
      <c r="X106" s="86">
        <v>632748.75</v>
      </c>
      <c r="Y106" s="199">
        <v>258</v>
      </c>
      <c r="Z106" s="44">
        <v>0</v>
      </c>
      <c r="AA106" s="41">
        <f t="shared" si="37"/>
        <v>0</v>
      </c>
      <c r="AB106" s="44">
        <v>0</v>
      </c>
      <c r="AC106" s="44">
        <f t="shared" si="52"/>
        <v>700</v>
      </c>
      <c r="AD106" s="44">
        <f t="shared" si="38"/>
        <v>700</v>
      </c>
      <c r="AE106" s="111">
        <f t="shared" si="39"/>
        <v>180600</v>
      </c>
      <c r="AF106" s="51" t="s">
        <v>571</v>
      </c>
      <c r="AG106" s="115"/>
      <c r="AH106" s="35">
        <v>0</v>
      </c>
      <c r="AI106" s="36">
        <v>700</v>
      </c>
      <c r="AJ106" s="36">
        <v>0</v>
      </c>
      <c r="AK106" s="36"/>
      <c r="AL106" s="36">
        <v>0</v>
      </c>
      <c r="AM106" s="36">
        <v>0</v>
      </c>
      <c r="AN106" s="46">
        <v>0</v>
      </c>
      <c r="AO106" s="100">
        <f t="shared" si="51"/>
        <v>700</v>
      </c>
      <c r="AP106" s="3">
        <f t="shared" si="40"/>
        <v>180600</v>
      </c>
    </row>
    <row r="107" spans="1:42" x14ac:dyDescent="0.2">
      <c r="A107" s="35" t="s">
        <v>420</v>
      </c>
      <c r="B107" s="37" t="s">
        <v>565</v>
      </c>
      <c r="C107" s="37" t="s">
        <v>571</v>
      </c>
      <c r="D107" s="52"/>
      <c r="E107" s="38" t="s">
        <v>594</v>
      </c>
      <c r="F107" s="36" t="s">
        <v>555</v>
      </c>
      <c r="G107" s="36" t="s">
        <v>624</v>
      </c>
      <c r="H107" s="39">
        <v>296</v>
      </c>
      <c r="I107" s="40">
        <v>89688</v>
      </c>
      <c r="J107" s="39">
        <v>501</v>
      </c>
      <c r="K107" s="40">
        <v>180762.38</v>
      </c>
      <c r="L107" s="37" t="s">
        <v>571</v>
      </c>
      <c r="M107" s="41">
        <v>359.38</v>
      </c>
      <c r="N107" s="42">
        <v>0</v>
      </c>
      <c r="O107" s="36">
        <v>199</v>
      </c>
      <c r="P107" s="41">
        <f t="shared" si="46"/>
        <v>71516.62</v>
      </c>
      <c r="Q107" s="36">
        <v>100</v>
      </c>
      <c r="R107" s="43">
        <f t="shared" si="47"/>
        <v>99</v>
      </c>
      <c r="S107" s="43">
        <f t="shared" si="48"/>
        <v>0</v>
      </c>
      <c r="T107" s="41">
        <f t="shared" si="49"/>
        <v>0</v>
      </c>
      <c r="U107" s="44">
        <f>O107</f>
        <v>199</v>
      </c>
      <c r="V107" s="45">
        <f t="shared" si="50"/>
        <v>71516.62</v>
      </c>
      <c r="W107" s="36">
        <v>849</v>
      </c>
      <c r="X107" s="86">
        <v>305113.62</v>
      </c>
      <c r="Y107" s="199">
        <v>359.38</v>
      </c>
      <c r="Z107" s="44">
        <v>0</v>
      </c>
      <c r="AA107" s="41">
        <f t="shared" si="37"/>
        <v>0</v>
      </c>
      <c r="AB107" s="44">
        <v>0</v>
      </c>
      <c r="AC107" s="44">
        <f t="shared" si="52"/>
        <v>500</v>
      </c>
      <c r="AD107" s="44">
        <f t="shared" si="38"/>
        <v>500</v>
      </c>
      <c r="AE107" s="111">
        <f t="shared" si="39"/>
        <v>179690</v>
      </c>
      <c r="AF107" s="51" t="s">
        <v>571</v>
      </c>
      <c r="AG107" s="115"/>
      <c r="AH107" s="35">
        <v>0</v>
      </c>
      <c r="AI107" s="36">
        <v>500</v>
      </c>
      <c r="AJ107" s="36">
        <v>0</v>
      </c>
      <c r="AK107" s="36"/>
      <c r="AL107" s="36">
        <v>0</v>
      </c>
      <c r="AM107" s="36">
        <v>0</v>
      </c>
      <c r="AN107" s="46">
        <v>0</v>
      </c>
      <c r="AO107" s="100">
        <f t="shared" si="51"/>
        <v>500</v>
      </c>
      <c r="AP107" s="3">
        <f t="shared" si="40"/>
        <v>179690</v>
      </c>
    </row>
    <row r="108" spans="1:42" x14ac:dyDescent="0.2">
      <c r="A108" s="35" t="s">
        <v>485</v>
      </c>
      <c r="B108" s="37" t="s">
        <v>556</v>
      </c>
      <c r="C108" s="37" t="s">
        <v>571</v>
      </c>
      <c r="D108" s="52"/>
      <c r="E108" s="38" t="s">
        <v>594</v>
      </c>
      <c r="F108" s="36" t="s">
        <v>555</v>
      </c>
      <c r="G108" s="36" t="s">
        <v>624</v>
      </c>
      <c r="H108" s="39">
        <v>45</v>
      </c>
      <c r="I108" s="40">
        <v>87795</v>
      </c>
      <c r="J108" s="39">
        <v>0</v>
      </c>
      <c r="K108" s="40">
        <v>0</v>
      </c>
      <c r="L108" s="37" t="s">
        <v>571</v>
      </c>
      <c r="M108" s="41">
        <v>1951</v>
      </c>
      <c r="N108" s="42">
        <v>0</v>
      </c>
      <c r="O108" s="36">
        <v>48</v>
      </c>
      <c r="P108" s="41">
        <f t="shared" si="46"/>
        <v>93648</v>
      </c>
      <c r="Q108" s="36">
        <v>50</v>
      </c>
      <c r="R108" s="43">
        <f t="shared" si="47"/>
        <v>-2</v>
      </c>
      <c r="S108" s="43">
        <f t="shared" si="48"/>
        <v>0</v>
      </c>
      <c r="T108" s="41">
        <f t="shared" si="49"/>
        <v>0</v>
      </c>
      <c r="U108" s="44">
        <f>O108</f>
        <v>48</v>
      </c>
      <c r="V108" s="45">
        <f t="shared" si="50"/>
        <v>93648</v>
      </c>
      <c r="W108" s="36">
        <v>48</v>
      </c>
      <c r="X108" s="86">
        <v>93648</v>
      </c>
      <c r="Y108" s="199">
        <v>1951</v>
      </c>
      <c r="Z108" s="44">
        <v>0</v>
      </c>
      <c r="AA108" s="41">
        <f t="shared" si="37"/>
        <v>0</v>
      </c>
      <c r="AB108" s="44">
        <v>0</v>
      </c>
      <c r="AC108" s="44">
        <f t="shared" si="52"/>
        <v>91</v>
      </c>
      <c r="AD108" s="44">
        <f t="shared" si="38"/>
        <v>91</v>
      </c>
      <c r="AE108" s="111">
        <f t="shared" si="39"/>
        <v>177541</v>
      </c>
      <c r="AF108" s="51" t="s">
        <v>571</v>
      </c>
      <c r="AG108" s="115"/>
      <c r="AH108" s="35">
        <v>0</v>
      </c>
      <c r="AI108" s="36">
        <v>91</v>
      </c>
      <c r="AJ108" s="36">
        <v>0</v>
      </c>
      <c r="AK108" s="36"/>
      <c r="AL108" s="36">
        <v>0</v>
      </c>
      <c r="AM108" s="36">
        <v>0</v>
      </c>
      <c r="AN108" s="46">
        <v>0</v>
      </c>
      <c r="AO108" s="100">
        <f t="shared" si="51"/>
        <v>91</v>
      </c>
      <c r="AP108" s="3">
        <f t="shared" si="40"/>
        <v>177541</v>
      </c>
    </row>
    <row r="109" spans="1:42" x14ac:dyDescent="0.2">
      <c r="A109" s="35" t="s">
        <v>399</v>
      </c>
      <c r="B109" s="157" t="s">
        <v>565</v>
      </c>
      <c r="C109" s="37" t="s">
        <v>571</v>
      </c>
      <c r="D109" s="52"/>
      <c r="E109" s="38" t="s">
        <v>594</v>
      </c>
      <c r="F109" s="36" t="s">
        <v>555</v>
      </c>
      <c r="G109" s="36" t="s">
        <v>624</v>
      </c>
      <c r="H109" s="39">
        <v>53</v>
      </c>
      <c r="I109" s="40">
        <v>85913</v>
      </c>
      <c r="J109" s="39">
        <v>129</v>
      </c>
      <c r="K109" s="40">
        <v>217822.95</v>
      </c>
      <c r="L109" s="37" t="s">
        <v>571</v>
      </c>
      <c r="M109" s="41">
        <v>1688.55</v>
      </c>
      <c r="N109" s="42">
        <v>0</v>
      </c>
      <c r="O109" s="36">
        <v>60</v>
      </c>
      <c r="P109" s="41">
        <f t="shared" si="46"/>
        <v>101313</v>
      </c>
      <c r="Q109" s="36">
        <v>50</v>
      </c>
      <c r="R109" s="43">
        <f t="shared" si="47"/>
        <v>10</v>
      </c>
      <c r="S109" s="43">
        <f t="shared" si="48"/>
        <v>60</v>
      </c>
      <c r="T109" s="41">
        <f t="shared" si="49"/>
        <v>101313</v>
      </c>
      <c r="U109" s="44">
        <v>120</v>
      </c>
      <c r="V109" s="45">
        <f t="shared" si="50"/>
        <v>202626</v>
      </c>
      <c r="W109" s="36">
        <v>60</v>
      </c>
      <c r="X109" s="86">
        <v>101313</v>
      </c>
      <c r="Y109" s="199">
        <v>1750</v>
      </c>
      <c r="Z109" s="44">
        <v>0</v>
      </c>
      <c r="AA109" s="41">
        <f t="shared" si="37"/>
        <v>0</v>
      </c>
      <c r="AB109" s="44">
        <v>0</v>
      </c>
      <c r="AC109" s="44">
        <f t="shared" si="52"/>
        <v>100</v>
      </c>
      <c r="AD109" s="44">
        <f t="shared" si="38"/>
        <v>100</v>
      </c>
      <c r="AE109" s="111">
        <f t="shared" si="39"/>
        <v>175000</v>
      </c>
      <c r="AF109" s="51" t="s">
        <v>571</v>
      </c>
      <c r="AG109" s="115"/>
      <c r="AH109" s="35">
        <v>0</v>
      </c>
      <c r="AI109" s="36">
        <v>100</v>
      </c>
      <c r="AJ109" s="36">
        <v>0</v>
      </c>
      <c r="AK109" s="36"/>
      <c r="AL109" s="36">
        <v>0</v>
      </c>
      <c r="AM109" s="36">
        <v>0</v>
      </c>
      <c r="AN109" s="46">
        <v>0</v>
      </c>
      <c r="AO109" s="100">
        <f t="shared" si="51"/>
        <v>100</v>
      </c>
      <c r="AP109" s="3">
        <f t="shared" si="40"/>
        <v>175000</v>
      </c>
    </row>
    <row r="110" spans="1:42" x14ac:dyDescent="0.2">
      <c r="A110" s="35" t="s">
        <v>431</v>
      </c>
      <c r="B110" s="157" t="s">
        <v>565</v>
      </c>
      <c r="C110" s="37" t="s">
        <v>571</v>
      </c>
      <c r="D110" s="52"/>
      <c r="E110" s="38" t="s">
        <v>594</v>
      </c>
      <c r="F110" s="36" t="s">
        <v>555</v>
      </c>
      <c r="G110" s="36" t="s">
        <v>624</v>
      </c>
      <c r="H110" s="39">
        <v>76</v>
      </c>
      <c r="I110" s="40">
        <v>123276.8</v>
      </c>
      <c r="J110" s="39">
        <v>61</v>
      </c>
      <c r="K110" s="40">
        <v>103001.55</v>
      </c>
      <c r="L110" s="37" t="s">
        <v>571</v>
      </c>
      <c r="M110" s="41">
        <v>1688.55</v>
      </c>
      <c r="N110" s="42">
        <v>0</v>
      </c>
      <c r="O110" s="36">
        <v>60</v>
      </c>
      <c r="P110" s="41">
        <f t="shared" si="46"/>
        <v>101313</v>
      </c>
      <c r="Q110" s="36">
        <v>50</v>
      </c>
      <c r="R110" s="43">
        <f t="shared" si="47"/>
        <v>10</v>
      </c>
      <c r="S110" s="43">
        <f t="shared" si="48"/>
        <v>60</v>
      </c>
      <c r="T110" s="41">
        <f t="shared" si="49"/>
        <v>101313</v>
      </c>
      <c r="U110" s="44">
        <v>120</v>
      </c>
      <c r="V110" s="45">
        <f t="shared" si="50"/>
        <v>202626</v>
      </c>
      <c r="W110" s="36">
        <v>60</v>
      </c>
      <c r="X110" s="86">
        <v>101313</v>
      </c>
      <c r="Y110" s="199">
        <v>1750</v>
      </c>
      <c r="Z110" s="44">
        <v>0</v>
      </c>
      <c r="AA110" s="41">
        <f t="shared" si="37"/>
        <v>0</v>
      </c>
      <c r="AB110" s="44">
        <v>0</v>
      </c>
      <c r="AC110" s="44">
        <f t="shared" si="52"/>
        <v>100</v>
      </c>
      <c r="AD110" s="44">
        <f t="shared" si="38"/>
        <v>100</v>
      </c>
      <c r="AE110" s="111">
        <f t="shared" si="39"/>
        <v>175000</v>
      </c>
      <c r="AF110" s="51" t="s">
        <v>571</v>
      </c>
      <c r="AG110" s="115"/>
      <c r="AH110" s="35">
        <v>0</v>
      </c>
      <c r="AI110" s="36">
        <v>100</v>
      </c>
      <c r="AJ110" s="36">
        <v>0</v>
      </c>
      <c r="AK110" s="36"/>
      <c r="AL110" s="36">
        <v>0</v>
      </c>
      <c r="AM110" s="36">
        <v>0</v>
      </c>
      <c r="AN110" s="46">
        <v>0</v>
      </c>
      <c r="AO110" s="100">
        <f t="shared" si="51"/>
        <v>100</v>
      </c>
      <c r="AP110" s="3">
        <f t="shared" si="40"/>
        <v>175000</v>
      </c>
    </row>
    <row r="111" spans="1:42" x14ac:dyDescent="0.2">
      <c r="A111" s="35" t="s">
        <v>294</v>
      </c>
      <c r="B111" s="37" t="s">
        <v>556</v>
      </c>
      <c r="C111" s="37" t="s">
        <v>571</v>
      </c>
      <c r="D111" s="52"/>
      <c r="E111" s="38" t="s">
        <v>754</v>
      </c>
      <c r="F111" s="36" t="s">
        <v>557</v>
      </c>
      <c r="G111" s="36" t="s">
        <v>606</v>
      </c>
      <c r="H111" s="39">
        <v>0</v>
      </c>
      <c r="I111" s="40">
        <v>0</v>
      </c>
      <c r="J111" s="39">
        <v>33</v>
      </c>
      <c r="K111" s="40">
        <v>17720</v>
      </c>
      <c r="L111" s="37" t="s">
        <v>571</v>
      </c>
      <c r="M111" s="41">
        <v>375</v>
      </c>
      <c r="N111" s="42">
        <v>0</v>
      </c>
      <c r="O111" s="36">
        <v>923</v>
      </c>
      <c r="P111" s="41">
        <f t="shared" si="46"/>
        <v>346125</v>
      </c>
      <c r="Q111" s="36">
        <v>800</v>
      </c>
      <c r="R111" s="43">
        <f t="shared" si="47"/>
        <v>123</v>
      </c>
      <c r="S111" s="43">
        <f t="shared" si="48"/>
        <v>0</v>
      </c>
      <c r="T111" s="41">
        <f t="shared" si="49"/>
        <v>0</v>
      </c>
      <c r="U111" s="44">
        <f>O111</f>
        <v>923</v>
      </c>
      <c r="V111" s="45">
        <f t="shared" si="50"/>
        <v>346125</v>
      </c>
      <c r="W111" s="36">
        <v>205</v>
      </c>
      <c r="X111" s="86">
        <v>76875</v>
      </c>
      <c r="Y111" s="199">
        <v>375</v>
      </c>
      <c r="Z111" s="44">
        <v>243</v>
      </c>
      <c r="AA111" s="41">
        <f t="shared" si="37"/>
        <v>91125</v>
      </c>
      <c r="AB111" s="44">
        <v>0</v>
      </c>
      <c r="AC111" s="44">
        <f t="shared" si="52"/>
        <v>221</v>
      </c>
      <c r="AD111" s="44">
        <f t="shared" si="38"/>
        <v>464</v>
      </c>
      <c r="AE111" s="111">
        <f t="shared" si="39"/>
        <v>174000</v>
      </c>
      <c r="AF111" s="51" t="s">
        <v>571</v>
      </c>
      <c r="AG111" s="115"/>
      <c r="AH111" s="35">
        <v>221</v>
      </c>
      <c r="AI111" s="36">
        <v>0</v>
      </c>
      <c r="AJ111" s="36">
        <v>0</v>
      </c>
      <c r="AK111" s="36"/>
      <c r="AL111" s="36">
        <v>0</v>
      </c>
      <c r="AM111" s="36">
        <v>0</v>
      </c>
      <c r="AN111" s="46">
        <v>0</v>
      </c>
      <c r="AO111" s="100">
        <f t="shared" si="51"/>
        <v>221</v>
      </c>
      <c r="AP111" s="3">
        <f t="shared" si="40"/>
        <v>82875</v>
      </c>
    </row>
    <row r="112" spans="1:42" x14ac:dyDescent="0.2">
      <c r="A112" s="35" t="s">
        <v>124</v>
      </c>
      <c r="B112" s="37" t="s">
        <v>556</v>
      </c>
      <c r="C112" s="37" t="s">
        <v>578</v>
      </c>
      <c r="D112" s="52">
        <v>46387</v>
      </c>
      <c r="E112" s="38" t="s">
        <v>754</v>
      </c>
      <c r="F112" s="36" t="s">
        <v>559</v>
      </c>
      <c r="G112" s="36" t="s">
        <v>601</v>
      </c>
      <c r="H112" s="39">
        <v>548</v>
      </c>
      <c r="I112" s="40">
        <v>87855.180000000022</v>
      </c>
      <c r="J112" s="39">
        <v>433</v>
      </c>
      <c r="K112" s="40">
        <v>69002.880000000005</v>
      </c>
      <c r="L112" s="37" t="s">
        <v>578</v>
      </c>
      <c r="M112" s="41">
        <v>159.36000000000004</v>
      </c>
      <c r="N112" s="42">
        <v>0</v>
      </c>
      <c r="O112" s="36">
        <v>738</v>
      </c>
      <c r="P112" s="41">
        <f t="shared" si="46"/>
        <v>117607.68000000004</v>
      </c>
      <c r="Q112" s="36">
        <v>113</v>
      </c>
      <c r="R112" s="43">
        <f t="shared" si="47"/>
        <v>625</v>
      </c>
      <c r="S112" s="43">
        <f t="shared" si="48"/>
        <v>0</v>
      </c>
      <c r="T112" s="41">
        <f t="shared" si="49"/>
        <v>0</v>
      </c>
      <c r="U112" s="44">
        <f>O112</f>
        <v>738</v>
      </c>
      <c r="V112" s="45">
        <f t="shared" si="50"/>
        <v>117607.68000000004</v>
      </c>
      <c r="W112" s="36">
        <v>738</v>
      </c>
      <c r="X112" s="86">
        <v>117607.68000000002</v>
      </c>
      <c r="Y112" s="199">
        <v>159.36000000000001</v>
      </c>
      <c r="Z112" s="44">
        <v>530</v>
      </c>
      <c r="AA112" s="41">
        <f t="shared" si="37"/>
        <v>84460.800000000003</v>
      </c>
      <c r="AB112" s="44">
        <v>0</v>
      </c>
      <c r="AC112" s="44">
        <f t="shared" si="52"/>
        <v>551</v>
      </c>
      <c r="AD112" s="44">
        <f t="shared" si="38"/>
        <v>1081</v>
      </c>
      <c r="AE112" s="111">
        <f t="shared" si="39"/>
        <v>172268.16</v>
      </c>
      <c r="AF112" s="51" t="s">
        <v>578</v>
      </c>
      <c r="AG112" s="115"/>
      <c r="AH112" s="35">
        <v>351</v>
      </c>
      <c r="AI112" s="36">
        <v>0</v>
      </c>
      <c r="AJ112" s="36">
        <v>200</v>
      </c>
      <c r="AK112" s="36"/>
      <c r="AL112" s="36">
        <v>0</v>
      </c>
      <c r="AM112" s="36">
        <v>0</v>
      </c>
      <c r="AN112" s="46">
        <v>0</v>
      </c>
      <c r="AO112" s="100">
        <f t="shared" si="51"/>
        <v>551</v>
      </c>
      <c r="AP112" s="3">
        <f t="shared" si="40"/>
        <v>87807.360000000001</v>
      </c>
    </row>
    <row r="113" spans="1:42" x14ac:dyDescent="0.2">
      <c r="A113" s="35" t="s">
        <v>98</v>
      </c>
      <c r="B113" s="37" t="s">
        <v>556</v>
      </c>
      <c r="C113" s="37" t="s">
        <v>578</v>
      </c>
      <c r="D113" s="52">
        <v>46387</v>
      </c>
      <c r="E113" s="38" t="s">
        <v>771</v>
      </c>
      <c r="F113" s="36" t="s">
        <v>559</v>
      </c>
      <c r="G113" s="36" t="s">
        <v>613</v>
      </c>
      <c r="H113" s="39">
        <v>910</v>
      </c>
      <c r="I113" s="40">
        <v>272781.59999999998</v>
      </c>
      <c r="J113" s="39">
        <v>1307</v>
      </c>
      <c r="K113" s="40">
        <v>526626.03</v>
      </c>
      <c r="L113" s="37" t="s">
        <v>578</v>
      </c>
      <c r="M113" s="41">
        <v>417.73</v>
      </c>
      <c r="N113" s="42">
        <v>0</v>
      </c>
      <c r="O113" s="36">
        <v>743</v>
      </c>
      <c r="P113" s="41">
        <f t="shared" si="46"/>
        <v>310373.39</v>
      </c>
      <c r="Q113" s="36">
        <v>1066</v>
      </c>
      <c r="R113" s="43">
        <f t="shared" si="47"/>
        <v>-323</v>
      </c>
      <c r="S113" s="43">
        <f t="shared" si="48"/>
        <v>57</v>
      </c>
      <c r="T113" s="41">
        <f t="shared" si="49"/>
        <v>23810.61</v>
      </c>
      <c r="U113" s="44">
        <v>800</v>
      </c>
      <c r="V113" s="45">
        <f t="shared" si="50"/>
        <v>334184</v>
      </c>
      <c r="W113" s="36">
        <v>743</v>
      </c>
      <c r="X113" s="86">
        <v>310373.39</v>
      </c>
      <c r="Y113" s="199">
        <v>417.73</v>
      </c>
      <c r="Z113" s="44">
        <v>328</v>
      </c>
      <c r="AA113" s="41">
        <f t="shared" si="37"/>
        <v>137015.44</v>
      </c>
      <c r="AB113" s="44">
        <v>0</v>
      </c>
      <c r="AC113" s="44">
        <f t="shared" si="52"/>
        <v>82</v>
      </c>
      <c r="AD113" s="44">
        <f t="shared" si="38"/>
        <v>410</v>
      </c>
      <c r="AE113" s="111">
        <f t="shared" si="39"/>
        <v>171269.30000000002</v>
      </c>
      <c r="AF113" s="51" t="s">
        <v>578</v>
      </c>
      <c r="AG113" s="115" t="s">
        <v>721</v>
      </c>
      <c r="AH113" s="35">
        <v>0</v>
      </c>
      <c r="AI113" s="36">
        <v>0</v>
      </c>
      <c r="AJ113" s="36">
        <v>0</v>
      </c>
      <c r="AK113" s="36"/>
      <c r="AL113" s="36">
        <v>0</v>
      </c>
      <c r="AM113" s="36">
        <v>0</v>
      </c>
      <c r="AN113" s="46">
        <v>82</v>
      </c>
      <c r="AO113" s="100">
        <f t="shared" si="51"/>
        <v>82</v>
      </c>
      <c r="AP113" s="3">
        <f t="shared" si="40"/>
        <v>34253.86</v>
      </c>
    </row>
    <row r="114" spans="1:42" x14ac:dyDescent="0.2">
      <c r="A114" s="35" t="s">
        <v>392</v>
      </c>
      <c r="B114" s="156" t="s">
        <v>556</v>
      </c>
      <c r="C114" s="37" t="s">
        <v>578</v>
      </c>
      <c r="D114" s="52">
        <v>46387</v>
      </c>
      <c r="E114" s="38" t="s">
        <v>758</v>
      </c>
      <c r="F114" s="36" t="s">
        <v>555</v>
      </c>
      <c r="G114" s="36" t="s">
        <v>583</v>
      </c>
      <c r="H114" s="39">
        <v>0</v>
      </c>
      <c r="I114" s="40">
        <v>0</v>
      </c>
      <c r="J114" s="39">
        <v>0</v>
      </c>
      <c r="K114" s="40">
        <v>0</v>
      </c>
      <c r="L114" s="37" t="s">
        <v>578</v>
      </c>
      <c r="M114" s="41">
        <v>1547.15</v>
      </c>
      <c r="N114" s="42">
        <v>0</v>
      </c>
      <c r="O114" s="36">
        <v>110</v>
      </c>
      <c r="P114" s="41">
        <f t="shared" si="46"/>
        <v>170186.5</v>
      </c>
      <c r="Q114" s="36">
        <v>0</v>
      </c>
      <c r="R114" s="43">
        <f t="shared" si="47"/>
        <v>110</v>
      </c>
      <c r="S114" s="43">
        <f t="shared" si="48"/>
        <v>-22</v>
      </c>
      <c r="T114" s="41">
        <f t="shared" si="49"/>
        <v>-34037.300000000003</v>
      </c>
      <c r="U114" s="44">
        <f>O114/1.25</f>
        <v>88</v>
      </c>
      <c r="V114" s="45">
        <f t="shared" si="50"/>
        <v>136149.20000000001</v>
      </c>
      <c r="W114" s="36">
        <v>110</v>
      </c>
      <c r="X114" s="86">
        <v>170186.5</v>
      </c>
      <c r="Y114" s="199">
        <v>1547.15</v>
      </c>
      <c r="Z114" s="44">
        <v>110</v>
      </c>
      <c r="AA114" s="41">
        <f t="shared" si="37"/>
        <v>170186.5</v>
      </c>
      <c r="AB114" s="44">
        <v>0</v>
      </c>
      <c r="AC114" s="44">
        <f t="shared" si="52"/>
        <v>0</v>
      </c>
      <c r="AD114" s="44">
        <f t="shared" si="38"/>
        <v>110</v>
      </c>
      <c r="AE114" s="111">
        <f t="shared" si="39"/>
        <v>170186.5</v>
      </c>
      <c r="AF114" s="51" t="s">
        <v>578</v>
      </c>
      <c r="AG114" s="115" t="s">
        <v>747</v>
      </c>
      <c r="AH114" s="35">
        <v>0</v>
      </c>
      <c r="AI114" s="36">
        <v>0</v>
      </c>
      <c r="AJ114" s="36">
        <v>0</v>
      </c>
      <c r="AK114" s="36"/>
      <c r="AL114" s="36">
        <v>0</v>
      </c>
      <c r="AM114" s="36">
        <v>0</v>
      </c>
      <c r="AN114" s="46">
        <v>0</v>
      </c>
      <c r="AO114" s="100">
        <f t="shared" si="51"/>
        <v>0</v>
      </c>
      <c r="AP114" s="3">
        <f t="shared" si="40"/>
        <v>0</v>
      </c>
    </row>
    <row r="115" spans="1:42" x14ac:dyDescent="0.2">
      <c r="A115" s="35" t="s">
        <v>395</v>
      </c>
      <c r="B115" s="156" t="s">
        <v>556</v>
      </c>
      <c r="C115" s="37" t="s">
        <v>578</v>
      </c>
      <c r="D115" s="52">
        <v>46387</v>
      </c>
      <c r="E115" s="38" t="s">
        <v>758</v>
      </c>
      <c r="F115" s="36" t="s">
        <v>555</v>
      </c>
      <c r="G115" s="36" t="s">
        <v>583</v>
      </c>
      <c r="H115" s="39">
        <v>0</v>
      </c>
      <c r="I115" s="40">
        <v>0</v>
      </c>
      <c r="J115" s="39">
        <v>0</v>
      </c>
      <c r="K115" s="40">
        <v>0</v>
      </c>
      <c r="L115" s="37" t="s">
        <v>578</v>
      </c>
      <c r="M115" s="41">
        <v>1633.53</v>
      </c>
      <c r="N115" s="42">
        <v>0</v>
      </c>
      <c r="O115" s="36">
        <v>104</v>
      </c>
      <c r="P115" s="41">
        <f t="shared" si="46"/>
        <v>169887.12</v>
      </c>
      <c r="Q115" s="36">
        <v>0</v>
      </c>
      <c r="R115" s="43">
        <f t="shared" si="47"/>
        <v>104</v>
      </c>
      <c r="S115" s="43">
        <f t="shared" si="48"/>
        <v>-20.799999999999997</v>
      </c>
      <c r="T115" s="41">
        <f t="shared" si="49"/>
        <v>-33977.423999999992</v>
      </c>
      <c r="U115" s="44">
        <f>O115/1.25</f>
        <v>83.2</v>
      </c>
      <c r="V115" s="45">
        <f t="shared" si="50"/>
        <v>135909.696</v>
      </c>
      <c r="W115" s="36">
        <v>104</v>
      </c>
      <c r="X115" s="86">
        <v>169887.12</v>
      </c>
      <c r="Y115" s="199">
        <v>1633.53</v>
      </c>
      <c r="Z115" s="44">
        <v>104</v>
      </c>
      <c r="AA115" s="41">
        <f t="shared" si="37"/>
        <v>169887.12</v>
      </c>
      <c r="AB115" s="44">
        <v>0</v>
      </c>
      <c r="AC115" s="44">
        <f t="shared" si="52"/>
        <v>0</v>
      </c>
      <c r="AD115" s="44">
        <f t="shared" si="38"/>
        <v>104</v>
      </c>
      <c r="AE115" s="111">
        <f t="shared" si="39"/>
        <v>169887.12</v>
      </c>
      <c r="AF115" s="51" t="s">
        <v>578</v>
      </c>
      <c r="AG115" s="115" t="s">
        <v>747</v>
      </c>
      <c r="AH115" s="35">
        <v>0</v>
      </c>
      <c r="AI115" s="36">
        <v>0</v>
      </c>
      <c r="AJ115" s="36">
        <v>0</v>
      </c>
      <c r="AK115" s="36"/>
      <c r="AL115" s="36">
        <v>0</v>
      </c>
      <c r="AM115" s="36">
        <v>0</v>
      </c>
      <c r="AN115" s="46">
        <v>0</v>
      </c>
      <c r="AO115" s="100">
        <f t="shared" si="51"/>
        <v>0</v>
      </c>
      <c r="AP115" s="3">
        <f t="shared" si="40"/>
        <v>0</v>
      </c>
    </row>
    <row r="116" spans="1:42" x14ac:dyDescent="0.2">
      <c r="A116" s="35" t="s">
        <v>180</v>
      </c>
      <c r="B116" s="37" t="s">
        <v>556</v>
      </c>
      <c r="C116" s="37" t="s">
        <v>578</v>
      </c>
      <c r="D116" s="52">
        <v>46387</v>
      </c>
      <c r="E116" s="38" t="s">
        <v>754</v>
      </c>
      <c r="F116" s="36" t="s">
        <v>559</v>
      </c>
      <c r="G116" s="36" t="s">
        <v>587</v>
      </c>
      <c r="H116" s="39">
        <v>680</v>
      </c>
      <c r="I116" s="40">
        <v>69686.400000000009</v>
      </c>
      <c r="J116" s="39">
        <v>725</v>
      </c>
      <c r="K116" s="40">
        <v>74298</v>
      </c>
      <c r="L116" s="37" t="s">
        <v>578</v>
      </c>
      <c r="M116" s="41">
        <v>102.48</v>
      </c>
      <c r="N116" s="42">
        <v>50</v>
      </c>
      <c r="O116" s="36">
        <v>1265</v>
      </c>
      <c r="P116" s="41">
        <f t="shared" si="46"/>
        <v>134761.20000000001</v>
      </c>
      <c r="Q116" s="36">
        <v>110</v>
      </c>
      <c r="R116" s="43">
        <f t="shared" si="47"/>
        <v>1155</v>
      </c>
      <c r="S116" s="43">
        <f t="shared" si="48"/>
        <v>26</v>
      </c>
      <c r="T116" s="41">
        <f t="shared" si="49"/>
        <v>2664.48</v>
      </c>
      <c r="U116" s="44">
        <v>1291</v>
      </c>
      <c r="V116" s="45">
        <f t="shared" si="50"/>
        <v>132301.68</v>
      </c>
      <c r="W116" s="36">
        <v>1325</v>
      </c>
      <c r="X116" s="86">
        <v>135786</v>
      </c>
      <c r="Y116" s="199">
        <v>102.48</v>
      </c>
      <c r="Z116" s="44">
        <v>592</v>
      </c>
      <c r="AA116" s="41">
        <f t="shared" si="37"/>
        <v>60668.160000000003</v>
      </c>
      <c r="AB116" s="44">
        <v>50</v>
      </c>
      <c r="AC116" s="44">
        <f t="shared" si="52"/>
        <v>1028</v>
      </c>
      <c r="AD116" s="44">
        <f t="shared" si="38"/>
        <v>1620</v>
      </c>
      <c r="AE116" s="111">
        <f t="shared" si="39"/>
        <v>166017.60000000001</v>
      </c>
      <c r="AF116" s="51" t="s">
        <v>578</v>
      </c>
      <c r="AG116" s="115"/>
      <c r="AH116" s="35">
        <v>578</v>
      </c>
      <c r="AI116" s="36">
        <v>0</v>
      </c>
      <c r="AJ116" s="36">
        <v>400</v>
      </c>
      <c r="AK116" s="36"/>
      <c r="AL116" s="36">
        <v>0</v>
      </c>
      <c r="AM116" s="36">
        <v>0</v>
      </c>
      <c r="AN116" s="46">
        <v>0</v>
      </c>
      <c r="AO116" s="100">
        <f t="shared" si="51"/>
        <v>978</v>
      </c>
      <c r="AP116" s="3">
        <f t="shared" si="40"/>
        <v>105349.44</v>
      </c>
    </row>
    <row r="117" spans="1:42" x14ac:dyDescent="0.2">
      <c r="A117" s="35" t="s">
        <v>281</v>
      </c>
      <c r="B117" s="37" t="s">
        <v>562</v>
      </c>
      <c r="C117" s="37" t="s">
        <v>571</v>
      </c>
      <c r="D117" s="52"/>
      <c r="E117" s="38" t="s">
        <v>763</v>
      </c>
      <c r="F117" s="36" t="s">
        <v>560</v>
      </c>
      <c r="G117" s="36" t="s">
        <v>612</v>
      </c>
      <c r="H117" s="39">
        <v>0</v>
      </c>
      <c r="I117" s="40">
        <v>0</v>
      </c>
      <c r="J117" s="39">
        <v>0</v>
      </c>
      <c r="K117" s="40">
        <v>0</v>
      </c>
      <c r="L117" s="37" t="s">
        <v>571</v>
      </c>
      <c r="M117" s="41" t="e">
        <v>#DIV/0!</v>
      </c>
      <c r="N117" s="42">
        <v>0</v>
      </c>
      <c r="O117" s="36">
        <v>8</v>
      </c>
      <c r="P117" s="41" t="e">
        <f t="shared" si="46"/>
        <v>#DIV/0!</v>
      </c>
      <c r="Q117" s="36">
        <v>0</v>
      </c>
      <c r="R117" s="43">
        <f t="shared" si="47"/>
        <v>8</v>
      </c>
      <c r="S117" s="43">
        <f t="shared" si="48"/>
        <v>117</v>
      </c>
      <c r="T117" s="41" t="e">
        <f t="shared" si="49"/>
        <v>#DIV/0!</v>
      </c>
      <c r="U117" s="44">
        <v>125</v>
      </c>
      <c r="V117" s="45" t="e">
        <f t="shared" si="50"/>
        <v>#DIV/0!</v>
      </c>
      <c r="W117" s="36">
        <v>0</v>
      </c>
      <c r="X117" s="86">
        <v>0</v>
      </c>
      <c r="Y117" s="199">
        <v>1625</v>
      </c>
      <c r="Z117" s="44">
        <v>0</v>
      </c>
      <c r="AA117" s="41">
        <f t="shared" si="37"/>
        <v>0</v>
      </c>
      <c r="AB117" s="44">
        <v>0</v>
      </c>
      <c r="AC117" s="44">
        <f t="shared" si="52"/>
        <v>102</v>
      </c>
      <c r="AD117" s="44">
        <f t="shared" si="38"/>
        <v>102</v>
      </c>
      <c r="AE117" s="111">
        <f t="shared" si="39"/>
        <v>165750</v>
      </c>
      <c r="AF117" s="51" t="s">
        <v>578</v>
      </c>
      <c r="AG117" s="115"/>
      <c r="AH117" s="35">
        <v>0</v>
      </c>
      <c r="AI117" s="36">
        <v>0</v>
      </c>
      <c r="AJ117" s="36">
        <v>102</v>
      </c>
      <c r="AK117" s="36"/>
      <c r="AL117" s="36">
        <v>0</v>
      </c>
      <c r="AM117" s="36">
        <v>0</v>
      </c>
      <c r="AN117" s="46">
        <v>0</v>
      </c>
      <c r="AO117" s="100">
        <f t="shared" si="51"/>
        <v>102</v>
      </c>
      <c r="AP117" s="3">
        <f t="shared" si="40"/>
        <v>165750</v>
      </c>
    </row>
    <row r="118" spans="1:42" x14ac:dyDescent="0.2">
      <c r="A118" s="35" t="s">
        <v>58</v>
      </c>
      <c r="B118" s="37" t="s">
        <v>554</v>
      </c>
      <c r="C118" s="37" t="s">
        <v>578</v>
      </c>
      <c r="D118" s="52">
        <v>47848</v>
      </c>
      <c r="E118" s="38" t="s">
        <v>812</v>
      </c>
      <c r="F118" s="36" t="s">
        <v>559</v>
      </c>
      <c r="G118" s="36" t="s">
        <v>635</v>
      </c>
      <c r="H118" s="39">
        <v>0</v>
      </c>
      <c r="I118" s="40">
        <v>0</v>
      </c>
      <c r="J118" s="39">
        <v>0</v>
      </c>
      <c r="K118" s="40">
        <v>0</v>
      </c>
      <c r="L118" s="37" t="s">
        <v>571</v>
      </c>
      <c r="M118" s="41">
        <v>194.99</v>
      </c>
      <c r="N118" s="42">
        <v>0</v>
      </c>
      <c r="O118" s="36">
        <v>320</v>
      </c>
      <c r="P118" s="41">
        <f t="shared" si="46"/>
        <v>62396.800000000003</v>
      </c>
      <c r="Q118" s="36">
        <v>0</v>
      </c>
      <c r="R118" s="43">
        <f t="shared" si="47"/>
        <v>320</v>
      </c>
      <c r="S118" s="43">
        <f t="shared" si="48"/>
        <v>0</v>
      </c>
      <c r="T118" s="41">
        <f t="shared" si="49"/>
        <v>0</v>
      </c>
      <c r="U118" s="44">
        <f>O118</f>
        <v>320</v>
      </c>
      <c r="V118" s="45">
        <f t="shared" si="50"/>
        <v>62396.800000000003</v>
      </c>
      <c r="W118" s="36">
        <v>336</v>
      </c>
      <c r="X118" s="86">
        <v>65516.639999999999</v>
      </c>
      <c r="Y118" s="199">
        <v>194.99</v>
      </c>
      <c r="Z118" s="44">
        <v>0</v>
      </c>
      <c r="AA118" s="41">
        <f t="shared" si="37"/>
        <v>0</v>
      </c>
      <c r="AB118" s="44">
        <v>0</v>
      </c>
      <c r="AC118" s="44">
        <f t="shared" si="52"/>
        <v>804</v>
      </c>
      <c r="AD118" s="44">
        <f t="shared" si="38"/>
        <v>804</v>
      </c>
      <c r="AE118" s="111">
        <f t="shared" si="39"/>
        <v>156771.96000000002</v>
      </c>
      <c r="AF118" s="51" t="s">
        <v>571</v>
      </c>
      <c r="AG118" s="115"/>
      <c r="AH118" s="35">
        <v>564</v>
      </c>
      <c r="AI118" s="36">
        <v>0</v>
      </c>
      <c r="AJ118" s="36">
        <v>240</v>
      </c>
      <c r="AK118" s="36"/>
      <c r="AL118" s="36">
        <v>0</v>
      </c>
      <c r="AM118" s="36">
        <v>0</v>
      </c>
      <c r="AN118" s="46">
        <v>0</v>
      </c>
      <c r="AO118" s="100">
        <f t="shared" si="51"/>
        <v>804</v>
      </c>
      <c r="AP118" s="3">
        <f t="shared" si="40"/>
        <v>156771.96000000002</v>
      </c>
    </row>
    <row r="119" spans="1:42" x14ac:dyDescent="0.2">
      <c r="A119" s="35" t="s">
        <v>148</v>
      </c>
      <c r="B119" s="37" t="s">
        <v>556</v>
      </c>
      <c r="C119" s="37" t="s">
        <v>578</v>
      </c>
      <c r="D119" s="52">
        <v>46752</v>
      </c>
      <c r="E119" s="38" t="s">
        <v>772</v>
      </c>
      <c r="F119" s="36" t="s">
        <v>559</v>
      </c>
      <c r="G119" s="36" t="s">
        <v>603</v>
      </c>
      <c r="H119" s="39">
        <v>821</v>
      </c>
      <c r="I119" s="40">
        <v>56891.85</v>
      </c>
      <c r="J119" s="39">
        <v>1350</v>
      </c>
      <c r="K119" s="40">
        <v>96334.5</v>
      </c>
      <c r="L119" s="37" t="s">
        <v>578</v>
      </c>
      <c r="M119" s="41">
        <v>72.819999999999993</v>
      </c>
      <c r="N119" s="42">
        <v>0</v>
      </c>
      <c r="O119" s="36">
        <v>1350</v>
      </c>
      <c r="P119" s="41">
        <f t="shared" si="46"/>
        <v>98306.999999999985</v>
      </c>
      <c r="Q119" s="36">
        <v>1800</v>
      </c>
      <c r="R119" s="43">
        <f t="shared" si="47"/>
        <v>-450</v>
      </c>
      <c r="S119" s="43">
        <f t="shared" si="48"/>
        <v>150</v>
      </c>
      <c r="T119" s="41">
        <f t="shared" si="49"/>
        <v>10922.999999999998</v>
      </c>
      <c r="U119" s="44">
        <v>1500</v>
      </c>
      <c r="V119" s="45">
        <f t="shared" si="50"/>
        <v>109229.99999999999</v>
      </c>
      <c r="W119" s="36">
        <v>1200</v>
      </c>
      <c r="X119" s="86">
        <v>87384</v>
      </c>
      <c r="Y119" s="199">
        <v>72.819999999999993</v>
      </c>
      <c r="Z119" s="44">
        <v>750</v>
      </c>
      <c r="AA119" s="41">
        <f t="shared" si="37"/>
        <v>54614.999999999993</v>
      </c>
      <c r="AB119" s="44">
        <v>0</v>
      </c>
      <c r="AC119" s="44">
        <f t="shared" si="52"/>
        <v>1386</v>
      </c>
      <c r="AD119" s="44">
        <f t="shared" si="38"/>
        <v>2136</v>
      </c>
      <c r="AE119" s="111">
        <f t="shared" si="39"/>
        <v>155543.51999999999</v>
      </c>
      <c r="AF119" s="51" t="s">
        <v>578</v>
      </c>
      <c r="AG119" s="115"/>
      <c r="AH119" s="35">
        <v>1386</v>
      </c>
      <c r="AI119" s="36">
        <v>0</v>
      </c>
      <c r="AJ119" s="36">
        <v>0</v>
      </c>
      <c r="AK119" s="36"/>
      <c r="AL119" s="36">
        <v>0</v>
      </c>
      <c r="AM119" s="36">
        <v>0</v>
      </c>
      <c r="AN119" s="46">
        <v>0</v>
      </c>
      <c r="AO119" s="100">
        <f t="shared" si="51"/>
        <v>1386</v>
      </c>
      <c r="AP119" s="3">
        <f t="shared" si="40"/>
        <v>100928.51999999999</v>
      </c>
    </row>
    <row r="120" spans="1:42" x14ac:dyDescent="0.2">
      <c r="A120" s="35" t="s">
        <v>312</v>
      </c>
      <c r="B120" s="37" t="s">
        <v>556</v>
      </c>
      <c r="C120" s="37" t="s">
        <v>571</v>
      </c>
      <c r="D120" s="52"/>
      <c r="E120" s="38" t="s">
        <v>808</v>
      </c>
      <c r="F120" s="36" t="s">
        <v>557</v>
      </c>
      <c r="G120" s="36" t="s">
        <v>581</v>
      </c>
      <c r="H120" s="39">
        <v>0</v>
      </c>
      <c r="I120" s="40">
        <v>0</v>
      </c>
      <c r="J120" s="39">
        <v>0</v>
      </c>
      <c r="K120" s="40">
        <v>0</v>
      </c>
      <c r="L120" s="37" t="s">
        <v>571</v>
      </c>
      <c r="M120" s="41">
        <v>944.68999999999994</v>
      </c>
      <c r="N120" s="42">
        <v>0</v>
      </c>
      <c r="O120" s="36">
        <v>51</v>
      </c>
      <c r="P120" s="41">
        <f t="shared" si="46"/>
        <v>48179.189999999995</v>
      </c>
      <c r="Q120" s="36">
        <v>51</v>
      </c>
      <c r="R120" s="43">
        <f t="shared" si="47"/>
        <v>0</v>
      </c>
      <c r="S120" s="43">
        <f t="shared" si="48"/>
        <v>0</v>
      </c>
      <c r="T120" s="41">
        <f t="shared" si="49"/>
        <v>0</v>
      </c>
      <c r="U120" s="44">
        <f>O120</f>
        <v>51</v>
      </c>
      <c r="V120" s="45">
        <f t="shared" si="50"/>
        <v>48179.189999999995</v>
      </c>
      <c r="W120" s="36">
        <v>69</v>
      </c>
      <c r="X120" s="86">
        <v>65183.609999999993</v>
      </c>
      <c r="Y120" s="199">
        <v>944.69000000000028</v>
      </c>
      <c r="Z120" s="44">
        <v>162</v>
      </c>
      <c r="AA120" s="41">
        <f t="shared" si="37"/>
        <v>153039.78000000006</v>
      </c>
      <c r="AB120" s="44">
        <v>0</v>
      </c>
      <c r="AC120" s="44">
        <f t="shared" si="52"/>
        <v>0</v>
      </c>
      <c r="AD120" s="44">
        <f t="shared" si="38"/>
        <v>162</v>
      </c>
      <c r="AE120" s="111">
        <f t="shared" si="39"/>
        <v>153039.78000000006</v>
      </c>
      <c r="AF120" s="51" t="s">
        <v>571</v>
      </c>
      <c r="AG120" s="115"/>
      <c r="AH120" s="35">
        <v>0</v>
      </c>
      <c r="AI120" s="36">
        <v>0</v>
      </c>
      <c r="AJ120" s="36">
        <v>0</v>
      </c>
      <c r="AK120" s="36"/>
      <c r="AL120" s="36">
        <v>0</v>
      </c>
      <c r="AM120" s="36">
        <v>0</v>
      </c>
      <c r="AN120" s="46">
        <v>0</v>
      </c>
      <c r="AO120" s="100">
        <f t="shared" si="51"/>
        <v>0</v>
      </c>
      <c r="AP120" s="3">
        <f t="shared" si="40"/>
        <v>0</v>
      </c>
    </row>
    <row r="121" spans="1:42" x14ac:dyDescent="0.2">
      <c r="A121" s="35" t="s">
        <v>262</v>
      </c>
      <c r="B121" s="37" t="s">
        <v>556</v>
      </c>
      <c r="C121" s="37" t="s">
        <v>571</v>
      </c>
      <c r="D121" s="52"/>
      <c r="E121" s="38" t="s">
        <v>760</v>
      </c>
      <c r="F121" s="36" t="s">
        <v>563</v>
      </c>
      <c r="G121" s="36" t="s">
        <v>604</v>
      </c>
      <c r="H121" s="39">
        <v>0</v>
      </c>
      <c r="I121" s="40">
        <v>0</v>
      </c>
      <c r="J121" s="39">
        <v>177</v>
      </c>
      <c r="K121" s="40">
        <v>6618</v>
      </c>
      <c r="L121" s="37" t="s">
        <v>578</v>
      </c>
      <c r="M121" s="41">
        <v>30.5</v>
      </c>
      <c r="N121" s="42">
        <v>0</v>
      </c>
      <c r="O121" s="36">
        <v>4824</v>
      </c>
      <c r="P121" s="41">
        <f t="shared" si="46"/>
        <v>147132</v>
      </c>
      <c r="Q121" s="36">
        <v>0</v>
      </c>
      <c r="R121" s="43">
        <f t="shared" si="47"/>
        <v>4824</v>
      </c>
      <c r="S121" s="43">
        <f t="shared" si="48"/>
        <v>0</v>
      </c>
      <c r="T121" s="41">
        <f t="shared" si="49"/>
        <v>0</v>
      </c>
      <c r="U121" s="44">
        <f>O121</f>
        <v>4824</v>
      </c>
      <c r="V121" s="45">
        <f t="shared" si="50"/>
        <v>147132</v>
      </c>
      <c r="W121" s="36">
        <v>4824</v>
      </c>
      <c r="X121" s="86">
        <v>147132</v>
      </c>
      <c r="Y121" s="199">
        <v>30.5</v>
      </c>
      <c r="Z121" s="44">
        <v>0</v>
      </c>
      <c r="AA121" s="41">
        <f t="shared" si="37"/>
        <v>0</v>
      </c>
      <c r="AB121" s="44">
        <v>0</v>
      </c>
      <c r="AC121" s="44">
        <f t="shared" si="52"/>
        <v>5000</v>
      </c>
      <c r="AD121" s="44">
        <f t="shared" si="38"/>
        <v>5000</v>
      </c>
      <c r="AE121" s="111">
        <f t="shared" si="39"/>
        <v>152500</v>
      </c>
      <c r="AF121" s="51" t="s">
        <v>578</v>
      </c>
      <c r="AG121" s="115" t="s">
        <v>1037</v>
      </c>
      <c r="AH121" s="35">
        <v>0</v>
      </c>
      <c r="AI121" s="36">
        <v>0</v>
      </c>
      <c r="AJ121" s="36">
        <v>0</v>
      </c>
      <c r="AK121" s="36"/>
      <c r="AL121" s="36">
        <v>5000</v>
      </c>
      <c r="AM121" s="36">
        <v>0</v>
      </c>
      <c r="AN121" s="46">
        <v>0</v>
      </c>
      <c r="AO121" s="100">
        <f t="shared" si="51"/>
        <v>5000</v>
      </c>
      <c r="AP121" s="3">
        <f t="shared" si="40"/>
        <v>152500</v>
      </c>
    </row>
    <row r="122" spans="1:42" x14ac:dyDescent="0.2">
      <c r="A122" s="35" t="s">
        <v>222</v>
      </c>
      <c r="B122" s="37" t="s">
        <v>556</v>
      </c>
      <c r="C122" s="37" t="s">
        <v>578</v>
      </c>
      <c r="D122" s="52">
        <v>46387</v>
      </c>
      <c r="E122" s="38" t="s">
        <v>754</v>
      </c>
      <c r="F122" s="36" t="s">
        <v>559</v>
      </c>
      <c r="G122" s="36" t="s">
        <v>595</v>
      </c>
      <c r="H122" s="39">
        <v>88</v>
      </c>
      <c r="I122" s="40">
        <v>225104</v>
      </c>
      <c r="J122" s="39">
        <v>172</v>
      </c>
      <c r="K122" s="40">
        <v>439976</v>
      </c>
      <c r="L122" s="37" t="s">
        <v>571</v>
      </c>
      <c r="M122" s="41">
        <v>2558</v>
      </c>
      <c r="N122" s="42">
        <v>0</v>
      </c>
      <c r="O122" s="36">
        <v>178</v>
      </c>
      <c r="P122" s="41">
        <f t="shared" si="46"/>
        <v>455324</v>
      </c>
      <c r="Q122" s="36">
        <v>116</v>
      </c>
      <c r="R122" s="43">
        <f t="shared" si="47"/>
        <v>62</v>
      </c>
      <c r="S122" s="43">
        <f t="shared" si="48"/>
        <v>22</v>
      </c>
      <c r="T122" s="41">
        <f t="shared" si="49"/>
        <v>56276</v>
      </c>
      <c r="U122" s="44">
        <v>200</v>
      </c>
      <c r="V122" s="45">
        <f t="shared" si="50"/>
        <v>511600</v>
      </c>
      <c r="W122" s="36">
        <v>178</v>
      </c>
      <c r="X122" s="86">
        <v>455324</v>
      </c>
      <c r="Y122" s="199">
        <v>2558</v>
      </c>
      <c r="Z122" s="44">
        <v>58</v>
      </c>
      <c r="AA122" s="41">
        <f t="shared" si="37"/>
        <v>148364</v>
      </c>
      <c r="AB122" s="44">
        <v>0</v>
      </c>
      <c r="AC122" s="44">
        <f t="shared" si="52"/>
        <v>0</v>
      </c>
      <c r="AD122" s="44">
        <f t="shared" si="38"/>
        <v>58</v>
      </c>
      <c r="AE122" s="111">
        <f t="shared" si="39"/>
        <v>148364</v>
      </c>
      <c r="AF122" s="51" t="s">
        <v>571</v>
      </c>
      <c r="AG122" s="115"/>
      <c r="AH122" s="35">
        <v>0</v>
      </c>
      <c r="AI122" s="36">
        <v>0</v>
      </c>
      <c r="AJ122" s="36">
        <v>0</v>
      </c>
      <c r="AK122" s="36"/>
      <c r="AL122" s="36">
        <v>0</v>
      </c>
      <c r="AM122" s="36">
        <v>0</v>
      </c>
      <c r="AN122" s="46">
        <v>0</v>
      </c>
      <c r="AO122" s="100">
        <f t="shared" si="51"/>
        <v>0</v>
      </c>
      <c r="AP122" s="3">
        <f t="shared" si="40"/>
        <v>0</v>
      </c>
    </row>
    <row r="123" spans="1:42" x14ac:dyDescent="0.2">
      <c r="A123" s="35" t="s">
        <v>217</v>
      </c>
      <c r="B123" s="37" t="s">
        <v>556</v>
      </c>
      <c r="C123" s="37" t="s">
        <v>571</v>
      </c>
      <c r="D123" s="52"/>
      <c r="E123" s="38" t="s">
        <v>769</v>
      </c>
      <c r="F123" s="36" t="s">
        <v>559</v>
      </c>
      <c r="G123" s="36" t="s">
        <v>602</v>
      </c>
      <c r="H123" s="39">
        <v>1100</v>
      </c>
      <c r="I123" s="40">
        <v>60724</v>
      </c>
      <c r="J123" s="39">
        <v>2100</v>
      </c>
      <c r="K123" s="40">
        <v>115574</v>
      </c>
      <c r="L123" s="37" t="s">
        <v>571</v>
      </c>
      <c r="M123" s="47">
        <v>59.133333333333333</v>
      </c>
      <c r="N123" s="48">
        <v>0</v>
      </c>
      <c r="O123" s="36">
        <v>100</v>
      </c>
      <c r="P123" s="47">
        <f t="shared" si="46"/>
        <v>5913.333333333333</v>
      </c>
      <c r="Q123" s="36">
        <v>1000</v>
      </c>
      <c r="R123" s="43">
        <f t="shared" si="47"/>
        <v>-900</v>
      </c>
      <c r="S123" s="43">
        <f t="shared" si="48"/>
        <v>0</v>
      </c>
      <c r="T123" s="47">
        <f t="shared" si="49"/>
        <v>0</v>
      </c>
      <c r="U123" s="44">
        <v>100</v>
      </c>
      <c r="V123" s="45">
        <f t="shared" si="50"/>
        <v>5913.333333333333</v>
      </c>
      <c r="W123" s="36">
        <v>300</v>
      </c>
      <c r="X123" s="86">
        <v>17740</v>
      </c>
      <c r="Y123" s="199">
        <v>59.33</v>
      </c>
      <c r="Z123" s="44">
        <v>2100</v>
      </c>
      <c r="AA123" s="41">
        <f t="shared" si="37"/>
        <v>124593</v>
      </c>
      <c r="AB123" s="44">
        <v>0</v>
      </c>
      <c r="AC123" s="44">
        <f t="shared" si="52"/>
        <v>400</v>
      </c>
      <c r="AD123" s="44">
        <f t="shared" si="38"/>
        <v>2500</v>
      </c>
      <c r="AE123" s="111">
        <f t="shared" si="39"/>
        <v>148325</v>
      </c>
      <c r="AF123" s="51" t="s">
        <v>571</v>
      </c>
      <c r="AG123" s="115"/>
      <c r="AH123" s="35">
        <v>0</v>
      </c>
      <c r="AI123" s="36">
        <v>0</v>
      </c>
      <c r="AJ123" s="36">
        <v>0</v>
      </c>
      <c r="AK123" s="36"/>
      <c r="AL123" s="36">
        <v>0</v>
      </c>
      <c r="AM123" s="36">
        <v>400</v>
      </c>
      <c r="AN123" s="46">
        <v>0</v>
      </c>
      <c r="AO123" s="100">
        <f t="shared" si="51"/>
        <v>400</v>
      </c>
      <c r="AP123" s="3">
        <f t="shared" si="40"/>
        <v>23732</v>
      </c>
    </row>
    <row r="124" spans="1:42" x14ac:dyDescent="0.2">
      <c r="A124" s="35" t="s">
        <v>394</v>
      </c>
      <c r="B124" s="156" t="s">
        <v>556</v>
      </c>
      <c r="C124" s="37" t="s">
        <v>578</v>
      </c>
      <c r="D124" s="52">
        <v>46387</v>
      </c>
      <c r="E124" s="38" t="s">
        <v>758</v>
      </c>
      <c r="F124" s="36" t="s">
        <v>555</v>
      </c>
      <c r="G124" s="36" t="s">
        <v>583</v>
      </c>
      <c r="H124" s="39">
        <v>0</v>
      </c>
      <c r="I124" s="40">
        <v>0</v>
      </c>
      <c r="J124" s="39">
        <v>0</v>
      </c>
      <c r="K124" s="40">
        <v>0</v>
      </c>
      <c r="L124" s="37" t="s">
        <v>578</v>
      </c>
      <c r="M124" s="41">
        <v>1439.87</v>
      </c>
      <c r="N124" s="42">
        <v>0</v>
      </c>
      <c r="O124" s="36">
        <v>103</v>
      </c>
      <c r="P124" s="41">
        <f t="shared" si="46"/>
        <v>148306.60999999999</v>
      </c>
      <c r="Q124" s="36">
        <v>0</v>
      </c>
      <c r="R124" s="43">
        <f t="shared" si="47"/>
        <v>103</v>
      </c>
      <c r="S124" s="43">
        <f t="shared" si="48"/>
        <v>-20.599999999999994</v>
      </c>
      <c r="T124" s="41">
        <f t="shared" si="49"/>
        <v>-29661.321999999989</v>
      </c>
      <c r="U124" s="44">
        <f>O124/1.25</f>
        <v>82.4</v>
      </c>
      <c r="V124" s="45">
        <f t="shared" si="50"/>
        <v>118645.288</v>
      </c>
      <c r="W124" s="36">
        <v>103</v>
      </c>
      <c r="X124" s="86">
        <v>148306.60999999999</v>
      </c>
      <c r="Y124" s="199">
        <v>1439.87</v>
      </c>
      <c r="Z124" s="44">
        <v>103</v>
      </c>
      <c r="AA124" s="41">
        <f t="shared" si="37"/>
        <v>148306.60999999999</v>
      </c>
      <c r="AB124" s="44">
        <v>0</v>
      </c>
      <c r="AC124" s="44">
        <f t="shared" si="52"/>
        <v>0</v>
      </c>
      <c r="AD124" s="44">
        <f t="shared" si="38"/>
        <v>103</v>
      </c>
      <c r="AE124" s="111">
        <f t="shared" si="39"/>
        <v>148306.60999999999</v>
      </c>
      <c r="AF124" s="51" t="s">
        <v>578</v>
      </c>
      <c r="AG124" s="115" t="s">
        <v>747</v>
      </c>
      <c r="AH124" s="35">
        <v>0</v>
      </c>
      <c r="AI124" s="36">
        <v>0</v>
      </c>
      <c r="AJ124" s="36">
        <v>0</v>
      </c>
      <c r="AK124" s="36"/>
      <c r="AL124" s="36">
        <v>0</v>
      </c>
      <c r="AM124" s="36">
        <v>0</v>
      </c>
      <c r="AN124" s="46">
        <v>0</v>
      </c>
      <c r="AO124" s="100">
        <f t="shared" ref="AO124:AO155" si="53">SUM(AH124:AN124)</f>
        <v>0</v>
      </c>
      <c r="AP124" s="3">
        <f t="shared" si="40"/>
        <v>0</v>
      </c>
    </row>
    <row r="125" spans="1:42" x14ac:dyDescent="0.2">
      <c r="A125" s="35" t="s">
        <v>182</v>
      </c>
      <c r="B125" s="37" t="s">
        <v>556</v>
      </c>
      <c r="C125" s="37" t="s">
        <v>578</v>
      </c>
      <c r="D125" s="52">
        <v>46387</v>
      </c>
      <c r="E125" s="38" t="s">
        <v>754</v>
      </c>
      <c r="F125" s="36" t="s">
        <v>559</v>
      </c>
      <c r="G125" s="36" t="s">
        <v>587</v>
      </c>
      <c r="H125" s="39">
        <v>117</v>
      </c>
      <c r="I125" s="40">
        <v>18218</v>
      </c>
      <c r="J125" s="39">
        <v>260</v>
      </c>
      <c r="K125" s="40">
        <v>88743.599999999991</v>
      </c>
      <c r="L125" s="37" t="s">
        <v>578</v>
      </c>
      <c r="M125" s="41">
        <v>387.99064171122996</v>
      </c>
      <c r="N125" s="42">
        <v>0</v>
      </c>
      <c r="O125" s="36">
        <v>334</v>
      </c>
      <c r="P125" s="41">
        <f t="shared" si="46"/>
        <v>129588.8743315508</v>
      </c>
      <c r="Q125" s="36">
        <v>67</v>
      </c>
      <c r="R125" s="43">
        <f t="shared" si="47"/>
        <v>267</v>
      </c>
      <c r="S125" s="43">
        <f t="shared" si="48"/>
        <v>0</v>
      </c>
      <c r="T125" s="41">
        <f t="shared" si="49"/>
        <v>0</v>
      </c>
      <c r="U125" s="44">
        <f>O125</f>
        <v>334</v>
      </c>
      <c r="V125" s="45">
        <f t="shared" si="50"/>
        <v>129588.8743315508</v>
      </c>
      <c r="W125" s="36">
        <v>374</v>
      </c>
      <c r="X125" s="86">
        <v>145108.5</v>
      </c>
      <c r="Y125" s="199">
        <v>425</v>
      </c>
      <c r="Z125" s="44">
        <v>56</v>
      </c>
      <c r="AA125" s="41">
        <f t="shared" si="37"/>
        <v>23800</v>
      </c>
      <c r="AB125" s="44">
        <v>0</v>
      </c>
      <c r="AC125" s="44">
        <f t="shared" si="52"/>
        <v>286</v>
      </c>
      <c r="AD125" s="44">
        <f t="shared" si="38"/>
        <v>342</v>
      </c>
      <c r="AE125" s="111">
        <f t="shared" si="39"/>
        <v>145350</v>
      </c>
      <c r="AF125" s="51" t="s">
        <v>578</v>
      </c>
      <c r="AG125" s="115"/>
      <c r="AH125" s="35">
        <v>211</v>
      </c>
      <c r="AI125" s="36">
        <v>0</v>
      </c>
      <c r="AJ125" s="36">
        <v>75</v>
      </c>
      <c r="AK125" s="36"/>
      <c r="AL125" s="36">
        <v>0</v>
      </c>
      <c r="AM125" s="36">
        <v>0</v>
      </c>
      <c r="AN125" s="46">
        <v>0</v>
      </c>
      <c r="AO125" s="100">
        <f t="shared" si="53"/>
        <v>286</v>
      </c>
      <c r="AP125" s="3">
        <f t="shared" si="40"/>
        <v>121550</v>
      </c>
    </row>
    <row r="126" spans="1:42" x14ac:dyDescent="0.2">
      <c r="A126" s="35" t="s">
        <v>70</v>
      </c>
      <c r="B126" s="37" t="s">
        <v>556</v>
      </c>
      <c r="C126" s="37" t="s">
        <v>578</v>
      </c>
      <c r="D126" s="52">
        <v>46387</v>
      </c>
      <c r="E126" s="38" t="s">
        <v>754</v>
      </c>
      <c r="F126" s="36" t="s">
        <v>559</v>
      </c>
      <c r="G126" s="36" t="s">
        <v>587</v>
      </c>
      <c r="H126" s="39">
        <v>1684</v>
      </c>
      <c r="I126" s="40">
        <v>85378.8</v>
      </c>
      <c r="J126" s="39">
        <v>3385</v>
      </c>
      <c r="K126" s="40">
        <v>171619.5</v>
      </c>
      <c r="L126" s="37" t="s">
        <v>578</v>
      </c>
      <c r="M126" s="41">
        <v>50.699999999999989</v>
      </c>
      <c r="N126" s="42">
        <v>105</v>
      </c>
      <c r="O126" s="36">
        <v>3265</v>
      </c>
      <c r="P126" s="41">
        <f t="shared" si="46"/>
        <v>170858.99999999997</v>
      </c>
      <c r="Q126" s="36">
        <v>4020</v>
      </c>
      <c r="R126" s="43">
        <f t="shared" si="47"/>
        <v>-755</v>
      </c>
      <c r="S126" s="43">
        <f t="shared" si="48"/>
        <v>245</v>
      </c>
      <c r="T126" s="41">
        <f t="shared" si="49"/>
        <v>12421.499999999996</v>
      </c>
      <c r="U126" s="44">
        <v>3510</v>
      </c>
      <c r="V126" s="45">
        <f t="shared" si="50"/>
        <v>177956.99999999997</v>
      </c>
      <c r="W126" s="36">
        <v>3370</v>
      </c>
      <c r="X126" s="86">
        <v>170858.99999999997</v>
      </c>
      <c r="Y126" s="199">
        <v>50.70000000000001</v>
      </c>
      <c r="Z126" s="44">
        <v>985</v>
      </c>
      <c r="AA126" s="41">
        <f t="shared" si="37"/>
        <v>49939.500000000007</v>
      </c>
      <c r="AB126" s="44">
        <v>0</v>
      </c>
      <c r="AC126" s="44">
        <f t="shared" si="52"/>
        <v>1820</v>
      </c>
      <c r="AD126" s="44">
        <f t="shared" si="38"/>
        <v>2805</v>
      </c>
      <c r="AE126" s="111">
        <f t="shared" si="39"/>
        <v>142213.50000000003</v>
      </c>
      <c r="AF126" s="51" t="s">
        <v>578</v>
      </c>
      <c r="AG126" s="115"/>
      <c r="AH126" s="35">
        <v>1820</v>
      </c>
      <c r="AI126" s="36">
        <v>0</v>
      </c>
      <c r="AJ126" s="36">
        <v>0</v>
      </c>
      <c r="AK126" s="36"/>
      <c r="AL126" s="36">
        <v>0</v>
      </c>
      <c r="AM126" s="36">
        <v>0</v>
      </c>
      <c r="AN126" s="46">
        <v>0</v>
      </c>
      <c r="AO126" s="100">
        <f t="shared" si="53"/>
        <v>1820</v>
      </c>
      <c r="AP126" s="3">
        <f t="shared" si="40"/>
        <v>92274.000000000015</v>
      </c>
    </row>
    <row r="127" spans="1:42" x14ac:dyDescent="0.2">
      <c r="A127" s="35" t="s">
        <v>714</v>
      </c>
      <c r="B127" s="157" t="s">
        <v>556</v>
      </c>
      <c r="C127" s="37" t="s">
        <v>571</v>
      </c>
      <c r="D127" s="52"/>
      <c r="E127" s="38" t="s">
        <v>594</v>
      </c>
      <c r="F127" s="36" t="s">
        <v>555</v>
      </c>
      <c r="G127" s="36" t="s">
        <v>620</v>
      </c>
      <c r="H127" s="39">
        <v>0</v>
      </c>
      <c r="I127" s="40">
        <v>0</v>
      </c>
      <c r="J127" s="39">
        <v>21</v>
      </c>
      <c r="K127" s="40">
        <v>40963.800000000003</v>
      </c>
      <c r="L127" s="37" t="s">
        <v>571</v>
      </c>
      <c r="M127" s="41">
        <v>1435.939090909091</v>
      </c>
      <c r="N127" s="42">
        <v>0</v>
      </c>
      <c r="O127" s="36">
        <v>105</v>
      </c>
      <c r="P127" s="41">
        <f t="shared" si="46"/>
        <v>150773.60454545455</v>
      </c>
      <c r="Q127" s="36">
        <v>0</v>
      </c>
      <c r="R127" s="43">
        <f t="shared" si="47"/>
        <v>105</v>
      </c>
      <c r="S127" s="43">
        <f t="shared" si="48"/>
        <v>0</v>
      </c>
      <c r="T127" s="41">
        <f t="shared" si="49"/>
        <v>0</v>
      </c>
      <c r="U127" s="44">
        <f>O127</f>
        <v>105</v>
      </c>
      <c r="V127" s="45">
        <f t="shared" si="50"/>
        <v>150773.60454545455</v>
      </c>
      <c r="W127" s="36">
        <v>385</v>
      </c>
      <c r="X127" s="86">
        <v>552836.55000000005</v>
      </c>
      <c r="Y127" s="199">
        <v>1419.75</v>
      </c>
      <c r="Z127" s="44">
        <v>0</v>
      </c>
      <c r="AA127" s="41">
        <f t="shared" si="37"/>
        <v>0</v>
      </c>
      <c r="AB127" s="44">
        <v>0</v>
      </c>
      <c r="AC127" s="44">
        <f t="shared" ref="AC127:AC158" si="54">AB127+AO127</f>
        <v>100</v>
      </c>
      <c r="AD127" s="44">
        <f t="shared" si="38"/>
        <v>100</v>
      </c>
      <c r="AE127" s="111">
        <f t="shared" si="39"/>
        <v>141975</v>
      </c>
      <c r="AF127" s="51" t="s">
        <v>571</v>
      </c>
      <c r="AG127" s="115"/>
      <c r="AH127" s="35">
        <v>0</v>
      </c>
      <c r="AI127" s="36">
        <v>100</v>
      </c>
      <c r="AJ127" s="36">
        <v>0</v>
      </c>
      <c r="AK127" s="36"/>
      <c r="AL127" s="36">
        <v>0</v>
      </c>
      <c r="AM127" s="36">
        <v>0</v>
      </c>
      <c r="AN127" s="46">
        <v>0</v>
      </c>
      <c r="AO127" s="100">
        <f t="shared" si="53"/>
        <v>100</v>
      </c>
      <c r="AP127" s="3">
        <f t="shared" si="40"/>
        <v>141975</v>
      </c>
    </row>
    <row r="128" spans="1:42" x14ac:dyDescent="0.2">
      <c r="A128" s="49" t="s">
        <v>852</v>
      </c>
      <c r="B128" s="157" t="s">
        <v>556</v>
      </c>
      <c r="C128" s="37" t="s">
        <v>571</v>
      </c>
      <c r="D128" s="52"/>
      <c r="E128" s="38" t="s">
        <v>773</v>
      </c>
      <c r="F128" s="36" t="s">
        <v>555</v>
      </c>
      <c r="G128" s="36" t="s">
        <v>620</v>
      </c>
      <c r="H128" s="39"/>
      <c r="I128" s="40"/>
      <c r="J128" s="39">
        <v>19</v>
      </c>
      <c r="K128" s="40">
        <v>39809</v>
      </c>
      <c r="L128" s="51"/>
      <c r="M128" s="41">
        <v>1434.9057446808513</v>
      </c>
      <c r="N128" s="41"/>
      <c r="O128" s="36"/>
      <c r="P128" s="41"/>
      <c r="Q128" s="36"/>
      <c r="R128" s="43"/>
      <c r="S128" s="43"/>
      <c r="T128" s="41"/>
      <c r="U128" s="44"/>
      <c r="V128" s="45"/>
      <c r="W128" s="36">
        <v>376</v>
      </c>
      <c r="X128" s="86">
        <v>539524.56000000006</v>
      </c>
      <c r="Y128" s="199">
        <v>1419.75</v>
      </c>
      <c r="Z128" s="44">
        <v>0</v>
      </c>
      <c r="AA128" s="41">
        <f t="shared" si="37"/>
        <v>0</v>
      </c>
      <c r="AB128" s="44">
        <v>0</v>
      </c>
      <c r="AC128" s="44">
        <f t="shared" si="54"/>
        <v>100</v>
      </c>
      <c r="AD128" s="44">
        <f t="shared" si="38"/>
        <v>100</v>
      </c>
      <c r="AE128" s="111">
        <f t="shared" si="39"/>
        <v>141975</v>
      </c>
      <c r="AF128" s="51" t="s">
        <v>571</v>
      </c>
      <c r="AG128" s="115"/>
      <c r="AH128" s="35">
        <v>0</v>
      </c>
      <c r="AI128" s="36">
        <v>100</v>
      </c>
      <c r="AJ128" s="36">
        <v>0</v>
      </c>
      <c r="AK128" s="36"/>
      <c r="AL128" s="36">
        <v>0</v>
      </c>
      <c r="AM128" s="36">
        <v>0</v>
      </c>
      <c r="AN128" s="46">
        <v>0</v>
      </c>
      <c r="AO128" s="100">
        <f t="shared" si="53"/>
        <v>100</v>
      </c>
      <c r="AP128" s="3">
        <f t="shared" si="40"/>
        <v>141975</v>
      </c>
    </row>
    <row r="129" spans="1:42" x14ac:dyDescent="0.2">
      <c r="A129" s="35" t="s">
        <v>64</v>
      </c>
      <c r="B129" s="37" t="s">
        <v>556</v>
      </c>
      <c r="C129" s="37" t="s">
        <v>578</v>
      </c>
      <c r="D129" s="52">
        <v>46387</v>
      </c>
      <c r="E129" s="38" t="s">
        <v>754</v>
      </c>
      <c r="F129" s="36" t="s">
        <v>559</v>
      </c>
      <c r="G129" s="36" t="s">
        <v>587</v>
      </c>
      <c r="H129" s="39">
        <v>679</v>
      </c>
      <c r="I129" s="40">
        <v>69583.920000000013</v>
      </c>
      <c r="J129" s="39">
        <v>821</v>
      </c>
      <c r="K129" s="40">
        <v>84136.08</v>
      </c>
      <c r="L129" s="37" t="s">
        <v>578</v>
      </c>
      <c r="M129" s="41">
        <v>102.48000000000003</v>
      </c>
      <c r="N129" s="42">
        <v>56</v>
      </c>
      <c r="O129" s="36">
        <v>1355</v>
      </c>
      <c r="P129" s="41">
        <f t="shared" ref="P129:P142" si="55">(N129+O129)*M129</f>
        <v>144599.28000000006</v>
      </c>
      <c r="Q129" s="36">
        <v>147</v>
      </c>
      <c r="R129" s="43">
        <f t="shared" ref="R129:R142" si="56">O129-Q129</f>
        <v>1208</v>
      </c>
      <c r="S129" s="43">
        <f t="shared" ref="S129:S142" si="57">U129-O129</f>
        <v>56</v>
      </c>
      <c r="T129" s="41">
        <f t="shared" ref="T129:T142" si="58">S129*M129</f>
        <v>5738.8800000000019</v>
      </c>
      <c r="U129" s="44">
        <v>1411</v>
      </c>
      <c r="V129" s="45">
        <f t="shared" ref="V129:V142" si="59">U129*M129</f>
        <v>144599.28000000006</v>
      </c>
      <c r="W129" s="36">
        <v>1401</v>
      </c>
      <c r="X129" s="86">
        <v>143574.48000000004</v>
      </c>
      <c r="Y129" s="199">
        <v>102.48</v>
      </c>
      <c r="Z129" s="44">
        <v>575</v>
      </c>
      <c r="AA129" s="41">
        <f t="shared" si="37"/>
        <v>58926</v>
      </c>
      <c r="AB129" s="44">
        <v>50</v>
      </c>
      <c r="AC129" s="44">
        <f t="shared" si="54"/>
        <v>796</v>
      </c>
      <c r="AD129" s="44">
        <f t="shared" si="38"/>
        <v>1371</v>
      </c>
      <c r="AE129" s="111">
        <f t="shared" si="39"/>
        <v>140500.08000000002</v>
      </c>
      <c r="AF129" s="51" t="s">
        <v>578</v>
      </c>
      <c r="AG129" s="115"/>
      <c r="AH129" s="35">
        <v>446</v>
      </c>
      <c r="AI129" s="36">
        <v>0</v>
      </c>
      <c r="AJ129" s="36">
        <v>300</v>
      </c>
      <c r="AK129" s="36"/>
      <c r="AL129" s="36">
        <v>0</v>
      </c>
      <c r="AM129" s="36">
        <v>0</v>
      </c>
      <c r="AN129" s="46">
        <v>0</v>
      </c>
      <c r="AO129" s="100">
        <f t="shared" si="53"/>
        <v>746</v>
      </c>
      <c r="AP129" s="3">
        <f t="shared" si="40"/>
        <v>81574.080000000002</v>
      </c>
    </row>
    <row r="130" spans="1:42" x14ac:dyDescent="0.2">
      <c r="A130" s="35" t="s">
        <v>539</v>
      </c>
      <c r="B130" s="37" t="s">
        <v>565</v>
      </c>
      <c r="C130" s="37" t="s">
        <v>571</v>
      </c>
      <c r="D130" s="52"/>
      <c r="E130" s="38" t="s">
        <v>805</v>
      </c>
      <c r="F130" s="36" t="s">
        <v>563</v>
      </c>
      <c r="G130" s="36" t="s">
        <v>579</v>
      </c>
      <c r="H130" s="39">
        <v>0</v>
      </c>
      <c r="I130" s="40">
        <v>0</v>
      </c>
      <c r="J130" s="39">
        <v>1417</v>
      </c>
      <c r="K130" s="40">
        <v>469000</v>
      </c>
      <c r="L130" s="37" t="s">
        <v>571</v>
      </c>
      <c r="M130" s="41">
        <v>467.62</v>
      </c>
      <c r="N130" s="42">
        <v>0</v>
      </c>
      <c r="O130" s="36">
        <v>0</v>
      </c>
      <c r="P130" s="41">
        <f t="shared" si="55"/>
        <v>0</v>
      </c>
      <c r="Q130" s="36">
        <v>35</v>
      </c>
      <c r="R130" s="43">
        <f t="shared" si="56"/>
        <v>-35</v>
      </c>
      <c r="S130" s="43">
        <f t="shared" si="57"/>
        <v>35</v>
      </c>
      <c r="T130" s="41">
        <f t="shared" si="58"/>
        <v>16366.7</v>
      </c>
      <c r="U130" s="44">
        <f>Q130</f>
        <v>35</v>
      </c>
      <c r="V130" s="45">
        <f t="shared" si="59"/>
        <v>16366.7</v>
      </c>
      <c r="W130" s="36">
        <v>29</v>
      </c>
      <c r="X130" s="86">
        <v>13560.98</v>
      </c>
      <c r="Y130" s="199">
        <v>467.01</v>
      </c>
      <c r="Z130" s="44">
        <v>300</v>
      </c>
      <c r="AA130" s="41">
        <f t="shared" ref="AA130:AA193" si="60">Z130*Y130</f>
        <v>140103</v>
      </c>
      <c r="AB130" s="44">
        <v>0</v>
      </c>
      <c r="AC130" s="44">
        <f t="shared" si="54"/>
        <v>0</v>
      </c>
      <c r="AD130" s="44">
        <f t="shared" ref="AD130:AD193" si="61">AC130+Z130</f>
        <v>300</v>
      </c>
      <c r="AE130" s="111">
        <f t="shared" ref="AE130:AE193" si="62">AD130*Y130</f>
        <v>140103</v>
      </c>
      <c r="AF130" s="51" t="s">
        <v>571</v>
      </c>
      <c r="AG130" s="115" t="s">
        <v>1072</v>
      </c>
      <c r="AH130" s="35">
        <v>0</v>
      </c>
      <c r="AI130" s="36">
        <v>0</v>
      </c>
      <c r="AJ130" s="36">
        <v>0</v>
      </c>
      <c r="AK130" s="36"/>
      <c r="AL130" s="36">
        <v>0</v>
      </c>
      <c r="AM130" s="36">
        <v>0</v>
      </c>
      <c r="AN130" s="46">
        <v>0</v>
      </c>
      <c r="AO130" s="100">
        <f t="shared" si="53"/>
        <v>0</v>
      </c>
      <c r="AP130" s="3">
        <f t="shared" ref="AP130:AP193" si="63">AC130*Y130</f>
        <v>0</v>
      </c>
    </row>
    <row r="131" spans="1:42" x14ac:dyDescent="0.2">
      <c r="A131" s="35" t="s">
        <v>425</v>
      </c>
      <c r="B131" s="156" t="s">
        <v>565</v>
      </c>
      <c r="C131" s="37" t="s">
        <v>578</v>
      </c>
      <c r="D131" s="52">
        <v>46387</v>
      </c>
      <c r="E131" s="38" t="s">
        <v>758</v>
      </c>
      <c r="F131" s="36" t="s">
        <v>555</v>
      </c>
      <c r="G131" s="36" t="s">
        <v>583</v>
      </c>
      <c r="H131" s="39">
        <v>0</v>
      </c>
      <c r="I131" s="40">
        <v>0</v>
      </c>
      <c r="J131" s="39">
        <v>0</v>
      </c>
      <c r="K131" s="40">
        <v>0</v>
      </c>
      <c r="L131" s="37" t="s">
        <v>578</v>
      </c>
      <c r="M131" s="41">
        <v>282.51</v>
      </c>
      <c r="N131" s="42">
        <v>0</v>
      </c>
      <c r="O131" s="36">
        <v>370</v>
      </c>
      <c r="P131" s="41">
        <f t="shared" si="55"/>
        <v>104528.7</v>
      </c>
      <c r="Q131" s="36">
        <v>0</v>
      </c>
      <c r="R131" s="43">
        <f t="shared" si="56"/>
        <v>370</v>
      </c>
      <c r="S131" s="43">
        <f t="shared" si="57"/>
        <v>-74</v>
      </c>
      <c r="T131" s="41">
        <f t="shared" si="58"/>
        <v>-20905.739999999998</v>
      </c>
      <c r="U131" s="44">
        <f>O131/1.25</f>
        <v>296</v>
      </c>
      <c r="V131" s="45">
        <f t="shared" si="59"/>
        <v>83622.959999999992</v>
      </c>
      <c r="W131" s="36">
        <v>555</v>
      </c>
      <c r="X131" s="86">
        <v>156793.04999999999</v>
      </c>
      <c r="Y131" s="199">
        <v>282.51</v>
      </c>
      <c r="Z131" s="44">
        <v>335</v>
      </c>
      <c r="AA131" s="41">
        <f t="shared" si="60"/>
        <v>94640.849999999991</v>
      </c>
      <c r="AB131" s="44">
        <v>0</v>
      </c>
      <c r="AC131" s="44">
        <f t="shared" si="54"/>
        <v>150</v>
      </c>
      <c r="AD131" s="44">
        <f t="shared" si="61"/>
        <v>485</v>
      </c>
      <c r="AE131" s="111">
        <f t="shared" si="62"/>
        <v>137017.35</v>
      </c>
      <c r="AF131" s="51" t="s">
        <v>578</v>
      </c>
      <c r="AG131" s="115" t="s">
        <v>747</v>
      </c>
      <c r="AH131" s="35">
        <v>0</v>
      </c>
      <c r="AI131" s="36">
        <v>150</v>
      </c>
      <c r="AJ131" s="36">
        <v>0</v>
      </c>
      <c r="AK131" s="36"/>
      <c r="AL131" s="36">
        <v>0</v>
      </c>
      <c r="AM131" s="36">
        <v>0</v>
      </c>
      <c r="AN131" s="46">
        <v>0</v>
      </c>
      <c r="AO131" s="100">
        <f t="shared" si="53"/>
        <v>150</v>
      </c>
      <c r="AP131" s="3">
        <f t="shared" si="63"/>
        <v>42376.5</v>
      </c>
    </row>
    <row r="132" spans="1:42" x14ac:dyDescent="0.2">
      <c r="A132" s="35" t="s">
        <v>348</v>
      </c>
      <c r="B132" s="37" t="s">
        <v>565</v>
      </c>
      <c r="C132" s="37" t="s">
        <v>578</v>
      </c>
      <c r="D132" s="52">
        <v>46387</v>
      </c>
      <c r="E132" s="38" t="s">
        <v>754</v>
      </c>
      <c r="F132" s="36" t="s">
        <v>557</v>
      </c>
      <c r="G132" s="36" t="s">
        <v>630</v>
      </c>
      <c r="H132" s="39">
        <v>23</v>
      </c>
      <c r="I132" s="40">
        <v>104804.56000000001</v>
      </c>
      <c r="J132" s="39">
        <v>30</v>
      </c>
      <c r="K132" s="40">
        <v>136701.6</v>
      </c>
      <c r="L132" s="37" t="s">
        <v>578</v>
      </c>
      <c r="M132" s="41">
        <v>4556.72</v>
      </c>
      <c r="N132" s="42">
        <v>0</v>
      </c>
      <c r="O132" s="36">
        <v>16</v>
      </c>
      <c r="P132" s="41">
        <f t="shared" si="55"/>
        <v>72907.520000000004</v>
      </c>
      <c r="Q132" s="36">
        <v>6</v>
      </c>
      <c r="R132" s="43">
        <f t="shared" si="56"/>
        <v>10</v>
      </c>
      <c r="S132" s="43">
        <f t="shared" si="57"/>
        <v>0</v>
      </c>
      <c r="T132" s="41">
        <f t="shared" si="58"/>
        <v>0</v>
      </c>
      <c r="U132" s="44">
        <v>16</v>
      </c>
      <c r="V132" s="45">
        <f t="shared" si="59"/>
        <v>72907.520000000004</v>
      </c>
      <c r="W132" s="36">
        <v>16</v>
      </c>
      <c r="X132" s="86">
        <v>72907.520000000004</v>
      </c>
      <c r="Y132" s="199">
        <v>4556.72</v>
      </c>
      <c r="Z132" s="44">
        <v>10</v>
      </c>
      <c r="AA132" s="41">
        <f t="shared" si="60"/>
        <v>45567.200000000004</v>
      </c>
      <c r="AB132" s="44">
        <v>0</v>
      </c>
      <c r="AC132" s="44">
        <f t="shared" si="54"/>
        <v>20</v>
      </c>
      <c r="AD132" s="44">
        <f t="shared" si="61"/>
        <v>30</v>
      </c>
      <c r="AE132" s="111">
        <f t="shared" si="62"/>
        <v>136701.6</v>
      </c>
      <c r="AF132" s="51" t="s">
        <v>578</v>
      </c>
      <c r="AG132" s="115"/>
      <c r="AH132" s="35">
        <v>20</v>
      </c>
      <c r="AI132" s="36">
        <v>0</v>
      </c>
      <c r="AJ132" s="36">
        <v>0</v>
      </c>
      <c r="AK132" s="36"/>
      <c r="AL132" s="36">
        <v>0</v>
      </c>
      <c r="AM132" s="36">
        <v>0</v>
      </c>
      <c r="AN132" s="46">
        <v>0</v>
      </c>
      <c r="AO132" s="100">
        <f t="shared" si="53"/>
        <v>20</v>
      </c>
      <c r="AP132" s="3">
        <f t="shared" si="63"/>
        <v>91134.400000000009</v>
      </c>
    </row>
    <row r="133" spans="1:42" x14ac:dyDescent="0.2">
      <c r="A133" s="35" t="s">
        <v>362</v>
      </c>
      <c r="B133" s="37" t="s">
        <v>556</v>
      </c>
      <c r="C133" s="37" t="s">
        <v>571</v>
      </c>
      <c r="D133" s="52"/>
      <c r="E133" s="38" t="s">
        <v>791</v>
      </c>
      <c r="F133" s="36" t="s">
        <v>557</v>
      </c>
      <c r="G133" s="36" t="s">
        <v>634</v>
      </c>
      <c r="H133" s="39">
        <v>50</v>
      </c>
      <c r="I133" s="40">
        <v>6774</v>
      </c>
      <c r="J133" s="39">
        <v>163</v>
      </c>
      <c r="K133" s="40">
        <v>22083.24</v>
      </c>
      <c r="L133" s="37" t="s">
        <v>571</v>
      </c>
      <c r="M133" s="41">
        <v>135.47999999999999</v>
      </c>
      <c r="N133" s="42">
        <v>0</v>
      </c>
      <c r="O133" s="36">
        <v>500</v>
      </c>
      <c r="P133" s="41">
        <f t="shared" si="55"/>
        <v>67740</v>
      </c>
      <c r="Q133" s="36">
        <v>500</v>
      </c>
      <c r="R133" s="43">
        <f t="shared" si="56"/>
        <v>0</v>
      </c>
      <c r="S133" s="43">
        <f t="shared" si="57"/>
        <v>0</v>
      </c>
      <c r="T133" s="41">
        <f t="shared" si="58"/>
        <v>0</v>
      </c>
      <c r="U133" s="44">
        <v>500</v>
      </c>
      <c r="V133" s="45">
        <f t="shared" si="59"/>
        <v>67740</v>
      </c>
      <c r="W133" s="36">
        <v>500</v>
      </c>
      <c r="X133" s="86">
        <v>67740</v>
      </c>
      <c r="Y133" s="199">
        <v>135.47999999999999</v>
      </c>
      <c r="Z133" s="44">
        <v>0</v>
      </c>
      <c r="AA133" s="41">
        <f t="shared" si="60"/>
        <v>0</v>
      </c>
      <c r="AB133" s="44">
        <v>0</v>
      </c>
      <c r="AC133" s="44">
        <f t="shared" si="54"/>
        <v>1000</v>
      </c>
      <c r="AD133" s="44">
        <f t="shared" si="61"/>
        <v>1000</v>
      </c>
      <c r="AE133" s="111">
        <f t="shared" si="62"/>
        <v>135480</v>
      </c>
      <c r="AF133" s="51" t="s">
        <v>571</v>
      </c>
      <c r="AG133" s="115"/>
      <c r="AH133" s="35">
        <v>0</v>
      </c>
      <c r="AI133" s="36">
        <v>0</v>
      </c>
      <c r="AJ133" s="36">
        <v>0</v>
      </c>
      <c r="AK133" s="50">
        <v>1000</v>
      </c>
      <c r="AL133" s="36">
        <v>0</v>
      </c>
      <c r="AM133" s="36">
        <v>0</v>
      </c>
      <c r="AN133" s="46">
        <v>0</v>
      </c>
      <c r="AO133" s="100">
        <f t="shared" si="53"/>
        <v>1000</v>
      </c>
      <c r="AP133" s="3">
        <f t="shared" si="63"/>
        <v>135480</v>
      </c>
    </row>
    <row r="134" spans="1:42" x14ac:dyDescent="0.2">
      <c r="A134" s="35" t="s">
        <v>361</v>
      </c>
      <c r="B134" s="37" t="s">
        <v>556</v>
      </c>
      <c r="C134" s="37" t="s">
        <v>571</v>
      </c>
      <c r="D134" s="52"/>
      <c r="E134" s="38" t="s">
        <v>791</v>
      </c>
      <c r="F134" s="36" t="s">
        <v>557</v>
      </c>
      <c r="G134" s="36" t="s">
        <v>634</v>
      </c>
      <c r="H134" s="39">
        <v>942</v>
      </c>
      <c r="I134" s="40">
        <v>103846.07999999999</v>
      </c>
      <c r="J134" s="39">
        <v>0</v>
      </c>
      <c r="K134" s="40">
        <v>0</v>
      </c>
      <c r="L134" s="37" t="s">
        <v>571</v>
      </c>
      <c r="M134" s="41">
        <v>135.47999999999999</v>
      </c>
      <c r="N134" s="42">
        <v>0</v>
      </c>
      <c r="O134" s="36">
        <v>500</v>
      </c>
      <c r="P134" s="41">
        <f t="shared" si="55"/>
        <v>67740</v>
      </c>
      <c r="Q134" s="36">
        <v>500</v>
      </c>
      <c r="R134" s="43">
        <f t="shared" si="56"/>
        <v>0</v>
      </c>
      <c r="S134" s="43">
        <f t="shared" si="57"/>
        <v>0</v>
      </c>
      <c r="T134" s="41">
        <f t="shared" si="58"/>
        <v>0</v>
      </c>
      <c r="U134" s="44">
        <v>500</v>
      </c>
      <c r="V134" s="45">
        <f t="shared" si="59"/>
        <v>67740</v>
      </c>
      <c r="W134" s="36">
        <v>1000</v>
      </c>
      <c r="X134" s="86">
        <v>135480</v>
      </c>
      <c r="Y134" s="199">
        <v>135</v>
      </c>
      <c r="Z134" s="44">
        <v>0</v>
      </c>
      <c r="AA134" s="41">
        <f t="shared" si="60"/>
        <v>0</v>
      </c>
      <c r="AB134" s="44">
        <v>0</v>
      </c>
      <c r="AC134" s="44">
        <f t="shared" si="54"/>
        <v>1000</v>
      </c>
      <c r="AD134" s="44">
        <f t="shared" si="61"/>
        <v>1000</v>
      </c>
      <c r="AE134" s="111">
        <f t="shared" si="62"/>
        <v>135000</v>
      </c>
      <c r="AF134" s="51" t="s">
        <v>571</v>
      </c>
      <c r="AG134" s="115"/>
      <c r="AH134" s="35">
        <v>0</v>
      </c>
      <c r="AI134" s="36">
        <v>0</v>
      </c>
      <c r="AJ134" s="36">
        <v>0</v>
      </c>
      <c r="AK134" s="50">
        <v>1000</v>
      </c>
      <c r="AL134" s="36">
        <v>0</v>
      </c>
      <c r="AM134" s="36">
        <v>0</v>
      </c>
      <c r="AN134" s="46">
        <v>0</v>
      </c>
      <c r="AO134" s="100">
        <f t="shared" si="53"/>
        <v>1000</v>
      </c>
      <c r="AP134" s="3">
        <f t="shared" si="63"/>
        <v>135000</v>
      </c>
    </row>
    <row r="135" spans="1:42" x14ac:dyDescent="0.2">
      <c r="A135" s="35" t="s">
        <v>387</v>
      </c>
      <c r="B135" s="37" t="s">
        <v>556</v>
      </c>
      <c r="C135" s="37" t="s">
        <v>578</v>
      </c>
      <c r="D135" s="52">
        <v>46387</v>
      </c>
      <c r="E135" s="38" t="s">
        <v>758</v>
      </c>
      <c r="F135" s="36" t="s">
        <v>555</v>
      </c>
      <c r="G135" s="36" t="s">
        <v>583</v>
      </c>
      <c r="H135" s="39">
        <v>0</v>
      </c>
      <c r="I135" s="40">
        <v>0</v>
      </c>
      <c r="J135" s="39">
        <v>334</v>
      </c>
      <c r="K135" s="40">
        <v>73480</v>
      </c>
      <c r="L135" s="37" t="s">
        <v>571</v>
      </c>
      <c r="M135" s="41">
        <v>215.25</v>
      </c>
      <c r="N135" s="42">
        <v>0</v>
      </c>
      <c r="O135" s="36">
        <v>155</v>
      </c>
      <c r="P135" s="41">
        <f t="shared" si="55"/>
        <v>33363.75</v>
      </c>
      <c r="Q135" s="36">
        <v>500</v>
      </c>
      <c r="R135" s="43">
        <f t="shared" si="56"/>
        <v>-345</v>
      </c>
      <c r="S135" s="43">
        <f t="shared" si="57"/>
        <v>0</v>
      </c>
      <c r="T135" s="41">
        <f t="shared" si="58"/>
        <v>0</v>
      </c>
      <c r="U135" s="44">
        <f>O135</f>
        <v>155</v>
      </c>
      <c r="V135" s="45">
        <f t="shared" si="59"/>
        <v>33363.75</v>
      </c>
      <c r="W135" s="36">
        <v>155</v>
      </c>
      <c r="X135" s="86">
        <v>33363.75</v>
      </c>
      <c r="Y135" s="199">
        <v>215.25</v>
      </c>
      <c r="Z135" s="44">
        <v>620</v>
      </c>
      <c r="AA135" s="41">
        <f t="shared" si="60"/>
        <v>133455</v>
      </c>
      <c r="AB135" s="44">
        <v>0</v>
      </c>
      <c r="AC135" s="44">
        <f t="shared" si="54"/>
        <v>0</v>
      </c>
      <c r="AD135" s="44">
        <f t="shared" si="61"/>
        <v>620</v>
      </c>
      <c r="AE135" s="111">
        <f t="shared" si="62"/>
        <v>133455</v>
      </c>
      <c r="AF135" s="51" t="s">
        <v>578</v>
      </c>
      <c r="AG135" s="115"/>
      <c r="AH135" s="35">
        <v>0</v>
      </c>
      <c r="AI135" s="36">
        <v>0</v>
      </c>
      <c r="AJ135" s="36">
        <v>0</v>
      </c>
      <c r="AK135" s="36"/>
      <c r="AL135" s="36">
        <v>0</v>
      </c>
      <c r="AM135" s="36">
        <v>0</v>
      </c>
      <c r="AN135" s="46">
        <v>0</v>
      </c>
      <c r="AO135" s="100">
        <f t="shared" si="53"/>
        <v>0</v>
      </c>
      <c r="AP135" s="3">
        <f t="shared" si="63"/>
        <v>0</v>
      </c>
    </row>
    <row r="136" spans="1:42" x14ac:dyDescent="0.2">
      <c r="A136" s="35" t="s">
        <v>408</v>
      </c>
      <c r="B136" s="37" t="s">
        <v>556</v>
      </c>
      <c r="C136" s="37" t="s">
        <v>578</v>
      </c>
      <c r="D136" s="52">
        <v>46387</v>
      </c>
      <c r="E136" s="38" t="s">
        <v>758</v>
      </c>
      <c r="F136" s="36" t="s">
        <v>555</v>
      </c>
      <c r="G136" s="36" t="s">
        <v>583</v>
      </c>
      <c r="H136" s="39">
        <v>912</v>
      </c>
      <c r="I136" s="40">
        <v>51756</v>
      </c>
      <c r="J136" s="39">
        <v>87</v>
      </c>
      <c r="K136" s="40">
        <v>4937.25</v>
      </c>
      <c r="L136" s="37" t="s">
        <v>571</v>
      </c>
      <c r="M136" s="41">
        <v>55.19</v>
      </c>
      <c r="N136" s="42">
        <v>0</v>
      </c>
      <c r="O136" s="36">
        <v>5000</v>
      </c>
      <c r="P136" s="41">
        <f t="shared" si="55"/>
        <v>275950</v>
      </c>
      <c r="Q136" s="36">
        <v>2500</v>
      </c>
      <c r="R136" s="43">
        <f t="shared" si="56"/>
        <v>2500</v>
      </c>
      <c r="S136" s="43">
        <f t="shared" si="57"/>
        <v>-1000</v>
      </c>
      <c r="T136" s="41">
        <f t="shared" si="58"/>
        <v>-55190</v>
      </c>
      <c r="U136" s="44">
        <f>O136/1.25</f>
        <v>4000</v>
      </c>
      <c r="V136" s="45">
        <f t="shared" si="59"/>
        <v>220760</v>
      </c>
      <c r="W136" s="36">
        <v>5100</v>
      </c>
      <c r="X136" s="86">
        <v>281469</v>
      </c>
      <c r="Y136" s="199">
        <v>55.19</v>
      </c>
      <c r="Z136" s="44">
        <v>386</v>
      </c>
      <c r="AA136" s="41">
        <f t="shared" si="60"/>
        <v>21303.34</v>
      </c>
      <c r="AB136" s="44">
        <v>0</v>
      </c>
      <c r="AC136" s="44">
        <f t="shared" si="54"/>
        <v>2000</v>
      </c>
      <c r="AD136" s="44">
        <f t="shared" si="61"/>
        <v>2386</v>
      </c>
      <c r="AE136" s="111">
        <f t="shared" si="62"/>
        <v>131683.34</v>
      </c>
      <c r="AF136" s="51" t="s">
        <v>578</v>
      </c>
      <c r="AG136" s="115" t="s">
        <v>747</v>
      </c>
      <c r="AH136" s="35">
        <v>0</v>
      </c>
      <c r="AI136" s="36">
        <v>2000</v>
      </c>
      <c r="AJ136" s="36">
        <v>0</v>
      </c>
      <c r="AK136" s="36"/>
      <c r="AL136" s="36">
        <v>0</v>
      </c>
      <c r="AM136" s="36">
        <v>0</v>
      </c>
      <c r="AN136" s="46">
        <v>0</v>
      </c>
      <c r="AO136" s="100">
        <f t="shared" si="53"/>
        <v>2000</v>
      </c>
      <c r="AP136" s="3">
        <f t="shared" si="63"/>
        <v>110380</v>
      </c>
    </row>
    <row r="137" spans="1:42" x14ac:dyDescent="0.2">
      <c r="A137" s="35" t="s">
        <v>377</v>
      </c>
      <c r="B137" s="37" t="s">
        <v>562</v>
      </c>
      <c r="C137" s="37" t="s">
        <v>571</v>
      </c>
      <c r="D137" s="52"/>
      <c r="E137" s="38" t="s">
        <v>755</v>
      </c>
      <c r="F137" s="36" t="s">
        <v>558</v>
      </c>
      <c r="G137" s="36" t="s">
        <v>582</v>
      </c>
      <c r="H137" s="39">
        <v>71</v>
      </c>
      <c r="I137" s="40">
        <v>75812.06</v>
      </c>
      <c r="J137" s="39">
        <v>42</v>
      </c>
      <c r="K137" s="40">
        <v>51262.36</v>
      </c>
      <c r="L137" s="37" t="s">
        <v>571</v>
      </c>
      <c r="M137" s="41">
        <v>998.07280000000003</v>
      </c>
      <c r="N137" s="42">
        <v>19</v>
      </c>
      <c r="O137" s="36">
        <v>14</v>
      </c>
      <c r="P137" s="41">
        <f t="shared" si="55"/>
        <v>32936.402399999999</v>
      </c>
      <c r="Q137" s="36">
        <v>200</v>
      </c>
      <c r="R137" s="43">
        <f t="shared" si="56"/>
        <v>-186</v>
      </c>
      <c r="S137" s="43">
        <f t="shared" si="57"/>
        <v>36</v>
      </c>
      <c r="T137" s="41">
        <f t="shared" si="58"/>
        <v>35930.620800000004</v>
      </c>
      <c r="U137" s="44">
        <v>50</v>
      </c>
      <c r="V137" s="45">
        <f t="shared" si="59"/>
        <v>49903.64</v>
      </c>
      <c r="W137" s="36">
        <v>25</v>
      </c>
      <c r="X137" s="86">
        <v>24951.82</v>
      </c>
      <c r="Y137" s="199">
        <v>1625</v>
      </c>
      <c r="Z137" s="44">
        <v>0</v>
      </c>
      <c r="AA137" s="41">
        <f t="shared" si="60"/>
        <v>0</v>
      </c>
      <c r="AB137" s="44">
        <v>0</v>
      </c>
      <c r="AC137" s="44">
        <f t="shared" si="54"/>
        <v>80</v>
      </c>
      <c r="AD137" s="44">
        <f t="shared" si="61"/>
        <v>80</v>
      </c>
      <c r="AE137" s="111">
        <f t="shared" si="62"/>
        <v>130000</v>
      </c>
      <c r="AF137" s="51" t="s">
        <v>571</v>
      </c>
      <c r="AG137" s="115" t="s">
        <v>1042</v>
      </c>
      <c r="AH137" s="35">
        <v>0</v>
      </c>
      <c r="AI137" s="36">
        <v>0</v>
      </c>
      <c r="AJ137" s="36">
        <v>0</v>
      </c>
      <c r="AK137" s="36"/>
      <c r="AL137" s="36">
        <v>80</v>
      </c>
      <c r="AM137" s="36">
        <v>0</v>
      </c>
      <c r="AN137" s="46">
        <v>0</v>
      </c>
      <c r="AO137" s="100">
        <f t="shared" si="53"/>
        <v>80</v>
      </c>
      <c r="AP137" s="3">
        <f t="shared" si="63"/>
        <v>130000</v>
      </c>
    </row>
    <row r="138" spans="1:42" x14ac:dyDescent="0.2">
      <c r="A138" s="35" t="s">
        <v>154</v>
      </c>
      <c r="B138" s="37" t="s">
        <v>556</v>
      </c>
      <c r="C138" s="37" t="s">
        <v>578</v>
      </c>
      <c r="D138" s="52">
        <v>46387</v>
      </c>
      <c r="E138" s="38" t="s">
        <v>754</v>
      </c>
      <c r="F138" s="36" t="s">
        <v>559</v>
      </c>
      <c r="G138" s="36" t="s">
        <v>609</v>
      </c>
      <c r="H138" s="39">
        <v>5496</v>
      </c>
      <c r="I138" s="40">
        <v>131629.19999999998</v>
      </c>
      <c r="J138" s="39">
        <v>7619</v>
      </c>
      <c r="K138" s="40">
        <v>180829.45</v>
      </c>
      <c r="L138" s="37" t="s">
        <v>578</v>
      </c>
      <c r="M138" s="41">
        <v>23.3474689245181</v>
      </c>
      <c r="N138" s="42">
        <v>0</v>
      </c>
      <c r="O138" s="36">
        <v>11102</v>
      </c>
      <c r="P138" s="41">
        <f t="shared" si="55"/>
        <v>259203.59999999995</v>
      </c>
      <c r="Q138" s="36">
        <v>11664</v>
      </c>
      <c r="R138" s="43">
        <f t="shared" si="56"/>
        <v>-562</v>
      </c>
      <c r="S138" s="43">
        <f t="shared" si="57"/>
        <v>0</v>
      </c>
      <c r="T138" s="41">
        <f t="shared" si="58"/>
        <v>0</v>
      </c>
      <c r="U138" s="44">
        <f>O138</f>
        <v>11102</v>
      </c>
      <c r="V138" s="45">
        <f t="shared" si="59"/>
        <v>259203.59999999995</v>
      </c>
      <c r="W138" s="36">
        <v>11102</v>
      </c>
      <c r="X138" s="86">
        <v>259203.59999999995</v>
      </c>
      <c r="Y138" s="199">
        <v>24.259999999999994</v>
      </c>
      <c r="Z138" s="44">
        <v>5200</v>
      </c>
      <c r="AA138" s="41">
        <f t="shared" si="60"/>
        <v>126151.99999999997</v>
      </c>
      <c r="AB138" s="44">
        <v>0</v>
      </c>
      <c r="AC138" s="44">
        <f t="shared" si="54"/>
        <v>0</v>
      </c>
      <c r="AD138" s="44">
        <f t="shared" si="61"/>
        <v>5200</v>
      </c>
      <c r="AE138" s="111">
        <f t="shared" si="62"/>
        <v>126151.99999999997</v>
      </c>
      <c r="AF138" s="51" t="s">
        <v>578</v>
      </c>
      <c r="AG138" s="115"/>
      <c r="AH138" s="35">
        <v>0</v>
      </c>
      <c r="AI138" s="36">
        <v>0</v>
      </c>
      <c r="AJ138" s="36">
        <v>0</v>
      </c>
      <c r="AK138" s="36"/>
      <c r="AL138" s="36">
        <v>0</v>
      </c>
      <c r="AM138" s="36">
        <v>0</v>
      </c>
      <c r="AN138" s="46">
        <v>0</v>
      </c>
      <c r="AO138" s="100">
        <f t="shared" si="53"/>
        <v>0</v>
      </c>
      <c r="AP138" s="3">
        <f t="shared" si="63"/>
        <v>0</v>
      </c>
    </row>
    <row r="139" spans="1:42" x14ac:dyDescent="0.2">
      <c r="A139" s="35" t="s">
        <v>353</v>
      </c>
      <c r="B139" s="37" t="s">
        <v>556</v>
      </c>
      <c r="C139" s="37" t="s">
        <v>578</v>
      </c>
      <c r="D139" s="52">
        <v>46387</v>
      </c>
      <c r="E139" s="38" t="s">
        <v>754</v>
      </c>
      <c r="F139" s="36" t="s">
        <v>557</v>
      </c>
      <c r="G139" s="36" t="s">
        <v>597</v>
      </c>
      <c r="H139" s="39">
        <v>886</v>
      </c>
      <c r="I139" s="40">
        <v>268059.3</v>
      </c>
      <c r="J139" s="39">
        <v>394</v>
      </c>
      <c r="K139" s="40">
        <v>119204.70000000001</v>
      </c>
      <c r="L139" s="37" t="s">
        <v>578</v>
      </c>
      <c r="M139" s="41">
        <v>302.55</v>
      </c>
      <c r="N139" s="42">
        <v>0</v>
      </c>
      <c r="O139" s="36">
        <v>698</v>
      </c>
      <c r="P139" s="41">
        <f t="shared" si="55"/>
        <v>211179.9</v>
      </c>
      <c r="Q139" s="36">
        <v>600</v>
      </c>
      <c r="R139" s="43">
        <f t="shared" si="56"/>
        <v>98</v>
      </c>
      <c r="S139" s="43">
        <f t="shared" si="57"/>
        <v>0</v>
      </c>
      <c r="T139" s="41">
        <f t="shared" si="58"/>
        <v>0</v>
      </c>
      <c r="U139" s="44">
        <f>O139</f>
        <v>698</v>
      </c>
      <c r="V139" s="45">
        <f t="shared" si="59"/>
        <v>211179.9</v>
      </c>
      <c r="W139" s="36">
        <v>316</v>
      </c>
      <c r="X139" s="86">
        <v>95605.8</v>
      </c>
      <c r="Y139" s="199">
        <v>302.55</v>
      </c>
      <c r="Z139" s="44">
        <v>416</v>
      </c>
      <c r="AA139" s="41">
        <f t="shared" si="60"/>
        <v>125860.8</v>
      </c>
      <c r="AB139" s="44">
        <v>0</v>
      </c>
      <c r="AC139" s="44">
        <f t="shared" si="54"/>
        <v>0</v>
      </c>
      <c r="AD139" s="44">
        <f t="shared" si="61"/>
        <v>416</v>
      </c>
      <c r="AE139" s="111">
        <f t="shared" si="62"/>
        <v>125860.8</v>
      </c>
      <c r="AF139" s="51" t="s">
        <v>578</v>
      </c>
      <c r="AG139" s="115"/>
      <c r="AH139" s="35">
        <v>0</v>
      </c>
      <c r="AI139" s="36">
        <v>0</v>
      </c>
      <c r="AJ139" s="36">
        <v>0</v>
      </c>
      <c r="AK139" s="36"/>
      <c r="AL139" s="36">
        <v>0</v>
      </c>
      <c r="AM139" s="36">
        <v>0</v>
      </c>
      <c r="AN139" s="46">
        <v>0</v>
      </c>
      <c r="AO139" s="100">
        <f t="shared" si="53"/>
        <v>0</v>
      </c>
      <c r="AP139" s="3">
        <f t="shared" si="63"/>
        <v>0</v>
      </c>
    </row>
    <row r="140" spans="1:42" x14ac:dyDescent="0.2">
      <c r="A140" s="35" t="s">
        <v>18</v>
      </c>
      <c r="B140" s="37" t="s">
        <v>556</v>
      </c>
      <c r="C140" s="37" t="s">
        <v>571</v>
      </c>
      <c r="D140" s="52"/>
      <c r="E140" s="38" t="s">
        <v>770</v>
      </c>
      <c r="F140" s="36" t="s">
        <v>564</v>
      </c>
      <c r="G140" s="36" t="s">
        <v>664</v>
      </c>
      <c r="H140" s="39">
        <v>355</v>
      </c>
      <c r="I140" s="40">
        <v>87996.67</v>
      </c>
      <c r="J140" s="39">
        <v>717</v>
      </c>
      <c r="K140" s="40">
        <v>179070.75</v>
      </c>
      <c r="L140" s="37" t="s">
        <v>578</v>
      </c>
      <c r="M140" s="41">
        <v>249.75</v>
      </c>
      <c r="N140" s="42">
        <v>0</v>
      </c>
      <c r="O140" s="36">
        <v>47</v>
      </c>
      <c r="P140" s="41">
        <f t="shared" si="55"/>
        <v>11738.25</v>
      </c>
      <c r="Q140" s="36">
        <v>700</v>
      </c>
      <c r="R140" s="43">
        <f t="shared" si="56"/>
        <v>-653</v>
      </c>
      <c r="S140" s="43">
        <f t="shared" si="57"/>
        <v>353</v>
      </c>
      <c r="T140" s="41">
        <f t="shared" si="58"/>
        <v>88161.75</v>
      </c>
      <c r="U140" s="44">
        <v>400</v>
      </c>
      <c r="V140" s="45">
        <f t="shared" si="59"/>
        <v>99900</v>
      </c>
      <c r="W140" s="36">
        <v>235</v>
      </c>
      <c r="X140" s="86">
        <v>58691.25</v>
      </c>
      <c r="Y140" s="199">
        <v>249.75</v>
      </c>
      <c r="Z140" s="44">
        <v>0</v>
      </c>
      <c r="AA140" s="41">
        <f t="shared" si="60"/>
        <v>0</v>
      </c>
      <c r="AB140" s="44">
        <v>0</v>
      </c>
      <c r="AC140" s="44">
        <f t="shared" si="54"/>
        <v>500</v>
      </c>
      <c r="AD140" s="44">
        <f t="shared" si="61"/>
        <v>500</v>
      </c>
      <c r="AE140" s="111">
        <f t="shared" si="62"/>
        <v>124875</v>
      </c>
      <c r="AF140" s="51" t="s">
        <v>578</v>
      </c>
      <c r="AG140" s="115"/>
      <c r="AH140" s="35">
        <v>0</v>
      </c>
      <c r="AI140" s="36">
        <v>0</v>
      </c>
      <c r="AJ140" s="36">
        <v>0</v>
      </c>
      <c r="AK140" s="36"/>
      <c r="AL140" s="36">
        <v>0</v>
      </c>
      <c r="AM140" s="36">
        <v>0</v>
      </c>
      <c r="AN140" s="46">
        <v>500</v>
      </c>
      <c r="AO140" s="100">
        <f t="shared" si="53"/>
        <v>500</v>
      </c>
      <c r="AP140" s="3">
        <f t="shared" si="63"/>
        <v>124875</v>
      </c>
    </row>
    <row r="141" spans="1:42" x14ac:dyDescent="0.2">
      <c r="A141" s="35" t="s">
        <v>389</v>
      </c>
      <c r="B141" s="37" t="s">
        <v>556</v>
      </c>
      <c r="C141" s="37" t="s">
        <v>578</v>
      </c>
      <c r="D141" s="52">
        <v>46387</v>
      </c>
      <c r="E141" s="38" t="s">
        <v>758</v>
      </c>
      <c r="F141" s="36" t="s">
        <v>555</v>
      </c>
      <c r="G141" s="36" t="s">
        <v>583</v>
      </c>
      <c r="H141" s="39">
        <v>0</v>
      </c>
      <c r="I141" s="40">
        <v>0</v>
      </c>
      <c r="J141" s="39">
        <v>0</v>
      </c>
      <c r="K141" s="40">
        <v>0</v>
      </c>
      <c r="L141" s="37" t="s">
        <v>578</v>
      </c>
      <c r="M141" s="41">
        <v>282.51</v>
      </c>
      <c r="N141" s="42">
        <v>0</v>
      </c>
      <c r="O141" s="36">
        <v>220</v>
      </c>
      <c r="P141" s="41">
        <f t="shared" si="55"/>
        <v>62152.2</v>
      </c>
      <c r="Q141" s="36">
        <v>0</v>
      </c>
      <c r="R141" s="43">
        <f t="shared" si="56"/>
        <v>220</v>
      </c>
      <c r="S141" s="43">
        <f t="shared" si="57"/>
        <v>0</v>
      </c>
      <c r="T141" s="41">
        <f t="shared" si="58"/>
        <v>0</v>
      </c>
      <c r="U141" s="44">
        <f>O141</f>
        <v>220</v>
      </c>
      <c r="V141" s="45">
        <f t="shared" si="59"/>
        <v>62152.2</v>
      </c>
      <c r="W141" s="36">
        <v>220</v>
      </c>
      <c r="X141" s="86">
        <v>62152.2</v>
      </c>
      <c r="Y141" s="199">
        <v>282.51</v>
      </c>
      <c r="Z141" s="44">
        <v>440</v>
      </c>
      <c r="AA141" s="41">
        <f t="shared" si="60"/>
        <v>124304.4</v>
      </c>
      <c r="AB141" s="44">
        <v>0</v>
      </c>
      <c r="AC141" s="44">
        <f t="shared" si="54"/>
        <v>0</v>
      </c>
      <c r="AD141" s="44">
        <f t="shared" si="61"/>
        <v>440</v>
      </c>
      <c r="AE141" s="111">
        <f t="shared" si="62"/>
        <v>124304.4</v>
      </c>
      <c r="AF141" s="51" t="s">
        <v>578</v>
      </c>
      <c r="AG141" s="115"/>
      <c r="AH141" s="35">
        <v>0</v>
      </c>
      <c r="AI141" s="36">
        <v>0</v>
      </c>
      <c r="AJ141" s="36">
        <v>0</v>
      </c>
      <c r="AK141" s="36"/>
      <c r="AL141" s="36">
        <v>0</v>
      </c>
      <c r="AM141" s="36">
        <v>0</v>
      </c>
      <c r="AN141" s="46">
        <v>0</v>
      </c>
      <c r="AO141" s="100">
        <f t="shared" si="53"/>
        <v>0</v>
      </c>
      <c r="AP141" s="3">
        <f t="shared" si="63"/>
        <v>0</v>
      </c>
    </row>
    <row r="142" spans="1:42" x14ac:dyDescent="0.2">
      <c r="A142" s="35" t="s">
        <v>60</v>
      </c>
      <c r="B142" s="37" t="s">
        <v>556</v>
      </c>
      <c r="C142" s="37" t="s">
        <v>578</v>
      </c>
      <c r="D142" s="52">
        <v>46022</v>
      </c>
      <c r="E142" s="38" t="s">
        <v>764</v>
      </c>
      <c r="F142" s="36" t="s">
        <v>559</v>
      </c>
      <c r="G142" s="36" t="s">
        <v>607</v>
      </c>
      <c r="H142" s="39">
        <v>2700</v>
      </c>
      <c r="I142" s="40">
        <v>304771.24999999988</v>
      </c>
      <c r="J142" s="39">
        <v>3705</v>
      </c>
      <c r="K142" s="40">
        <v>440928.30000000005</v>
      </c>
      <c r="L142" s="37" t="s">
        <v>578</v>
      </c>
      <c r="M142" s="41">
        <v>114.09894736842105</v>
      </c>
      <c r="N142" s="42">
        <v>0</v>
      </c>
      <c r="O142" s="36">
        <v>450</v>
      </c>
      <c r="P142" s="41">
        <f t="shared" si="55"/>
        <v>51344.526315789473</v>
      </c>
      <c r="Q142" s="36">
        <v>700</v>
      </c>
      <c r="R142" s="43">
        <f t="shared" si="56"/>
        <v>-250</v>
      </c>
      <c r="S142" s="43">
        <f t="shared" si="57"/>
        <v>1050</v>
      </c>
      <c r="T142" s="41">
        <f t="shared" si="58"/>
        <v>119803.89473684211</v>
      </c>
      <c r="U142" s="44">
        <f>1000+500</f>
        <v>1500</v>
      </c>
      <c r="V142" s="45">
        <f t="shared" si="59"/>
        <v>171148.42105263157</v>
      </c>
      <c r="W142" s="36">
        <v>950</v>
      </c>
      <c r="X142" s="86">
        <v>108394</v>
      </c>
      <c r="Y142" s="199">
        <f>VLOOKUP(A142,'[1]2026-2028'!$B$3:$X$32,23,FALSE)</f>
        <v>123.77008125</v>
      </c>
      <c r="Z142" s="44">
        <v>0</v>
      </c>
      <c r="AA142" s="41">
        <f t="shared" si="60"/>
        <v>0</v>
      </c>
      <c r="AB142" s="44">
        <v>0</v>
      </c>
      <c r="AC142" s="44">
        <f t="shared" si="54"/>
        <v>1000</v>
      </c>
      <c r="AD142" s="44">
        <f t="shared" si="61"/>
        <v>1000</v>
      </c>
      <c r="AE142" s="111">
        <f t="shared" si="62"/>
        <v>123770.08125</v>
      </c>
      <c r="AF142" s="51" t="s">
        <v>571</v>
      </c>
      <c r="AG142" s="115"/>
      <c r="AH142" s="35">
        <v>0</v>
      </c>
      <c r="AI142" s="36">
        <v>0</v>
      </c>
      <c r="AJ142" s="36">
        <v>0</v>
      </c>
      <c r="AK142" s="50">
        <v>1000</v>
      </c>
      <c r="AL142" s="36">
        <v>0</v>
      </c>
      <c r="AM142" s="36">
        <v>0</v>
      </c>
      <c r="AN142" s="46">
        <v>0</v>
      </c>
      <c r="AO142" s="100">
        <f t="shared" si="53"/>
        <v>1000</v>
      </c>
      <c r="AP142" s="3">
        <f t="shared" si="63"/>
        <v>123770.08125</v>
      </c>
    </row>
    <row r="143" spans="1:42" x14ac:dyDescent="0.2">
      <c r="A143" s="49" t="s">
        <v>905</v>
      </c>
      <c r="B143" s="157" t="s">
        <v>565</v>
      </c>
      <c r="C143" s="37" t="s">
        <v>578</v>
      </c>
      <c r="D143" s="52">
        <v>46387</v>
      </c>
      <c r="E143" s="38" t="s">
        <v>758</v>
      </c>
      <c r="F143" s="36" t="s">
        <v>555</v>
      </c>
      <c r="G143" s="36" t="s">
        <v>591</v>
      </c>
      <c r="H143" s="39"/>
      <c r="I143" s="40"/>
      <c r="J143" s="39"/>
      <c r="K143" s="40"/>
      <c r="L143" s="51"/>
      <c r="M143" s="41">
        <v>618.57000000000005</v>
      </c>
      <c r="N143" s="41"/>
      <c r="O143" s="36"/>
      <c r="P143" s="41"/>
      <c r="Q143" s="36"/>
      <c r="R143" s="43"/>
      <c r="S143" s="43"/>
      <c r="T143" s="41"/>
      <c r="U143" s="44"/>
      <c r="V143" s="45"/>
      <c r="W143" s="36">
        <v>12</v>
      </c>
      <c r="X143" s="86">
        <v>7422.84</v>
      </c>
      <c r="Y143" s="199">
        <v>618.57000000000005</v>
      </c>
      <c r="Z143" s="44">
        <v>0</v>
      </c>
      <c r="AA143" s="41">
        <f t="shared" si="60"/>
        <v>0</v>
      </c>
      <c r="AB143" s="44">
        <v>0</v>
      </c>
      <c r="AC143" s="44">
        <f t="shared" si="54"/>
        <v>200</v>
      </c>
      <c r="AD143" s="44">
        <f t="shared" si="61"/>
        <v>200</v>
      </c>
      <c r="AE143" s="111">
        <f t="shared" si="62"/>
        <v>123714.00000000001</v>
      </c>
      <c r="AF143" s="51" t="s">
        <v>578</v>
      </c>
      <c r="AG143" s="115"/>
      <c r="AH143" s="35">
        <v>0</v>
      </c>
      <c r="AI143" s="36">
        <v>200</v>
      </c>
      <c r="AJ143" s="36">
        <v>0</v>
      </c>
      <c r="AK143" s="36"/>
      <c r="AL143" s="36">
        <v>0</v>
      </c>
      <c r="AM143" s="36">
        <v>0</v>
      </c>
      <c r="AN143" s="46">
        <v>0</v>
      </c>
      <c r="AO143" s="100">
        <f t="shared" si="53"/>
        <v>200</v>
      </c>
      <c r="AP143" s="3">
        <f t="shared" si="63"/>
        <v>123714.00000000001</v>
      </c>
    </row>
    <row r="144" spans="1:42" x14ac:dyDescent="0.2">
      <c r="A144" s="35" t="s">
        <v>424</v>
      </c>
      <c r="B144" s="37" t="s">
        <v>556</v>
      </c>
      <c r="C144" s="37" t="s">
        <v>578</v>
      </c>
      <c r="D144" s="52">
        <v>46387</v>
      </c>
      <c r="E144" s="38" t="s">
        <v>758</v>
      </c>
      <c r="F144" s="36" t="s">
        <v>555</v>
      </c>
      <c r="G144" s="36" t="s">
        <v>583</v>
      </c>
      <c r="H144" s="39">
        <v>0</v>
      </c>
      <c r="I144" s="40">
        <v>0</v>
      </c>
      <c r="J144" s="39">
        <v>541</v>
      </c>
      <c r="K144" s="40">
        <v>105983.23999999999</v>
      </c>
      <c r="L144" s="37" t="s">
        <v>571</v>
      </c>
      <c r="M144" s="41">
        <v>153.14000000000001</v>
      </c>
      <c r="N144" s="42">
        <v>0</v>
      </c>
      <c r="O144" s="36">
        <v>1409</v>
      </c>
      <c r="P144" s="41">
        <f t="shared" ref="P144:P162" si="64">(N144+O144)*M144</f>
        <v>215774.26</v>
      </c>
      <c r="Q144" s="36">
        <v>1000</v>
      </c>
      <c r="R144" s="43">
        <f t="shared" ref="R144:R162" si="65">O144-Q144</f>
        <v>409</v>
      </c>
      <c r="S144" s="43">
        <f t="shared" ref="S144:S162" si="66">U144-O144</f>
        <v>-281.79999999999995</v>
      </c>
      <c r="T144" s="41">
        <f t="shared" ref="T144:T162" si="67">S144*M144</f>
        <v>-43154.851999999999</v>
      </c>
      <c r="U144" s="44">
        <f>O144/1.25</f>
        <v>1127.2</v>
      </c>
      <c r="V144" s="45">
        <f t="shared" ref="V144:V162" si="68">U144*M144</f>
        <v>172619.40800000002</v>
      </c>
      <c r="W144" s="36">
        <v>1409</v>
      </c>
      <c r="X144" s="86">
        <v>215774.26</v>
      </c>
      <c r="Y144" s="199">
        <v>153.13999999999999</v>
      </c>
      <c r="Z144" s="44">
        <v>500</v>
      </c>
      <c r="AA144" s="41">
        <f t="shared" si="60"/>
        <v>76570</v>
      </c>
      <c r="AB144" s="44">
        <v>0</v>
      </c>
      <c r="AC144" s="44">
        <f t="shared" si="54"/>
        <v>300</v>
      </c>
      <c r="AD144" s="44">
        <f t="shared" si="61"/>
        <v>800</v>
      </c>
      <c r="AE144" s="111">
        <f t="shared" si="62"/>
        <v>122511.99999999999</v>
      </c>
      <c r="AF144" s="51" t="s">
        <v>578</v>
      </c>
      <c r="AG144" s="115" t="s">
        <v>747</v>
      </c>
      <c r="AH144" s="35">
        <v>0</v>
      </c>
      <c r="AI144" s="36">
        <v>300</v>
      </c>
      <c r="AJ144" s="36">
        <v>0</v>
      </c>
      <c r="AK144" s="36"/>
      <c r="AL144" s="36">
        <v>0</v>
      </c>
      <c r="AM144" s="36">
        <v>0</v>
      </c>
      <c r="AN144" s="46">
        <v>0</v>
      </c>
      <c r="AO144" s="100">
        <f t="shared" si="53"/>
        <v>300</v>
      </c>
      <c r="AP144" s="3">
        <f t="shared" si="63"/>
        <v>45941.999999999993</v>
      </c>
    </row>
    <row r="145" spans="1:42" x14ac:dyDescent="0.2">
      <c r="A145" s="49" t="s">
        <v>293</v>
      </c>
      <c r="B145" s="37" t="s">
        <v>562</v>
      </c>
      <c r="C145" s="37" t="s">
        <v>571</v>
      </c>
      <c r="D145" s="52"/>
      <c r="E145" s="38" t="s">
        <v>802</v>
      </c>
      <c r="F145" s="36" t="s">
        <v>560</v>
      </c>
      <c r="G145" s="36" t="s">
        <v>623</v>
      </c>
      <c r="H145" s="39">
        <v>0</v>
      </c>
      <c r="I145" s="40">
        <v>0</v>
      </c>
      <c r="J145" s="39">
        <v>0</v>
      </c>
      <c r="K145" s="40">
        <v>0</v>
      </c>
      <c r="L145" s="37" t="s">
        <v>571</v>
      </c>
      <c r="M145" s="41">
        <v>1750</v>
      </c>
      <c r="N145" s="42">
        <v>0</v>
      </c>
      <c r="O145" s="36">
        <v>30</v>
      </c>
      <c r="P145" s="41">
        <f t="shared" si="64"/>
        <v>52500</v>
      </c>
      <c r="Q145" s="36">
        <v>0</v>
      </c>
      <c r="R145" s="43">
        <f t="shared" si="65"/>
        <v>30</v>
      </c>
      <c r="S145" s="43">
        <f t="shared" si="66"/>
        <v>0</v>
      </c>
      <c r="T145" s="41">
        <f t="shared" si="67"/>
        <v>0</v>
      </c>
      <c r="U145" s="44">
        <f>O145</f>
        <v>30</v>
      </c>
      <c r="V145" s="45">
        <f t="shared" si="68"/>
        <v>52500</v>
      </c>
      <c r="W145" s="36">
        <v>30</v>
      </c>
      <c r="X145" s="86">
        <v>52500</v>
      </c>
      <c r="Y145" s="199">
        <v>1750</v>
      </c>
      <c r="Z145" s="44">
        <v>0</v>
      </c>
      <c r="AA145" s="41">
        <f t="shared" si="60"/>
        <v>0</v>
      </c>
      <c r="AB145" s="44">
        <v>0</v>
      </c>
      <c r="AC145" s="44">
        <f t="shared" si="54"/>
        <v>70</v>
      </c>
      <c r="AD145" s="44">
        <f t="shared" si="61"/>
        <v>70</v>
      </c>
      <c r="AE145" s="111">
        <f t="shared" si="62"/>
        <v>122500</v>
      </c>
      <c r="AF145" s="51" t="s">
        <v>571</v>
      </c>
      <c r="AG145" s="115" t="s">
        <v>1043</v>
      </c>
      <c r="AH145" s="35">
        <v>0</v>
      </c>
      <c r="AI145" s="36">
        <v>0</v>
      </c>
      <c r="AJ145" s="36">
        <v>0</v>
      </c>
      <c r="AK145" s="36"/>
      <c r="AL145" s="36">
        <v>0</v>
      </c>
      <c r="AM145" s="36">
        <v>35</v>
      </c>
      <c r="AN145" s="46">
        <v>35</v>
      </c>
      <c r="AO145" s="100">
        <f t="shared" si="53"/>
        <v>70</v>
      </c>
      <c r="AP145" s="3">
        <f t="shared" si="63"/>
        <v>122500</v>
      </c>
    </row>
    <row r="146" spans="1:42" x14ac:dyDescent="0.2">
      <c r="A146" s="35" t="s">
        <v>726</v>
      </c>
      <c r="B146" s="37" t="s">
        <v>554</v>
      </c>
      <c r="C146" s="37" t="s">
        <v>571</v>
      </c>
      <c r="D146" s="52"/>
      <c r="E146" s="38" t="s">
        <v>763</v>
      </c>
      <c r="F146" s="36" t="s">
        <v>560</v>
      </c>
      <c r="G146" s="36" t="s">
        <v>612</v>
      </c>
      <c r="H146" s="39">
        <v>0</v>
      </c>
      <c r="I146" s="40">
        <v>0</v>
      </c>
      <c r="J146" s="39">
        <v>0</v>
      </c>
      <c r="K146" s="40">
        <v>0</v>
      </c>
      <c r="L146" s="37" t="s">
        <v>571</v>
      </c>
      <c r="M146" s="41" t="e">
        <v>#DIV/0!</v>
      </c>
      <c r="N146" s="42">
        <v>0</v>
      </c>
      <c r="O146" s="36">
        <v>0</v>
      </c>
      <c r="P146" s="41" t="e">
        <f t="shared" si="64"/>
        <v>#DIV/0!</v>
      </c>
      <c r="Q146" s="36">
        <v>0</v>
      </c>
      <c r="R146" s="43">
        <f t="shared" si="65"/>
        <v>0</v>
      </c>
      <c r="S146" s="43">
        <f t="shared" si="66"/>
        <v>100</v>
      </c>
      <c r="T146" s="41" t="e">
        <f t="shared" si="67"/>
        <v>#DIV/0!</v>
      </c>
      <c r="U146" s="44">
        <v>100</v>
      </c>
      <c r="V146" s="45" t="e">
        <f t="shared" si="68"/>
        <v>#DIV/0!</v>
      </c>
      <c r="W146" s="36">
        <v>0</v>
      </c>
      <c r="X146" s="86">
        <v>0</v>
      </c>
      <c r="Y146" s="199">
        <v>2436.3200000000002</v>
      </c>
      <c r="Z146" s="44">
        <v>0</v>
      </c>
      <c r="AA146" s="41">
        <f t="shared" si="60"/>
        <v>0</v>
      </c>
      <c r="AB146" s="44">
        <v>0</v>
      </c>
      <c r="AC146" s="44">
        <f t="shared" si="54"/>
        <v>50</v>
      </c>
      <c r="AD146" s="44">
        <f t="shared" si="61"/>
        <v>50</v>
      </c>
      <c r="AE146" s="111">
        <f t="shared" si="62"/>
        <v>121816.00000000001</v>
      </c>
      <c r="AF146" s="51" t="s">
        <v>578</v>
      </c>
      <c r="AG146" s="115"/>
      <c r="AH146" s="35">
        <v>0</v>
      </c>
      <c r="AI146" s="36">
        <v>0</v>
      </c>
      <c r="AJ146" s="36">
        <v>50</v>
      </c>
      <c r="AK146" s="36"/>
      <c r="AL146" s="36">
        <v>0</v>
      </c>
      <c r="AM146" s="36">
        <v>0</v>
      </c>
      <c r="AN146" s="46">
        <v>0</v>
      </c>
      <c r="AO146" s="100">
        <f t="shared" si="53"/>
        <v>50</v>
      </c>
      <c r="AP146" s="3">
        <f t="shared" si="63"/>
        <v>121816.00000000001</v>
      </c>
    </row>
    <row r="147" spans="1:42" x14ac:dyDescent="0.2">
      <c r="A147" s="35" t="s">
        <v>243</v>
      </c>
      <c r="B147" s="37" t="s">
        <v>556</v>
      </c>
      <c r="C147" s="37" t="s">
        <v>571</v>
      </c>
      <c r="D147" s="52"/>
      <c r="E147" s="38" t="s">
        <v>794</v>
      </c>
      <c r="F147" s="36" t="s">
        <v>559</v>
      </c>
      <c r="G147" s="36" t="s">
        <v>587</v>
      </c>
      <c r="H147" s="39">
        <v>300</v>
      </c>
      <c r="I147" s="40">
        <v>65510.6</v>
      </c>
      <c r="J147" s="39">
        <v>350</v>
      </c>
      <c r="K147" s="40">
        <v>81113.099999999991</v>
      </c>
      <c r="L147" s="37" t="s">
        <v>578</v>
      </c>
      <c r="M147" s="41">
        <v>239.59128205128206</v>
      </c>
      <c r="N147" s="42">
        <v>0</v>
      </c>
      <c r="O147" s="36">
        <v>190</v>
      </c>
      <c r="P147" s="41">
        <f t="shared" si="64"/>
        <v>45522.343589743592</v>
      </c>
      <c r="Q147" s="36">
        <v>230</v>
      </c>
      <c r="R147" s="43">
        <f t="shared" si="65"/>
        <v>-40</v>
      </c>
      <c r="S147" s="43">
        <f t="shared" si="66"/>
        <v>40</v>
      </c>
      <c r="T147" s="41">
        <f t="shared" si="67"/>
        <v>9583.6512820512835</v>
      </c>
      <c r="U147" s="44">
        <v>230</v>
      </c>
      <c r="V147" s="45">
        <f t="shared" si="68"/>
        <v>55105.994871794872</v>
      </c>
      <c r="W147" s="36">
        <v>390</v>
      </c>
      <c r="X147" s="86">
        <v>93440.6</v>
      </c>
      <c r="Y147" s="199">
        <v>267.68</v>
      </c>
      <c r="Z147" s="44">
        <v>250</v>
      </c>
      <c r="AA147" s="41">
        <f t="shared" si="60"/>
        <v>66920</v>
      </c>
      <c r="AB147" s="44">
        <v>40</v>
      </c>
      <c r="AC147" s="44">
        <f t="shared" si="54"/>
        <v>190</v>
      </c>
      <c r="AD147" s="44">
        <f t="shared" si="61"/>
        <v>440</v>
      </c>
      <c r="AE147" s="111">
        <f t="shared" si="62"/>
        <v>117779.2</v>
      </c>
      <c r="AF147" s="51" t="s">
        <v>578</v>
      </c>
      <c r="AG147" s="115"/>
      <c r="AH147" s="35">
        <v>50</v>
      </c>
      <c r="AI147" s="36">
        <v>0</v>
      </c>
      <c r="AJ147" s="36">
        <v>100</v>
      </c>
      <c r="AK147" s="36"/>
      <c r="AL147" s="36">
        <v>0</v>
      </c>
      <c r="AM147" s="36">
        <v>0</v>
      </c>
      <c r="AN147" s="46">
        <v>0</v>
      </c>
      <c r="AO147" s="100">
        <f t="shared" si="53"/>
        <v>150</v>
      </c>
      <c r="AP147" s="3">
        <f t="shared" si="63"/>
        <v>50859.200000000004</v>
      </c>
    </row>
    <row r="148" spans="1:42" x14ac:dyDescent="0.2">
      <c r="A148" s="35" t="s">
        <v>314</v>
      </c>
      <c r="B148" s="37" t="s">
        <v>556</v>
      </c>
      <c r="C148" s="37" t="s">
        <v>578</v>
      </c>
      <c r="D148" s="52">
        <v>46022</v>
      </c>
      <c r="E148" s="38" t="s">
        <v>753</v>
      </c>
      <c r="F148" s="36" t="s">
        <v>557</v>
      </c>
      <c r="G148" s="36" t="s">
        <v>581</v>
      </c>
      <c r="H148" s="39">
        <v>95</v>
      </c>
      <c r="I148" s="40">
        <v>31406.25</v>
      </c>
      <c r="J148" s="39">
        <v>273</v>
      </c>
      <c r="K148" s="40">
        <v>89806.41</v>
      </c>
      <c r="L148" s="37" t="s">
        <v>571</v>
      </c>
      <c r="M148" s="41">
        <v>364.29570175438602</v>
      </c>
      <c r="N148" s="42">
        <v>90</v>
      </c>
      <c r="O148" s="36">
        <v>174</v>
      </c>
      <c r="P148" s="41">
        <f t="shared" si="64"/>
        <v>96174.065263157914</v>
      </c>
      <c r="Q148" s="36">
        <v>304</v>
      </c>
      <c r="R148" s="43">
        <f t="shared" si="65"/>
        <v>-130</v>
      </c>
      <c r="S148" s="43">
        <f t="shared" si="66"/>
        <v>76</v>
      </c>
      <c r="T148" s="41">
        <f t="shared" si="67"/>
        <v>27686.473333333339</v>
      </c>
      <c r="U148" s="44">
        <v>250</v>
      </c>
      <c r="V148" s="45">
        <f t="shared" si="68"/>
        <v>91073.925438596503</v>
      </c>
      <c r="W148" s="36">
        <v>228</v>
      </c>
      <c r="X148" s="86">
        <v>83059.420000000013</v>
      </c>
      <c r="Y148" s="199">
        <v>345.43999999999988</v>
      </c>
      <c r="Z148" s="44">
        <v>337</v>
      </c>
      <c r="AA148" s="41">
        <f t="shared" si="60"/>
        <v>116413.27999999996</v>
      </c>
      <c r="AB148" s="44">
        <v>0</v>
      </c>
      <c r="AC148" s="44">
        <f t="shared" si="54"/>
        <v>0</v>
      </c>
      <c r="AD148" s="44">
        <f t="shared" si="61"/>
        <v>337</v>
      </c>
      <c r="AE148" s="111">
        <f t="shared" si="62"/>
        <v>116413.27999999996</v>
      </c>
      <c r="AF148" s="51" t="s">
        <v>571</v>
      </c>
      <c r="AG148" s="115"/>
      <c r="AH148" s="35">
        <v>0</v>
      </c>
      <c r="AI148" s="36">
        <v>0</v>
      </c>
      <c r="AJ148" s="36">
        <v>0</v>
      </c>
      <c r="AK148" s="36"/>
      <c r="AL148" s="36">
        <v>0</v>
      </c>
      <c r="AM148" s="36">
        <v>0</v>
      </c>
      <c r="AN148" s="46">
        <v>0</v>
      </c>
      <c r="AO148" s="100">
        <f t="shared" si="53"/>
        <v>0</v>
      </c>
      <c r="AP148" s="3">
        <f t="shared" si="63"/>
        <v>0</v>
      </c>
    </row>
    <row r="149" spans="1:42" x14ac:dyDescent="0.2">
      <c r="A149" s="35" t="s">
        <v>254</v>
      </c>
      <c r="B149" s="37" t="s">
        <v>556</v>
      </c>
      <c r="C149" s="37" t="s">
        <v>571</v>
      </c>
      <c r="D149" s="52"/>
      <c r="E149" s="38" t="s">
        <v>794</v>
      </c>
      <c r="F149" s="36" t="s">
        <v>559</v>
      </c>
      <c r="G149" s="36" t="s">
        <v>587</v>
      </c>
      <c r="H149" s="39">
        <v>300</v>
      </c>
      <c r="I149" s="40">
        <v>62025.4</v>
      </c>
      <c r="J149" s="39">
        <v>370</v>
      </c>
      <c r="K149" s="40">
        <v>82345.099999999991</v>
      </c>
      <c r="L149" s="37" t="s">
        <v>578</v>
      </c>
      <c r="M149" s="41">
        <v>228.67837837837837</v>
      </c>
      <c r="N149" s="42">
        <v>0</v>
      </c>
      <c r="O149" s="36">
        <v>170</v>
      </c>
      <c r="P149" s="41">
        <f t="shared" si="64"/>
        <v>38875.32432432432</v>
      </c>
      <c r="Q149" s="36">
        <v>230</v>
      </c>
      <c r="R149" s="43">
        <f t="shared" si="65"/>
        <v>-60</v>
      </c>
      <c r="S149" s="43">
        <f t="shared" si="66"/>
        <v>60</v>
      </c>
      <c r="T149" s="41">
        <f t="shared" si="67"/>
        <v>13720.702702702702</v>
      </c>
      <c r="U149" s="44">
        <v>230</v>
      </c>
      <c r="V149" s="45">
        <f t="shared" si="68"/>
        <v>52596.027027027027</v>
      </c>
      <c r="W149" s="36">
        <v>370</v>
      </c>
      <c r="X149" s="86">
        <v>84611</v>
      </c>
      <c r="Y149" s="199">
        <v>256.02999999999997</v>
      </c>
      <c r="Z149" s="44">
        <v>250</v>
      </c>
      <c r="AA149" s="41">
        <f t="shared" si="60"/>
        <v>64007.499999999993</v>
      </c>
      <c r="AB149" s="44">
        <v>50</v>
      </c>
      <c r="AC149" s="44">
        <f t="shared" si="54"/>
        <v>200</v>
      </c>
      <c r="AD149" s="44">
        <f t="shared" si="61"/>
        <v>450</v>
      </c>
      <c r="AE149" s="111">
        <f t="shared" si="62"/>
        <v>115213.49999999999</v>
      </c>
      <c r="AF149" s="51" t="s">
        <v>578</v>
      </c>
      <c r="AG149" s="115"/>
      <c r="AH149" s="35">
        <v>50</v>
      </c>
      <c r="AI149" s="36">
        <v>0</v>
      </c>
      <c r="AJ149" s="36">
        <v>100</v>
      </c>
      <c r="AK149" s="36"/>
      <c r="AL149" s="36">
        <v>0</v>
      </c>
      <c r="AM149" s="36">
        <v>0</v>
      </c>
      <c r="AN149" s="46">
        <v>0</v>
      </c>
      <c r="AO149" s="100">
        <f t="shared" si="53"/>
        <v>150</v>
      </c>
      <c r="AP149" s="3">
        <f t="shared" si="63"/>
        <v>51205.999999999993</v>
      </c>
    </row>
    <row r="150" spans="1:42" x14ac:dyDescent="0.2">
      <c r="A150" s="35" t="s">
        <v>6</v>
      </c>
      <c r="B150" s="37" t="s">
        <v>556</v>
      </c>
      <c r="C150" s="37" t="s">
        <v>571</v>
      </c>
      <c r="D150" s="52"/>
      <c r="E150" s="38" t="s">
        <v>770</v>
      </c>
      <c r="F150" s="36" t="s">
        <v>564</v>
      </c>
      <c r="G150" s="36" t="s">
        <v>605</v>
      </c>
      <c r="H150" s="39">
        <v>124</v>
      </c>
      <c r="I150" s="40">
        <v>47914.84</v>
      </c>
      <c r="J150" s="39">
        <v>135</v>
      </c>
      <c r="K150" s="40">
        <v>55473.419999999991</v>
      </c>
      <c r="L150" s="37" t="s">
        <v>578</v>
      </c>
      <c r="M150" s="41">
        <v>435.56289230769232</v>
      </c>
      <c r="N150" s="42">
        <v>80</v>
      </c>
      <c r="O150" s="36">
        <v>295</v>
      </c>
      <c r="P150" s="41">
        <f t="shared" si="64"/>
        <v>163336.08461538461</v>
      </c>
      <c r="Q150" s="36">
        <v>271</v>
      </c>
      <c r="R150" s="43">
        <f t="shared" si="65"/>
        <v>24</v>
      </c>
      <c r="S150" s="43">
        <f t="shared" si="66"/>
        <v>55</v>
      </c>
      <c r="T150" s="41">
        <f t="shared" si="67"/>
        <v>23955.959076923078</v>
      </c>
      <c r="U150" s="44">
        <v>350</v>
      </c>
      <c r="V150" s="45">
        <f t="shared" si="68"/>
        <v>152447.01230769232</v>
      </c>
      <c r="W150" s="36">
        <v>325</v>
      </c>
      <c r="X150" s="86">
        <v>141557.94</v>
      </c>
      <c r="Y150" s="199">
        <v>442.51</v>
      </c>
      <c r="Z150" s="44">
        <v>210</v>
      </c>
      <c r="AA150" s="41">
        <f t="shared" si="60"/>
        <v>92927.099999999991</v>
      </c>
      <c r="AB150" s="44">
        <v>50</v>
      </c>
      <c r="AC150" s="44">
        <f t="shared" si="54"/>
        <v>50</v>
      </c>
      <c r="AD150" s="44">
        <f t="shared" si="61"/>
        <v>260</v>
      </c>
      <c r="AE150" s="111">
        <f t="shared" si="62"/>
        <v>115052.59999999999</v>
      </c>
      <c r="AF150" s="51" t="s">
        <v>578</v>
      </c>
      <c r="AG150" s="115"/>
      <c r="AH150" s="35">
        <v>0</v>
      </c>
      <c r="AI150" s="36">
        <v>0</v>
      </c>
      <c r="AJ150" s="36">
        <v>0</v>
      </c>
      <c r="AK150" s="36"/>
      <c r="AL150" s="36">
        <v>0</v>
      </c>
      <c r="AM150" s="36">
        <v>0</v>
      </c>
      <c r="AN150" s="46">
        <v>0</v>
      </c>
      <c r="AO150" s="100">
        <f t="shared" si="53"/>
        <v>0</v>
      </c>
      <c r="AP150" s="3">
        <f t="shared" si="63"/>
        <v>22125.5</v>
      </c>
    </row>
    <row r="151" spans="1:42" x14ac:dyDescent="0.2">
      <c r="A151" s="35" t="s">
        <v>20</v>
      </c>
      <c r="B151" s="37" t="s">
        <v>556</v>
      </c>
      <c r="C151" s="37" t="s">
        <v>571</v>
      </c>
      <c r="D151" s="52"/>
      <c r="E151" s="38" t="s">
        <v>770</v>
      </c>
      <c r="F151" s="36" t="s">
        <v>564</v>
      </c>
      <c r="G151" s="36" t="s">
        <v>605</v>
      </c>
      <c r="H151" s="39">
        <v>124</v>
      </c>
      <c r="I151" s="40">
        <v>47914.840000000004</v>
      </c>
      <c r="J151" s="39">
        <v>178</v>
      </c>
      <c r="K151" s="40">
        <v>73975.719999999987</v>
      </c>
      <c r="L151" s="37" t="s">
        <v>578</v>
      </c>
      <c r="M151" s="47">
        <v>436.68074468085103</v>
      </c>
      <c r="N151" s="48">
        <v>0</v>
      </c>
      <c r="O151" s="36">
        <v>332</v>
      </c>
      <c r="P151" s="47">
        <f t="shared" si="64"/>
        <v>144978.00723404254</v>
      </c>
      <c r="Q151" s="36">
        <v>271</v>
      </c>
      <c r="R151" s="43">
        <f t="shared" si="65"/>
        <v>61</v>
      </c>
      <c r="S151" s="43">
        <f t="shared" si="66"/>
        <v>0</v>
      </c>
      <c r="T151" s="47">
        <f t="shared" si="67"/>
        <v>0</v>
      </c>
      <c r="U151" s="44">
        <f>O151</f>
        <v>332</v>
      </c>
      <c r="V151" s="45">
        <f t="shared" si="68"/>
        <v>144978.00723404254</v>
      </c>
      <c r="W151" s="36">
        <v>282</v>
      </c>
      <c r="X151" s="86">
        <v>123143.96999999999</v>
      </c>
      <c r="Y151" s="199">
        <v>442.51</v>
      </c>
      <c r="Z151" s="44">
        <v>210</v>
      </c>
      <c r="AA151" s="41">
        <f t="shared" si="60"/>
        <v>92927.099999999991</v>
      </c>
      <c r="AB151" s="44">
        <v>50</v>
      </c>
      <c r="AC151" s="44">
        <f t="shared" si="54"/>
        <v>50</v>
      </c>
      <c r="AD151" s="44">
        <f t="shared" si="61"/>
        <v>260</v>
      </c>
      <c r="AE151" s="111">
        <f t="shared" si="62"/>
        <v>115052.59999999999</v>
      </c>
      <c r="AF151" s="51" t="s">
        <v>578</v>
      </c>
      <c r="AG151" s="115"/>
      <c r="AH151" s="35">
        <v>0</v>
      </c>
      <c r="AI151" s="36">
        <v>0</v>
      </c>
      <c r="AJ151" s="36">
        <v>0</v>
      </c>
      <c r="AK151" s="36"/>
      <c r="AL151" s="36">
        <v>0</v>
      </c>
      <c r="AM151" s="36">
        <v>0</v>
      </c>
      <c r="AN151" s="46">
        <v>0</v>
      </c>
      <c r="AO151" s="100">
        <f t="shared" si="53"/>
        <v>0</v>
      </c>
      <c r="AP151" s="3">
        <f t="shared" si="63"/>
        <v>22125.5</v>
      </c>
    </row>
    <row r="152" spans="1:42" x14ac:dyDescent="0.2">
      <c r="A152" s="35" t="s">
        <v>76</v>
      </c>
      <c r="B152" s="37" t="s">
        <v>556</v>
      </c>
      <c r="C152" s="37" t="s">
        <v>578</v>
      </c>
      <c r="D152" s="52">
        <v>46387</v>
      </c>
      <c r="E152" s="38" t="s">
        <v>754</v>
      </c>
      <c r="F152" s="36" t="s">
        <v>559</v>
      </c>
      <c r="G152" s="36" t="s">
        <v>598</v>
      </c>
      <c r="H152" s="39">
        <v>2758</v>
      </c>
      <c r="I152" s="40">
        <v>119862.68</v>
      </c>
      <c r="J152" s="39">
        <v>2611</v>
      </c>
      <c r="K152" s="40">
        <v>113474.05999999998</v>
      </c>
      <c r="L152" s="37" t="s">
        <v>578</v>
      </c>
      <c r="M152" s="41">
        <v>43.459999999999994</v>
      </c>
      <c r="N152" s="42">
        <v>0</v>
      </c>
      <c r="O152" s="36">
        <v>2183</v>
      </c>
      <c r="P152" s="41">
        <f t="shared" si="64"/>
        <v>94873.18</v>
      </c>
      <c r="Q152" s="36">
        <v>779</v>
      </c>
      <c r="R152" s="43">
        <f t="shared" si="65"/>
        <v>1404</v>
      </c>
      <c r="S152" s="43">
        <f t="shared" si="66"/>
        <v>0</v>
      </c>
      <c r="T152" s="41">
        <f t="shared" si="67"/>
        <v>0</v>
      </c>
      <c r="U152" s="44">
        <f>O152</f>
        <v>2183</v>
      </c>
      <c r="V152" s="45">
        <f t="shared" si="68"/>
        <v>94873.18</v>
      </c>
      <c r="W152" s="36">
        <v>2183</v>
      </c>
      <c r="X152" s="86">
        <v>94873.18</v>
      </c>
      <c r="Y152" s="199">
        <v>43.46</v>
      </c>
      <c r="Z152" s="44">
        <v>852</v>
      </c>
      <c r="AA152" s="41">
        <f t="shared" si="60"/>
        <v>37027.919999999998</v>
      </c>
      <c r="AB152" s="44">
        <v>0</v>
      </c>
      <c r="AC152" s="44">
        <f t="shared" si="54"/>
        <v>1775</v>
      </c>
      <c r="AD152" s="44">
        <f t="shared" si="61"/>
        <v>2627</v>
      </c>
      <c r="AE152" s="111">
        <f t="shared" si="62"/>
        <v>114169.42</v>
      </c>
      <c r="AF152" s="51" t="s">
        <v>578</v>
      </c>
      <c r="AG152" s="115"/>
      <c r="AH152" s="35">
        <v>1775</v>
      </c>
      <c r="AI152" s="36">
        <v>0</v>
      </c>
      <c r="AJ152" s="36">
        <v>0</v>
      </c>
      <c r="AK152" s="36"/>
      <c r="AL152" s="36">
        <v>0</v>
      </c>
      <c r="AM152" s="36">
        <v>0</v>
      </c>
      <c r="AN152" s="46">
        <v>0</v>
      </c>
      <c r="AO152" s="100">
        <f t="shared" si="53"/>
        <v>1775</v>
      </c>
      <c r="AP152" s="3">
        <f t="shared" si="63"/>
        <v>77141.5</v>
      </c>
    </row>
    <row r="153" spans="1:42" x14ac:dyDescent="0.2">
      <c r="A153" s="35" t="s">
        <v>352</v>
      </c>
      <c r="B153" s="37" t="s">
        <v>556</v>
      </c>
      <c r="C153" s="37" t="s">
        <v>578</v>
      </c>
      <c r="D153" s="52">
        <v>46387</v>
      </c>
      <c r="E153" s="38" t="s">
        <v>754</v>
      </c>
      <c r="F153" s="36" t="s">
        <v>557</v>
      </c>
      <c r="G153" s="36" t="s">
        <v>597</v>
      </c>
      <c r="H153" s="39">
        <v>1226</v>
      </c>
      <c r="I153" s="40">
        <v>313941.81999999995</v>
      </c>
      <c r="J153" s="39">
        <v>1038</v>
      </c>
      <c r="K153" s="40">
        <v>265800.66000000003</v>
      </c>
      <c r="L153" s="37" t="s">
        <v>578</v>
      </c>
      <c r="M153" s="41">
        <v>256.07</v>
      </c>
      <c r="N153" s="42">
        <v>0</v>
      </c>
      <c r="O153" s="36">
        <v>1368</v>
      </c>
      <c r="P153" s="41">
        <f t="shared" si="64"/>
        <v>350303.76</v>
      </c>
      <c r="Q153" s="36">
        <v>550</v>
      </c>
      <c r="R153" s="43">
        <f t="shared" si="65"/>
        <v>818</v>
      </c>
      <c r="S153" s="43">
        <f t="shared" si="66"/>
        <v>0</v>
      </c>
      <c r="T153" s="41">
        <f t="shared" si="67"/>
        <v>0</v>
      </c>
      <c r="U153" s="44">
        <f>O153</f>
        <v>1368</v>
      </c>
      <c r="V153" s="45">
        <f t="shared" si="68"/>
        <v>350303.76</v>
      </c>
      <c r="W153" s="36">
        <v>288</v>
      </c>
      <c r="X153" s="86">
        <v>73748.160000000003</v>
      </c>
      <c r="Y153" s="199">
        <v>256.07</v>
      </c>
      <c r="Z153" s="44">
        <v>440</v>
      </c>
      <c r="AA153" s="41">
        <f t="shared" si="60"/>
        <v>112670.8</v>
      </c>
      <c r="AB153" s="44">
        <v>0</v>
      </c>
      <c r="AC153" s="44">
        <f t="shared" si="54"/>
        <v>0</v>
      </c>
      <c r="AD153" s="44">
        <f t="shared" si="61"/>
        <v>440</v>
      </c>
      <c r="AE153" s="111">
        <f t="shared" si="62"/>
        <v>112670.8</v>
      </c>
      <c r="AF153" s="51" t="s">
        <v>578</v>
      </c>
      <c r="AG153" s="115"/>
      <c r="AH153" s="35">
        <v>0</v>
      </c>
      <c r="AI153" s="36">
        <v>0</v>
      </c>
      <c r="AJ153" s="36">
        <v>0</v>
      </c>
      <c r="AK153" s="36"/>
      <c r="AL153" s="36">
        <v>0</v>
      </c>
      <c r="AM153" s="36">
        <v>0</v>
      </c>
      <c r="AN153" s="46">
        <v>0</v>
      </c>
      <c r="AO153" s="100">
        <f t="shared" si="53"/>
        <v>0</v>
      </c>
      <c r="AP153" s="3">
        <f t="shared" si="63"/>
        <v>0</v>
      </c>
    </row>
    <row r="154" spans="1:42" x14ac:dyDescent="0.2">
      <c r="A154" s="35" t="s">
        <v>244</v>
      </c>
      <c r="B154" s="37" t="s">
        <v>556</v>
      </c>
      <c r="C154" s="37" t="s">
        <v>571</v>
      </c>
      <c r="D154" s="52"/>
      <c r="E154" s="38" t="s">
        <v>794</v>
      </c>
      <c r="F154" s="36" t="s">
        <v>559</v>
      </c>
      <c r="G154" s="36" t="s">
        <v>587</v>
      </c>
      <c r="H154" s="39">
        <v>300</v>
      </c>
      <c r="I154" s="40">
        <v>64720.799999999996</v>
      </c>
      <c r="J154" s="39">
        <v>350</v>
      </c>
      <c r="K154" s="40">
        <v>80135.7</v>
      </c>
      <c r="L154" s="37" t="s">
        <v>578</v>
      </c>
      <c r="M154" s="41">
        <v>236.70410256410258</v>
      </c>
      <c r="N154" s="42">
        <v>0</v>
      </c>
      <c r="O154" s="36">
        <v>190</v>
      </c>
      <c r="P154" s="41">
        <f t="shared" si="64"/>
        <v>44973.77948717949</v>
      </c>
      <c r="Q154" s="36">
        <v>230</v>
      </c>
      <c r="R154" s="43">
        <f t="shared" si="65"/>
        <v>-40</v>
      </c>
      <c r="S154" s="43">
        <f t="shared" si="66"/>
        <v>40</v>
      </c>
      <c r="T154" s="41">
        <f t="shared" si="67"/>
        <v>9468.1641025641038</v>
      </c>
      <c r="U154" s="44">
        <v>230</v>
      </c>
      <c r="V154" s="45">
        <f t="shared" si="68"/>
        <v>54441.943589743598</v>
      </c>
      <c r="W154" s="36">
        <v>390</v>
      </c>
      <c r="X154" s="86">
        <v>92314.6</v>
      </c>
      <c r="Y154" s="199">
        <v>255.2</v>
      </c>
      <c r="Z154" s="44">
        <v>250</v>
      </c>
      <c r="AA154" s="41">
        <f t="shared" si="60"/>
        <v>63800</v>
      </c>
      <c r="AB154" s="44">
        <v>50</v>
      </c>
      <c r="AC154" s="44">
        <f t="shared" si="54"/>
        <v>190</v>
      </c>
      <c r="AD154" s="44">
        <f t="shared" si="61"/>
        <v>440</v>
      </c>
      <c r="AE154" s="111">
        <f t="shared" si="62"/>
        <v>112288</v>
      </c>
      <c r="AF154" s="51" t="s">
        <v>578</v>
      </c>
      <c r="AG154" s="115"/>
      <c r="AH154" s="35">
        <v>40</v>
      </c>
      <c r="AI154" s="36">
        <v>0</v>
      </c>
      <c r="AJ154" s="36">
        <v>100</v>
      </c>
      <c r="AK154" s="36"/>
      <c r="AL154" s="36">
        <v>0</v>
      </c>
      <c r="AM154" s="36">
        <v>0</v>
      </c>
      <c r="AN154" s="46">
        <v>0</v>
      </c>
      <c r="AO154" s="100">
        <f t="shared" si="53"/>
        <v>140</v>
      </c>
      <c r="AP154" s="3">
        <f t="shared" si="63"/>
        <v>48488</v>
      </c>
    </row>
    <row r="155" spans="1:42" x14ac:dyDescent="0.2">
      <c r="A155" s="35" t="s">
        <v>331</v>
      </c>
      <c r="B155" s="37" t="s">
        <v>556</v>
      </c>
      <c r="C155" s="37" t="s">
        <v>578</v>
      </c>
      <c r="D155" s="52">
        <v>46387</v>
      </c>
      <c r="E155" s="38" t="s">
        <v>754</v>
      </c>
      <c r="F155" s="36" t="s">
        <v>559</v>
      </c>
      <c r="G155" s="36" t="s">
        <v>609</v>
      </c>
      <c r="H155" s="39">
        <v>2024</v>
      </c>
      <c r="I155" s="40">
        <v>125488</v>
      </c>
      <c r="J155" s="39">
        <v>3125</v>
      </c>
      <c r="K155" s="40">
        <v>193750</v>
      </c>
      <c r="L155" s="37" t="s">
        <v>578</v>
      </c>
      <c r="M155" s="41">
        <v>62</v>
      </c>
      <c r="N155" s="42">
        <v>0</v>
      </c>
      <c r="O155" s="36">
        <v>937</v>
      </c>
      <c r="P155" s="41">
        <f t="shared" si="64"/>
        <v>58094</v>
      </c>
      <c r="Q155" s="36">
        <v>2500</v>
      </c>
      <c r="R155" s="43">
        <f t="shared" si="65"/>
        <v>-1563</v>
      </c>
      <c r="S155" s="43">
        <f t="shared" si="66"/>
        <v>1063</v>
      </c>
      <c r="T155" s="41">
        <f t="shared" si="67"/>
        <v>65906</v>
      </c>
      <c r="U155" s="44">
        <v>2000</v>
      </c>
      <c r="V155" s="45">
        <f t="shared" si="68"/>
        <v>124000</v>
      </c>
      <c r="W155" s="36">
        <v>947</v>
      </c>
      <c r="X155" s="86">
        <v>58714</v>
      </c>
      <c r="Y155" s="199">
        <v>62</v>
      </c>
      <c r="Z155" s="44">
        <v>1400</v>
      </c>
      <c r="AA155" s="41">
        <f t="shared" si="60"/>
        <v>86800</v>
      </c>
      <c r="AB155" s="44">
        <v>0</v>
      </c>
      <c r="AC155" s="44">
        <f t="shared" si="54"/>
        <v>410</v>
      </c>
      <c r="AD155" s="44">
        <f t="shared" si="61"/>
        <v>1810</v>
      </c>
      <c r="AE155" s="111">
        <f t="shared" si="62"/>
        <v>112220</v>
      </c>
      <c r="AF155" s="51" t="s">
        <v>578</v>
      </c>
      <c r="AG155" s="115"/>
      <c r="AH155" s="35">
        <v>160</v>
      </c>
      <c r="AI155" s="36">
        <v>0</v>
      </c>
      <c r="AJ155" s="36">
        <v>250</v>
      </c>
      <c r="AK155" s="36"/>
      <c r="AL155" s="36">
        <v>0</v>
      </c>
      <c r="AM155" s="36">
        <v>0</v>
      </c>
      <c r="AN155" s="46">
        <v>0</v>
      </c>
      <c r="AO155" s="100">
        <f t="shared" si="53"/>
        <v>410</v>
      </c>
      <c r="AP155" s="3">
        <f t="shared" si="63"/>
        <v>25420</v>
      </c>
    </row>
    <row r="156" spans="1:42" x14ac:dyDescent="0.2">
      <c r="A156" s="35" t="s">
        <v>301</v>
      </c>
      <c r="B156" s="37" t="s">
        <v>556</v>
      </c>
      <c r="C156" s="37" t="s">
        <v>578</v>
      </c>
      <c r="D156" s="52"/>
      <c r="E156" s="38" t="s">
        <v>774</v>
      </c>
      <c r="F156" s="36" t="s">
        <v>557</v>
      </c>
      <c r="G156" s="36" t="s">
        <v>581</v>
      </c>
      <c r="H156" s="39">
        <v>201</v>
      </c>
      <c r="I156" s="40">
        <v>86566.68</v>
      </c>
      <c r="J156" s="39">
        <v>200</v>
      </c>
      <c r="K156" s="40">
        <v>98655</v>
      </c>
      <c r="L156" s="37" t="s">
        <v>578</v>
      </c>
      <c r="M156" s="41">
        <v>521.41999999999996</v>
      </c>
      <c r="N156" s="42">
        <v>0</v>
      </c>
      <c r="O156" s="36">
        <v>300</v>
      </c>
      <c r="P156" s="41">
        <f t="shared" si="64"/>
        <v>156426</v>
      </c>
      <c r="Q156" s="36">
        <v>300</v>
      </c>
      <c r="R156" s="43">
        <f t="shared" si="65"/>
        <v>0</v>
      </c>
      <c r="S156" s="43">
        <f t="shared" si="66"/>
        <v>100</v>
      </c>
      <c r="T156" s="41">
        <f t="shared" si="67"/>
        <v>52141.999999999993</v>
      </c>
      <c r="U156" s="44">
        <f>O156+100</f>
        <v>400</v>
      </c>
      <c r="V156" s="45">
        <f t="shared" si="68"/>
        <v>208567.99999999997</v>
      </c>
      <c r="W156" s="36">
        <v>300</v>
      </c>
      <c r="X156" s="86">
        <v>156426</v>
      </c>
      <c r="Y156" s="199">
        <v>560.52</v>
      </c>
      <c r="Z156" s="44">
        <v>100</v>
      </c>
      <c r="AA156" s="41">
        <f t="shared" si="60"/>
        <v>56052</v>
      </c>
      <c r="AB156" s="44">
        <v>0</v>
      </c>
      <c r="AC156" s="44">
        <f t="shared" si="54"/>
        <v>100</v>
      </c>
      <c r="AD156" s="44">
        <f t="shared" si="61"/>
        <v>200</v>
      </c>
      <c r="AE156" s="111">
        <f t="shared" si="62"/>
        <v>112104</v>
      </c>
      <c r="AF156" s="51" t="s">
        <v>578</v>
      </c>
      <c r="AG156" s="115"/>
      <c r="AH156" s="35">
        <v>0</v>
      </c>
      <c r="AI156" s="36">
        <v>0</v>
      </c>
      <c r="AJ156" s="36">
        <v>100</v>
      </c>
      <c r="AK156" s="36"/>
      <c r="AL156" s="36">
        <v>0</v>
      </c>
      <c r="AM156" s="36">
        <v>0</v>
      </c>
      <c r="AN156" s="46">
        <v>0</v>
      </c>
      <c r="AO156" s="100">
        <f t="shared" ref="AO156:AO187" si="69">SUM(AH156:AN156)</f>
        <v>100</v>
      </c>
      <c r="AP156" s="3">
        <f t="shared" si="63"/>
        <v>56052</v>
      </c>
    </row>
    <row r="157" spans="1:42" x14ac:dyDescent="0.2">
      <c r="A157" s="35" t="s">
        <v>144</v>
      </c>
      <c r="B157" s="37" t="s">
        <v>556</v>
      </c>
      <c r="C157" s="37" t="s">
        <v>578</v>
      </c>
      <c r="D157" s="52">
        <v>46387</v>
      </c>
      <c r="E157" s="38" t="s">
        <v>754</v>
      </c>
      <c r="F157" s="36" t="s">
        <v>559</v>
      </c>
      <c r="G157" s="36" t="s">
        <v>593</v>
      </c>
      <c r="H157" s="39">
        <v>212</v>
      </c>
      <c r="I157" s="40">
        <v>18064.520000000004</v>
      </c>
      <c r="J157" s="39">
        <v>336</v>
      </c>
      <c r="K157" s="40">
        <v>28630.560000000001</v>
      </c>
      <c r="L157" s="37" t="s">
        <v>578</v>
      </c>
      <c r="M157" s="41">
        <v>85.21</v>
      </c>
      <c r="N157" s="42">
        <v>0</v>
      </c>
      <c r="O157" s="36">
        <v>689</v>
      </c>
      <c r="P157" s="41">
        <f t="shared" si="64"/>
        <v>58709.689999999995</v>
      </c>
      <c r="Q157" s="36">
        <v>1500</v>
      </c>
      <c r="R157" s="43">
        <f t="shared" si="65"/>
        <v>-811</v>
      </c>
      <c r="S157" s="43">
        <f t="shared" si="66"/>
        <v>0</v>
      </c>
      <c r="T157" s="41">
        <f t="shared" si="67"/>
        <v>0</v>
      </c>
      <c r="U157" s="44">
        <f>O157</f>
        <v>689</v>
      </c>
      <c r="V157" s="45">
        <f t="shared" si="68"/>
        <v>58709.689999999995</v>
      </c>
      <c r="W157" s="36">
        <v>689</v>
      </c>
      <c r="X157" s="86">
        <v>58709.689999999995</v>
      </c>
      <c r="Y157" s="199">
        <v>85.21</v>
      </c>
      <c r="Z157" s="44">
        <v>994</v>
      </c>
      <c r="AA157" s="41">
        <f t="shared" si="60"/>
        <v>84698.739999999991</v>
      </c>
      <c r="AB157" s="44">
        <v>0</v>
      </c>
      <c r="AC157" s="44">
        <f t="shared" si="54"/>
        <v>320</v>
      </c>
      <c r="AD157" s="44">
        <f t="shared" si="61"/>
        <v>1314</v>
      </c>
      <c r="AE157" s="111">
        <f t="shared" si="62"/>
        <v>111965.93999999999</v>
      </c>
      <c r="AF157" s="51" t="s">
        <v>578</v>
      </c>
      <c r="AG157" s="115"/>
      <c r="AH157" s="35">
        <v>320</v>
      </c>
      <c r="AI157" s="36">
        <v>0</v>
      </c>
      <c r="AJ157" s="36">
        <v>0</v>
      </c>
      <c r="AK157" s="36"/>
      <c r="AL157" s="36">
        <v>0</v>
      </c>
      <c r="AM157" s="36">
        <v>0</v>
      </c>
      <c r="AN157" s="46">
        <v>0</v>
      </c>
      <c r="AO157" s="100">
        <f t="shared" si="69"/>
        <v>320</v>
      </c>
      <c r="AP157" s="3">
        <f t="shared" si="63"/>
        <v>27267.199999999997</v>
      </c>
    </row>
    <row r="158" spans="1:42" x14ac:dyDescent="0.2">
      <c r="A158" s="35" t="s">
        <v>146</v>
      </c>
      <c r="B158" s="37" t="s">
        <v>556</v>
      </c>
      <c r="C158" s="37" t="s">
        <v>578</v>
      </c>
      <c r="D158" s="52">
        <v>46752</v>
      </c>
      <c r="E158" s="38" t="s">
        <v>772</v>
      </c>
      <c r="F158" s="36" t="s">
        <v>559</v>
      </c>
      <c r="G158" s="36" t="s">
        <v>603</v>
      </c>
      <c r="H158" s="39">
        <v>250</v>
      </c>
      <c r="I158" s="40">
        <v>52500</v>
      </c>
      <c r="J158" s="39">
        <v>250</v>
      </c>
      <c r="K158" s="40">
        <v>54594</v>
      </c>
      <c r="L158" s="37" t="s">
        <v>578</v>
      </c>
      <c r="M158" s="41">
        <v>222.12</v>
      </c>
      <c r="N158" s="42">
        <v>0</v>
      </c>
      <c r="O158" s="36">
        <v>450</v>
      </c>
      <c r="P158" s="41">
        <f t="shared" si="64"/>
        <v>99954</v>
      </c>
      <c r="Q158" s="36">
        <v>522</v>
      </c>
      <c r="R158" s="43">
        <f t="shared" si="65"/>
        <v>-72</v>
      </c>
      <c r="S158" s="43">
        <f t="shared" si="66"/>
        <v>0</v>
      </c>
      <c r="T158" s="41">
        <f t="shared" si="67"/>
        <v>0</v>
      </c>
      <c r="U158" s="44">
        <v>450</v>
      </c>
      <c r="V158" s="45">
        <f t="shared" si="68"/>
        <v>99954</v>
      </c>
      <c r="W158" s="36">
        <v>350</v>
      </c>
      <c r="X158" s="86">
        <v>77742</v>
      </c>
      <c r="Y158" s="199">
        <v>222.11999999999995</v>
      </c>
      <c r="Z158" s="44">
        <v>500</v>
      </c>
      <c r="AA158" s="41">
        <f t="shared" si="60"/>
        <v>111059.99999999997</v>
      </c>
      <c r="AB158" s="44">
        <v>0</v>
      </c>
      <c r="AC158" s="44">
        <f t="shared" si="54"/>
        <v>0</v>
      </c>
      <c r="AD158" s="44">
        <f t="shared" si="61"/>
        <v>500</v>
      </c>
      <c r="AE158" s="111">
        <f t="shared" si="62"/>
        <v>111059.99999999997</v>
      </c>
      <c r="AF158" s="51" t="s">
        <v>578</v>
      </c>
      <c r="AG158" s="115"/>
      <c r="AH158" s="35">
        <v>0</v>
      </c>
      <c r="AI158" s="36">
        <v>0</v>
      </c>
      <c r="AJ158" s="36">
        <v>0</v>
      </c>
      <c r="AK158" s="36"/>
      <c r="AL158" s="36">
        <v>0</v>
      </c>
      <c r="AM158" s="36">
        <v>0</v>
      </c>
      <c r="AN158" s="46">
        <v>0</v>
      </c>
      <c r="AO158" s="100">
        <f t="shared" si="69"/>
        <v>0</v>
      </c>
      <c r="AP158" s="3">
        <f t="shared" si="63"/>
        <v>0</v>
      </c>
    </row>
    <row r="159" spans="1:42" x14ac:dyDescent="0.2">
      <c r="A159" s="49" t="s">
        <v>482</v>
      </c>
      <c r="B159" s="37" t="s">
        <v>562</v>
      </c>
      <c r="C159" s="37" t="s">
        <v>571</v>
      </c>
      <c r="D159" s="52"/>
      <c r="E159" s="38" t="s">
        <v>755</v>
      </c>
      <c r="F159" s="36" t="s">
        <v>560</v>
      </c>
      <c r="G159" s="36" t="s">
        <v>623</v>
      </c>
      <c r="H159" s="39">
        <v>17</v>
      </c>
      <c r="I159" s="40">
        <v>138541</v>
      </c>
      <c r="J159" s="39">
        <v>0</v>
      </c>
      <c r="K159" s="40">
        <v>0</v>
      </c>
      <c r="L159" s="37" t="s">
        <v>571</v>
      </c>
      <c r="M159" s="41" t="e">
        <v>#DIV/0!</v>
      </c>
      <c r="N159" s="42">
        <v>0</v>
      </c>
      <c r="O159" s="36">
        <v>0</v>
      </c>
      <c r="P159" s="41" t="e">
        <f t="shared" si="64"/>
        <v>#DIV/0!</v>
      </c>
      <c r="Q159" s="36">
        <v>15</v>
      </c>
      <c r="R159" s="43">
        <f t="shared" si="65"/>
        <v>-15</v>
      </c>
      <c r="S159" s="43">
        <f t="shared" si="66"/>
        <v>10</v>
      </c>
      <c r="T159" s="41" t="e">
        <f t="shared" si="67"/>
        <v>#DIV/0!</v>
      </c>
      <c r="U159" s="44">
        <v>10</v>
      </c>
      <c r="V159" s="45" t="e">
        <f t="shared" si="68"/>
        <v>#DIV/0!</v>
      </c>
      <c r="W159" s="36">
        <v>0</v>
      </c>
      <c r="X159" s="86">
        <v>0</v>
      </c>
      <c r="Y159" s="199">
        <v>9122.56</v>
      </c>
      <c r="Z159" s="44">
        <v>12</v>
      </c>
      <c r="AA159" s="41">
        <f t="shared" si="60"/>
        <v>109470.72</v>
      </c>
      <c r="AB159" s="44">
        <v>0</v>
      </c>
      <c r="AC159" s="44">
        <f t="shared" ref="AC159:AC190" si="70">AB159+AO159</f>
        <v>0</v>
      </c>
      <c r="AD159" s="44">
        <f t="shared" si="61"/>
        <v>12</v>
      </c>
      <c r="AE159" s="111">
        <f t="shared" si="62"/>
        <v>109470.72</v>
      </c>
      <c r="AF159" s="51" t="s">
        <v>571</v>
      </c>
      <c r="AG159" s="115" t="s">
        <v>1044</v>
      </c>
      <c r="AH159" s="35">
        <v>0</v>
      </c>
      <c r="AI159" s="36">
        <v>0</v>
      </c>
      <c r="AJ159" s="36">
        <v>0</v>
      </c>
      <c r="AK159" s="36"/>
      <c r="AL159" s="36">
        <v>0</v>
      </c>
      <c r="AM159" s="36">
        <v>0</v>
      </c>
      <c r="AN159" s="46">
        <v>0</v>
      </c>
      <c r="AO159" s="100">
        <f t="shared" si="69"/>
        <v>0</v>
      </c>
      <c r="AP159" s="3">
        <f t="shared" si="63"/>
        <v>0</v>
      </c>
    </row>
    <row r="160" spans="1:42" x14ac:dyDescent="0.2">
      <c r="A160" s="35" t="s">
        <v>481</v>
      </c>
      <c r="B160" s="37" t="s">
        <v>556</v>
      </c>
      <c r="C160" s="37" t="s">
        <v>571</v>
      </c>
      <c r="D160" s="52"/>
      <c r="E160" s="38" t="s">
        <v>797</v>
      </c>
      <c r="F160" s="36" t="s">
        <v>559</v>
      </c>
      <c r="G160" s="36" t="s">
        <v>593</v>
      </c>
      <c r="H160" s="39">
        <v>0</v>
      </c>
      <c r="I160" s="40">
        <v>0</v>
      </c>
      <c r="J160" s="39">
        <v>0</v>
      </c>
      <c r="K160" s="40">
        <v>0</v>
      </c>
      <c r="L160" s="37" t="s">
        <v>571</v>
      </c>
      <c r="M160" s="41" t="e">
        <v>#DIV/0!</v>
      </c>
      <c r="N160" s="42">
        <v>0</v>
      </c>
      <c r="O160" s="36">
        <v>0</v>
      </c>
      <c r="P160" s="41" t="e">
        <f t="shared" si="64"/>
        <v>#DIV/0!</v>
      </c>
      <c r="Q160" s="36">
        <v>1500</v>
      </c>
      <c r="R160" s="43">
        <f t="shared" si="65"/>
        <v>-1500</v>
      </c>
      <c r="S160" s="43">
        <f t="shared" si="66"/>
        <v>500</v>
      </c>
      <c r="T160" s="41" t="e">
        <f t="shared" si="67"/>
        <v>#DIV/0!</v>
      </c>
      <c r="U160" s="44">
        <v>500</v>
      </c>
      <c r="V160" s="45" t="e">
        <f t="shared" si="68"/>
        <v>#DIV/0!</v>
      </c>
      <c r="W160" s="36">
        <v>0</v>
      </c>
      <c r="X160" s="86">
        <v>0</v>
      </c>
      <c r="Y160" s="199">
        <v>87.48</v>
      </c>
      <c r="Z160" s="44">
        <v>0</v>
      </c>
      <c r="AA160" s="41">
        <f t="shared" si="60"/>
        <v>0</v>
      </c>
      <c r="AB160" s="44">
        <v>1237</v>
      </c>
      <c r="AC160" s="44">
        <f t="shared" si="70"/>
        <v>1237</v>
      </c>
      <c r="AD160" s="44">
        <f t="shared" si="61"/>
        <v>1237</v>
      </c>
      <c r="AE160" s="111">
        <f t="shared" si="62"/>
        <v>108212.76000000001</v>
      </c>
      <c r="AF160" s="51" t="s">
        <v>571</v>
      </c>
      <c r="AG160" s="115"/>
      <c r="AH160" s="35">
        <v>0</v>
      </c>
      <c r="AI160" s="36">
        <v>0</v>
      </c>
      <c r="AJ160" s="36">
        <v>0</v>
      </c>
      <c r="AK160" s="36"/>
      <c r="AL160" s="36">
        <v>0</v>
      </c>
      <c r="AM160" s="36">
        <v>0</v>
      </c>
      <c r="AN160" s="46">
        <v>0</v>
      </c>
      <c r="AO160" s="100">
        <f t="shared" si="69"/>
        <v>0</v>
      </c>
      <c r="AP160" s="3">
        <f t="shared" si="63"/>
        <v>108212.76000000001</v>
      </c>
    </row>
    <row r="161" spans="1:42" x14ac:dyDescent="0.2">
      <c r="A161" s="35" t="s">
        <v>411</v>
      </c>
      <c r="B161" s="37" t="s">
        <v>556</v>
      </c>
      <c r="C161" s="37" t="s">
        <v>578</v>
      </c>
      <c r="D161" s="52">
        <v>47118</v>
      </c>
      <c r="E161" s="38" t="s">
        <v>781</v>
      </c>
      <c r="F161" s="36" t="s">
        <v>555</v>
      </c>
      <c r="G161" s="36" t="s">
        <v>631</v>
      </c>
      <c r="H161" s="39">
        <v>363</v>
      </c>
      <c r="I161" s="40">
        <v>21123.200000000001</v>
      </c>
      <c r="J161" s="39">
        <v>2384</v>
      </c>
      <c r="K161" s="40">
        <v>129212.8</v>
      </c>
      <c r="L161" s="37" t="s">
        <v>578</v>
      </c>
      <c r="M161" s="41">
        <v>54.199999999999996</v>
      </c>
      <c r="N161" s="42">
        <v>0</v>
      </c>
      <c r="O161" s="36">
        <v>798</v>
      </c>
      <c r="P161" s="41">
        <f t="shared" si="64"/>
        <v>43251.6</v>
      </c>
      <c r="Q161" s="36">
        <v>2005</v>
      </c>
      <c r="R161" s="43">
        <f t="shared" si="65"/>
        <v>-1207</v>
      </c>
      <c r="S161" s="43">
        <f t="shared" si="66"/>
        <v>1207</v>
      </c>
      <c r="T161" s="41">
        <f t="shared" si="67"/>
        <v>65419.399999999994</v>
      </c>
      <c r="U161" s="44">
        <v>2005</v>
      </c>
      <c r="V161" s="45">
        <f t="shared" si="68"/>
        <v>108670.99999999999</v>
      </c>
      <c r="W161" s="36">
        <v>2602</v>
      </c>
      <c r="X161" s="86">
        <v>141028.4</v>
      </c>
      <c r="Y161" s="199">
        <v>54.2</v>
      </c>
      <c r="Z161" s="44">
        <v>1094</v>
      </c>
      <c r="AA161" s="41">
        <f t="shared" si="60"/>
        <v>59294.8</v>
      </c>
      <c r="AB161" s="44">
        <v>0</v>
      </c>
      <c r="AC161" s="44">
        <f t="shared" si="70"/>
        <v>900</v>
      </c>
      <c r="AD161" s="44">
        <f t="shared" si="61"/>
        <v>1994</v>
      </c>
      <c r="AE161" s="111">
        <f t="shared" si="62"/>
        <v>108074.8</v>
      </c>
      <c r="AF161" s="51" t="s">
        <v>578</v>
      </c>
      <c r="AG161" s="115"/>
      <c r="AH161" s="35">
        <v>0</v>
      </c>
      <c r="AI161" s="36">
        <v>900</v>
      </c>
      <c r="AJ161" s="36">
        <v>0</v>
      </c>
      <c r="AK161" s="36"/>
      <c r="AL161" s="36">
        <v>0</v>
      </c>
      <c r="AM161" s="36">
        <v>0</v>
      </c>
      <c r="AN161" s="46">
        <v>0</v>
      </c>
      <c r="AO161" s="100">
        <f t="shared" si="69"/>
        <v>900</v>
      </c>
      <c r="AP161" s="3">
        <f t="shared" si="63"/>
        <v>48780</v>
      </c>
    </row>
    <row r="162" spans="1:42" x14ac:dyDescent="0.2">
      <c r="A162" s="35" t="s">
        <v>255</v>
      </c>
      <c r="B162" s="37" t="s">
        <v>554</v>
      </c>
      <c r="C162" s="37" t="s">
        <v>571</v>
      </c>
      <c r="D162" s="52"/>
      <c r="E162" s="38" t="s">
        <v>813</v>
      </c>
      <c r="F162" s="36" t="s">
        <v>559</v>
      </c>
      <c r="G162" s="36" t="s">
        <v>598</v>
      </c>
      <c r="H162" s="39">
        <v>0</v>
      </c>
      <c r="I162" s="40">
        <v>0</v>
      </c>
      <c r="J162" s="39">
        <v>0</v>
      </c>
      <c r="K162" s="40">
        <v>0</v>
      </c>
      <c r="L162" s="37" t="s">
        <v>571</v>
      </c>
      <c r="M162" s="41">
        <v>358.75</v>
      </c>
      <c r="N162" s="42">
        <v>0</v>
      </c>
      <c r="O162" s="36">
        <v>150</v>
      </c>
      <c r="P162" s="41">
        <f t="shared" si="64"/>
        <v>53812.5</v>
      </c>
      <c r="Q162" s="36">
        <v>0</v>
      </c>
      <c r="R162" s="43">
        <f t="shared" si="65"/>
        <v>150</v>
      </c>
      <c r="S162" s="43">
        <f t="shared" si="66"/>
        <v>0</v>
      </c>
      <c r="T162" s="41">
        <f t="shared" si="67"/>
        <v>0</v>
      </c>
      <c r="U162" s="44">
        <v>150</v>
      </c>
      <c r="V162" s="45">
        <f t="shared" si="68"/>
        <v>53812.5</v>
      </c>
      <c r="W162" s="36">
        <v>150</v>
      </c>
      <c r="X162" s="86">
        <v>53812.5</v>
      </c>
      <c r="Y162" s="199">
        <v>358.75</v>
      </c>
      <c r="Z162" s="44">
        <v>150</v>
      </c>
      <c r="AA162" s="41">
        <f t="shared" si="60"/>
        <v>53812.5</v>
      </c>
      <c r="AB162" s="44">
        <v>0</v>
      </c>
      <c r="AC162" s="44">
        <f t="shared" si="70"/>
        <v>150</v>
      </c>
      <c r="AD162" s="44">
        <f t="shared" si="61"/>
        <v>300</v>
      </c>
      <c r="AE162" s="111">
        <f t="shared" si="62"/>
        <v>107625</v>
      </c>
      <c r="AF162" s="51" t="s">
        <v>571</v>
      </c>
      <c r="AG162" s="115"/>
      <c r="AH162" s="35">
        <v>0</v>
      </c>
      <c r="AI162" s="36">
        <v>0</v>
      </c>
      <c r="AJ162" s="36">
        <v>0</v>
      </c>
      <c r="AK162" s="50">
        <v>150</v>
      </c>
      <c r="AL162" s="36">
        <v>0</v>
      </c>
      <c r="AM162" s="36">
        <v>0</v>
      </c>
      <c r="AN162" s="46">
        <v>0</v>
      </c>
      <c r="AO162" s="100">
        <f t="shared" si="69"/>
        <v>150</v>
      </c>
      <c r="AP162" s="3">
        <f t="shared" si="63"/>
        <v>53812.5</v>
      </c>
    </row>
    <row r="163" spans="1:42" x14ac:dyDescent="0.2">
      <c r="A163" s="49" t="s">
        <v>889</v>
      </c>
      <c r="B163" s="37" t="s">
        <v>562</v>
      </c>
      <c r="C163" s="37" t="s">
        <v>571</v>
      </c>
      <c r="D163" s="52"/>
      <c r="E163" s="38" t="s">
        <v>1000</v>
      </c>
      <c r="F163" s="36" t="s">
        <v>568</v>
      </c>
      <c r="G163" s="36" t="s">
        <v>958</v>
      </c>
      <c r="H163" s="39"/>
      <c r="I163" s="40"/>
      <c r="J163" s="39"/>
      <c r="K163" s="40"/>
      <c r="L163" s="51"/>
      <c r="M163" s="41">
        <v>3761</v>
      </c>
      <c r="N163" s="41"/>
      <c r="O163" s="36"/>
      <c r="P163" s="41"/>
      <c r="Q163" s="36"/>
      <c r="R163" s="43"/>
      <c r="S163" s="43"/>
      <c r="T163" s="41"/>
      <c r="U163" s="44"/>
      <c r="V163" s="45"/>
      <c r="W163" s="36">
        <v>6</v>
      </c>
      <c r="X163" s="86">
        <v>22566</v>
      </c>
      <c r="Y163" s="199">
        <v>4302</v>
      </c>
      <c r="Z163" s="44">
        <v>25</v>
      </c>
      <c r="AA163" s="41">
        <f t="shared" si="60"/>
        <v>107550</v>
      </c>
      <c r="AB163" s="44">
        <v>0</v>
      </c>
      <c r="AC163" s="44">
        <f t="shared" si="70"/>
        <v>0</v>
      </c>
      <c r="AD163" s="44">
        <f t="shared" si="61"/>
        <v>25</v>
      </c>
      <c r="AE163" s="111">
        <f t="shared" si="62"/>
        <v>107550</v>
      </c>
      <c r="AF163" s="51" t="s">
        <v>571</v>
      </c>
      <c r="AG163" s="115"/>
      <c r="AH163" s="35">
        <v>0</v>
      </c>
      <c r="AI163" s="36">
        <v>0</v>
      </c>
      <c r="AJ163" s="36">
        <v>0</v>
      </c>
      <c r="AK163" s="36"/>
      <c r="AL163" s="36">
        <v>0</v>
      </c>
      <c r="AM163" s="36">
        <v>0</v>
      </c>
      <c r="AN163" s="46">
        <v>0</v>
      </c>
      <c r="AO163" s="100">
        <f t="shared" si="69"/>
        <v>0</v>
      </c>
      <c r="AP163" s="3">
        <f t="shared" si="63"/>
        <v>0</v>
      </c>
    </row>
    <row r="164" spans="1:42" x14ac:dyDescent="0.2">
      <c r="A164" s="35" t="s">
        <v>430</v>
      </c>
      <c r="B164" s="37" t="s">
        <v>556</v>
      </c>
      <c r="C164" s="37" t="s">
        <v>571</v>
      </c>
      <c r="D164" s="52"/>
      <c r="E164" s="38" t="s">
        <v>594</v>
      </c>
      <c r="F164" s="36" t="s">
        <v>555</v>
      </c>
      <c r="G164" s="36" t="s">
        <v>624</v>
      </c>
      <c r="H164" s="39">
        <v>73</v>
      </c>
      <c r="I164" s="40">
        <v>64299.009999999995</v>
      </c>
      <c r="J164" s="39">
        <v>32</v>
      </c>
      <c r="K164" s="40">
        <v>30276.36</v>
      </c>
      <c r="L164" s="37" t="s">
        <v>571</v>
      </c>
      <c r="M164" s="41">
        <v>1060</v>
      </c>
      <c r="N164" s="42">
        <v>0</v>
      </c>
      <c r="O164" s="36">
        <v>157</v>
      </c>
      <c r="P164" s="41">
        <f t="shared" ref="P164:P173" si="71">(N164+O164)*M164</f>
        <v>166420</v>
      </c>
      <c r="Q164" s="36">
        <v>50</v>
      </c>
      <c r="R164" s="43">
        <f t="shared" ref="R164:R173" si="72">O164-Q164</f>
        <v>107</v>
      </c>
      <c r="S164" s="43">
        <f t="shared" ref="S164:S173" si="73">U164-O164</f>
        <v>0</v>
      </c>
      <c r="T164" s="41">
        <f t="shared" ref="T164:T173" si="74">S164*M164</f>
        <v>0</v>
      </c>
      <c r="U164" s="44">
        <f>O164</f>
        <v>157</v>
      </c>
      <c r="V164" s="45">
        <f t="shared" ref="V164:V173" si="75">U164*M164</f>
        <v>166420</v>
      </c>
      <c r="W164" s="36">
        <v>157</v>
      </c>
      <c r="X164" s="86">
        <v>166420</v>
      </c>
      <c r="Y164" s="199">
        <v>1060</v>
      </c>
      <c r="Z164" s="44">
        <v>0</v>
      </c>
      <c r="AA164" s="41">
        <f t="shared" si="60"/>
        <v>0</v>
      </c>
      <c r="AB164" s="44">
        <v>0</v>
      </c>
      <c r="AC164" s="44">
        <f t="shared" si="70"/>
        <v>100</v>
      </c>
      <c r="AD164" s="44">
        <f t="shared" si="61"/>
        <v>100</v>
      </c>
      <c r="AE164" s="111">
        <f t="shared" si="62"/>
        <v>106000</v>
      </c>
      <c r="AF164" s="51" t="s">
        <v>571</v>
      </c>
      <c r="AG164" s="115"/>
      <c r="AH164" s="35">
        <v>0</v>
      </c>
      <c r="AI164" s="36">
        <v>100</v>
      </c>
      <c r="AJ164" s="36">
        <v>0</v>
      </c>
      <c r="AK164" s="36"/>
      <c r="AL164" s="36">
        <v>0</v>
      </c>
      <c r="AM164" s="36">
        <v>0</v>
      </c>
      <c r="AN164" s="46">
        <v>0</v>
      </c>
      <c r="AO164" s="100">
        <f t="shared" si="69"/>
        <v>100</v>
      </c>
      <c r="AP164" s="3">
        <f t="shared" si="63"/>
        <v>106000</v>
      </c>
    </row>
    <row r="165" spans="1:42" x14ac:dyDescent="0.2">
      <c r="A165" s="35" t="s">
        <v>245</v>
      </c>
      <c r="B165" s="37" t="s">
        <v>556</v>
      </c>
      <c r="C165" s="37" t="s">
        <v>571</v>
      </c>
      <c r="D165" s="52"/>
      <c r="E165" s="38" t="s">
        <v>794</v>
      </c>
      <c r="F165" s="36" t="s">
        <v>559</v>
      </c>
      <c r="G165" s="36" t="s">
        <v>587</v>
      </c>
      <c r="H165" s="39">
        <v>300</v>
      </c>
      <c r="I165" s="40">
        <v>62136.399999999994</v>
      </c>
      <c r="J165" s="39">
        <v>370</v>
      </c>
      <c r="K165" s="40">
        <v>81658.7</v>
      </c>
      <c r="L165" s="37" t="s">
        <v>578</v>
      </c>
      <c r="M165" s="41">
        <v>226.77405405405409</v>
      </c>
      <c r="N165" s="42">
        <v>0</v>
      </c>
      <c r="O165" s="36">
        <v>170</v>
      </c>
      <c r="P165" s="41">
        <f t="shared" si="71"/>
        <v>38551.589189189195</v>
      </c>
      <c r="Q165" s="36">
        <v>230</v>
      </c>
      <c r="R165" s="43">
        <f t="shared" si="72"/>
        <v>-60</v>
      </c>
      <c r="S165" s="43">
        <f t="shared" si="73"/>
        <v>60</v>
      </c>
      <c r="T165" s="41">
        <f t="shared" si="74"/>
        <v>13606.443243243246</v>
      </c>
      <c r="U165" s="44">
        <v>230</v>
      </c>
      <c r="V165" s="45">
        <f t="shared" si="75"/>
        <v>52158.032432432439</v>
      </c>
      <c r="W165" s="36">
        <v>370</v>
      </c>
      <c r="X165" s="86">
        <v>83906.400000000009</v>
      </c>
      <c r="Y165" s="199">
        <v>245.01</v>
      </c>
      <c r="Z165" s="44">
        <v>250</v>
      </c>
      <c r="AA165" s="41">
        <f t="shared" si="60"/>
        <v>61252.5</v>
      </c>
      <c r="AB165" s="44">
        <v>40</v>
      </c>
      <c r="AC165" s="44">
        <f t="shared" si="70"/>
        <v>180</v>
      </c>
      <c r="AD165" s="44">
        <f t="shared" si="61"/>
        <v>430</v>
      </c>
      <c r="AE165" s="111">
        <f t="shared" si="62"/>
        <v>105354.3</v>
      </c>
      <c r="AF165" s="51" t="s">
        <v>578</v>
      </c>
      <c r="AG165" s="115"/>
      <c r="AH165" s="35">
        <v>40</v>
      </c>
      <c r="AI165" s="36">
        <v>0</v>
      </c>
      <c r="AJ165" s="36">
        <v>100</v>
      </c>
      <c r="AK165" s="36"/>
      <c r="AL165" s="36">
        <v>0</v>
      </c>
      <c r="AM165" s="36">
        <v>0</v>
      </c>
      <c r="AN165" s="46">
        <v>0</v>
      </c>
      <c r="AO165" s="100">
        <f t="shared" si="69"/>
        <v>140</v>
      </c>
      <c r="AP165" s="3">
        <f t="shared" si="63"/>
        <v>44101.799999999996</v>
      </c>
    </row>
    <row r="166" spans="1:42" x14ac:dyDescent="0.2">
      <c r="A166" s="49" t="s">
        <v>501</v>
      </c>
      <c r="B166" s="37" t="s">
        <v>562</v>
      </c>
      <c r="C166" s="37" t="s">
        <v>571</v>
      </c>
      <c r="D166" s="52"/>
      <c r="E166" s="38" t="s">
        <v>755</v>
      </c>
      <c r="F166" s="36" t="s">
        <v>560</v>
      </c>
      <c r="G166" s="36" t="s">
        <v>623</v>
      </c>
      <c r="H166" s="39">
        <v>0</v>
      </c>
      <c r="I166" s="40">
        <v>0</v>
      </c>
      <c r="J166" s="39">
        <v>0</v>
      </c>
      <c r="K166" s="40">
        <v>0</v>
      </c>
      <c r="L166" s="37" t="s">
        <v>571</v>
      </c>
      <c r="M166" s="41">
        <v>5850</v>
      </c>
      <c r="N166" s="42">
        <v>0</v>
      </c>
      <c r="O166" s="36">
        <v>10</v>
      </c>
      <c r="P166" s="41">
        <f t="shared" si="71"/>
        <v>58500</v>
      </c>
      <c r="Q166" s="36">
        <v>10</v>
      </c>
      <c r="R166" s="43">
        <f t="shared" si="72"/>
        <v>0</v>
      </c>
      <c r="S166" s="43">
        <f t="shared" si="73"/>
        <v>0</v>
      </c>
      <c r="T166" s="41">
        <f t="shared" si="74"/>
        <v>0</v>
      </c>
      <c r="U166" s="44">
        <f>Q166</f>
        <v>10</v>
      </c>
      <c r="V166" s="45">
        <f t="shared" si="75"/>
        <v>58500</v>
      </c>
      <c r="W166" s="36">
        <v>10</v>
      </c>
      <c r="X166" s="86">
        <v>58500</v>
      </c>
      <c r="Y166" s="199">
        <v>5850</v>
      </c>
      <c r="Z166" s="44">
        <v>0</v>
      </c>
      <c r="AA166" s="41">
        <f t="shared" si="60"/>
        <v>0</v>
      </c>
      <c r="AB166" s="44">
        <v>0</v>
      </c>
      <c r="AC166" s="44">
        <f t="shared" si="70"/>
        <v>18</v>
      </c>
      <c r="AD166" s="44">
        <f t="shared" si="61"/>
        <v>18</v>
      </c>
      <c r="AE166" s="111">
        <f t="shared" si="62"/>
        <v>105300</v>
      </c>
      <c r="AF166" s="51" t="s">
        <v>571</v>
      </c>
      <c r="AG166" s="115" t="s">
        <v>1063</v>
      </c>
      <c r="AH166" s="35">
        <v>0</v>
      </c>
      <c r="AI166" s="36">
        <v>0</v>
      </c>
      <c r="AJ166" s="36">
        <v>0</v>
      </c>
      <c r="AK166" s="36"/>
      <c r="AL166" s="36">
        <v>18</v>
      </c>
      <c r="AM166" s="36">
        <v>0</v>
      </c>
      <c r="AN166" s="46">
        <v>0</v>
      </c>
      <c r="AO166" s="100">
        <f t="shared" si="69"/>
        <v>18</v>
      </c>
      <c r="AP166" s="3">
        <f t="shared" si="63"/>
        <v>105300</v>
      </c>
    </row>
    <row r="167" spans="1:42" x14ac:dyDescent="0.2">
      <c r="A167" s="35" t="s">
        <v>152</v>
      </c>
      <c r="B167" s="37" t="s">
        <v>556</v>
      </c>
      <c r="C167" s="37" t="s">
        <v>578</v>
      </c>
      <c r="D167" s="52">
        <v>46387</v>
      </c>
      <c r="E167" s="38" t="s">
        <v>754</v>
      </c>
      <c r="F167" s="36" t="s">
        <v>559</v>
      </c>
      <c r="G167" s="36" t="s">
        <v>609</v>
      </c>
      <c r="H167" s="39">
        <v>5595</v>
      </c>
      <c r="I167" s="40">
        <v>132458.57999999999</v>
      </c>
      <c r="J167" s="39">
        <v>8829</v>
      </c>
      <c r="K167" s="40">
        <v>207521.19</v>
      </c>
      <c r="L167" s="37" t="s">
        <v>578</v>
      </c>
      <c r="M167" s="41">
        <v>23.399999999999995</v>
      </c>
      <c r="N167" s="42">
        <v>0</v>
      </c>
      <c r="O167" s="36">
        <v>10692</v>
      </c>
      <c r="P167" s="41">
        <f t="shared" si="71"/>
        <v>250192.79999999996</v>
      </c>
      <c r="Q167" s="36">
        <v>11664</v>
      </c>
      <c r="R167" s="43">
        <f t="shared" si="72"/>
        <v>-972</v>
      </c>
      <c r="S167" s="43">
        <f t="shared" si="73"/>
        <v>0</v>
      </c>
      <c r="T167" s="41">
        <f t="shared" si="74"/>
        <v>0</v>
      </c>
      <c r="U167" s="44">
        <f>O167</f>
        <v>10692</v>
      </c>
      <c r="V167" s="45">
        <f t="shared" si="75"/>
        <v>250192.79999999996</v>
      </c>
      <c r="W167" s="36">
        <v>10692</v>
      </c>
      <c r="X167" s="86">
        <v>250192.79999999993</v>
      </c>
      <c r="Y167" s="199">
        <v>24.259999999999998</v>
      </c>
      <c r="Z167" s="44">
        <v>4250</v>
      </c>
      <c r="AA167" s="41">
        <f t="shared" si="60"/>
        <v>103104.99999999999</v>
      </c>
      <c r="AB167" s="44">
        <v>0</v>
      </c>
      <c r="AC167" s="44">
        <f t="shared" si="70"/>
        <v>0</v>
      </c>
      <c r="AD167" s="44">
        <f t="shared" si="61"/>
        <v>4250</v>
      </c>
      <c r="AE167" s="111">
        <f t="shared" si="62"/>
        <v>103104.99999999999</v>
      </c>
      <c r="AF167" s="51" t="s">
        <v>578</v>
      </c>
      <c r="AG167" s="115"/>
      <c r="AH167" s="35">
        <v>0</v>
      </c>
      <c r="AI167" s="36">
        <v>0</v>
      </c>
      <c r="AJ167" s="36">
        <v>0</v>
      </c>
      <c r="AK167" s="36"/>
      <c r="AL167" s="36">
        <v>0</v>
      </c>
      <c r="AM167" s="36">
        <v>0</v>
      </c>
      <c r="AN167" s="46">
        <v>0</v>
      </c>
      <c r="AO167" s="100">
        <f t="shared" si="69"/>
        <v>0</v>
      </c>
      <c r="AP167" s="3">
        <f t="shared" si="63"/>
        <v>0</v>
      </c>
    </row>
    <row r="168" spans="1:42" x14ac:dyDescent="0.2">
      <c r="A168" s="35" t="s">
        <v>478</v>
      </c>
      <c r="B168" s="37" t="s">
        <v>556</v>
      </c>
      <c r="C168" s="37" t="s">
        <v>571</v>
      </c>
      <c r="D168" s="52"/>
      <c r="E168" s="38" t="s">
        <v>682</v>
      </c>
      <c r="F168" s="36" t="s">
        <v>564</v>
      </c>
      <c r="G168" s="36" t="s">
        <v>675</v>
      </c>
      <c r="H168" s="39">
        <v>561</v>
      </c>
      <c r="I168" s="40">
        <v>153512.04</v>
      </c>
      <c r="J168" s="39">
        <v>457</v>
      </c>
      <c r="K168" s="40">
        <v>142343.74</v>
      </c>
      <c r="L168" s="37" t="s">
        <v>578</v>
      </c>
      <c r="M168" s="47">
        <v>322.89999999999998</v>
      </c>
      <c r="N168" s="48">
        <v>0</v>
      </c>
      <c r="O168" s="36">
        <v>0</v>
      </c>
      <c r="P168" s="47">
        <f t="shared" si="71"/>
        <v>0</v>
      </c>
      <c r="Q168" s="36">
        <v>450</v>
      </c>
      <c r="R168" s="43">
        <f t="shared" si="72"/>
        <v>-450</v>
      </c>
      <c r="S168" s="43">
        <f t="shared" si="73"/>
        <v>350</v>
      </c>
      <c r="T168" s="47">
        <f t="shared" si="74"/>
        <v>113014.99999999999</v>
      </c>
      <c r="U168" s="44">
        <v>350</v>
      </c>
      <c r="V168" s="45">
        <f t="shared" si="75"/>
        <v>113014.99999999999</v>
      </c>
      <c r="W168" s="36">
        <v>120</v>
      </c>
      <c r="X168" s="86">
        <v>38748</v>
      </c>
      <c r="Y168" s="199">
        <v>322.89999999999998</v>
      </c>
      <c r="Z168" s="44">
        <v>0</v>
      </c>
      <c r="AA168" s="41">
        <f t="shared" si="60"/>
        <v>0</v>
      </c>
      <c r="AB168" s="44">
        <v>0</v>
      </c>
      <c r="AC168" s="44">
        <f t="shared" si="70"/>
        <v>318</v>
      </c>
      <c r="AD168" s="44">
        <f t="shared" si="61"/>
        <v>318</v>
      </c>
      <c r="AE168" s="111">
        <f t="shared" si="62"/>
        <v>102682.2</v>
      </c>
      <c r="AF168" s="51" t="s">
        <v>578</v>
      </c>
      <c r="AG168" s="115"/>
      <c r="AH168" s="35">
        <v>0</v>
      </c>
      <c r="AI168" s="36">
        <v>0</v>
      </c>
      <c r="AJ168" s="36">
        <v>0</v>
      </c>
      <c r="AK168" s="36"/>
      <c r="AL168" s="36">
        <v>0</v>
      </c>
      <c r="AM168" s="36">
        <v>0</v>
      </c>
      <c r="AN168" s="46">
        <v>318</v>
      </c>
      <c r="AO168" s="100">
        <f t="shared" si="69"/>
        <v>318</v>
      </c>
      <c r="AP168" s="3">
        <f t="shared" si="63"/>
        <v>102682.2</v>
      </c>
    </row>
    <row r="169" spans="1:42" x14ac:dyDescent="0.2">
      <c r="A169" s="35" t="s">
        <v>237</v>
      </c>
      <c r="B169" s="37" t="s">
        <v>556</v>
      </c>
      <c r="C169" s="37" t="s">
        <v>578</v>
      </c>
      <c r="D169" s="52">
        <v>46387</v>
      </c>
      <c r="E169" s="38" t="s">
        <v>754</v>
      </c>
      <c r="F169" s="36" t="s">
        <v>559</v>
      </c>
      <c r="G169" s="36" t="s">
        <v>613</v>
      </c>
      <c r="H169" s="39">
        <v>94</v>
      </c>
      <c r="I169" s="40">
        <v>70987.86</v>
      </c>
      <c r="J169" s="39">
        <v>95</v>
      </c>
      <c r="K169" s="40">
        <v>81766.5</v>
      </c>
      <c r="L169" s="37" t="s">
        <v>578</v>
      </c>
      <c r="M169" s="41">
        <v>860.69999999999993</v>
      </c>
      <c r="N169" s="42">
        <v>0</v>
      </c>
      <c r="O169" s="36">
        <v>143</v>
      </c>
      <c r="P169" s="41">
        <f t="shared" si="71"/>
        <v>123080.09999999999</v>
      </c>
      <c r="Q169" s="36">
        <v>143</v>
      </c>
      <c r="R169" s="43">
        <f t="shared" si="72"/>
        <v>0</v>
      </c>
      <c r="S169" s="43">
        <f t="shared" si="73"/>
        <v>0</v>
      </c>
      <c r="T169" s="41">
        <f t="shared" si="74"/>
        <v>0</v>
      </c>
      <c r="U169" s="44">
        <v>143</v>
      </c>
      <c r="V169" s="45">
        <f t="shared" si="75"/>
        <v>123080.09999999999</v>
      </c>
      <c r="W169" s="36">
        <v>43</v>
      </c>
      <c r="X169" s="86">
        <v>37010.1</v>
      </c>
      <c r="Y169" s="199">
        <v>860.70000000000016</v>
      </c>
      <c r="Z169" s="44">
        <v>50</v>
      </c>
      <c r="AA169" s="41">
        <f t="shared" si="60"/>
        <v>43035.000000000007</v>
      </c>
      <c r="AB169" s="44">
        <v>0</v>
      </c>
      <c r="AC169" s="44">
        <f t="shared" si="70"/>
        <v>69</v>
      </c>
      <c r="AD169" s="44">
        <f t="shared" si="61"/>
        <v>119</v>
      </c>
      <c r="AE169" s="111">
        <f t="shared" si="62"/>
        <v>102423.30000000002</v>
      </c>
      <c r="AF169" s="51" t="s">
        <v>578</v>
      </c>
      <c r="AG169" s="115"/>
      <c r="AH169" s="35">
        <v>69</v>
      </c>
      <c r="AI169" s="36">
        <v>0</v>
      </c>
      <c r="AJ169" s="36">
        <v>0</v>
      </c>
      <c r="AK169" s="36"/>
      <c r="AL169" s="36">
        <v>0</v>
      </c>
      <c r="AM169" s="36">
        <v>0</v>
      </c>
      <c r="AN169" s="46">
        <v>0</v>
      </c>
      <c r="AO169" s="100">
        <f t="shared" si="69"/>
        <v>69</v>
      </c>
      <c r="AP169" s="3">
        <f t="shared" si="63"/>
        <v>59388.30000000001</v>
      </c>
    </row>
    <row r="170" spans="1:42" x14ac:dyDescent="0.2">
      <c r="A170" s="35" t="s">
        <v>410</v>
      </c>
      <c r="B170" s="37" t="s">
        <v>556</v>
      </c>
      <c r="C170" s="37" t="s">
        <v>578</v>
      </c>
      <c r="D170" s="52">
        <v>46387</v>
      </c>
      <c r="E170" s="38" t="s">
        <v>758</v>
      </c>
      <c r="F170" s="36" t="s">
        <v>555</v>
      </c>
      <c r="G170" s="36" t="s">
        <v>583</v>
      </c>
      <c r="H170" s="39">
        <v>298</v>
      </c>
      <c r="I170" s="40">
        <v>22469.200000000001</v>
      </c>
      <c r="J170" s="39">
        <v>439</v>
      </c>
      <c r="K170" s="40">
        <v>33100.6</v>
      </c>
      <c r="L170" s="37" t="s">
        <v>571</v>
      </c>
      <c r="M170" s="41">
        <v>74.37</v>
      </c>
      <c r="N170" s="42">
        <v>0</v>
      </c>
      <c r="O170" s="36">
        <v>1800</v>
      </c>
      <c r="P170" s="41">
        <f t="shared" si="71"/>
        <v>133866</v>
      </c>
      <c r="Q170" s="36">
        <v>1500</v>
      </c>
      <c r="R170" s="43">
        <f t="shared" si="72"/>
        <v>300</v>
      </c>
      <c r="S170" s="43">
        <f t="shared" si="73"/>
        <v>-360</v>
      </c>
      <c r="T170" s="41">
        <f t="shared" si="74"/>
        <v>-26773.200000000001</v>
      </c>
      <c r="U170" s="44">
        <f>O170/1.25</f>
        <v>1440</v>
      </c>
      <c r="V170" s="45">
        <f t="shared" si="75"/>
        <v>107092.8</v>
      </c>
      <c r="W170" s="36">
        <v>1800</v>
      </c>
      <c r="X170" s="86">
        <v>133866</v>
      </c>
      <c r="Y170" s="199">
        <v>74.37</v>
      </c>
      <c r="Z170" s="44">
        <v>1356</v>
      </c>
      <c r="AA170" s="41">
        <f t="shared" si="60"/>
        <v>100845.72</v>
      </c>
      <c r="AB170" s="44">
        <v>0</v>
      </c>
      <c r="AC170" s="44">
        <f t="shared" si="70"/>
        <v>0</v>
      </c>
      <c r="AD170" s="44">
        <f t="shared" si="61"/>
        <v>1356</v>
      </c>
      <c r="AE170" s="111">
        <f t="shared" si="62"/>
        <v>100845.72</v>
      </c>
      <c r="AF170" s="51" t="s">
        <v>578</v>
      </c>
      <c r="AG170" s="115" t="s">
        <v>747</v>
      </c>
      <c r="AH170" s="35">
        <v>0</v>
      </c>
      <c r="AI170" s="36">
        <v>0</v>
      </c>
      <c r="AJ170" s="36">
        <v>0</v>
      </c>
      <c r="AK170" s="36"/>
      <c r="AL170" s="36">
        <v>0</v>
      </c>
      <c r="AM170" s="36">
        <v>0</v>
      </c>
      <c r="AN170" s="46">
        <v>0</v>
      </c>
      <c r="AO170" s="100">
        <f t="shared" si="69"/>
        <v>0</v>
      </c>
      <c r="AP170" s="3">
        <f t="shared" si="63"/>
        <v>0</v>
      </c>
    </row>
    <row r="171" spans="1:42" x14ac:dyDescent="0.2">
      <c r="A171" s="35" t="s">
        <v>490</v>
      </c>
      <c r="B171" s="37" t="s">
        <v>556</v>
      </c>
      <c r="C171" s="37" t="s">
        <v>571</v>
      </c>
      <c r="D171" s="52"/>
      <c r="E171" s="38" t="s">
        <v>594</v>
      </c>
      <c r="F171" s="36" t="s">
        <v>555</v>
      </c>
      <c r="G171" s="36" t="s">
        <v>624</v>
      </c>
      <c r="H171" s="39">
        <v>25</v>
      </c>
      <c r="I171" s="40">
        <v>22081</v>
      </c>
      <c r="J171" s="39">
        <v>125</v>
      </c>
      <c r="K171" s="40">
        <v>125250</v>
      </c>
      <c r="L171" s="37" t="s">
        <v>571</v>
      </c>
      <c r="M171" s="41">
        <v>1002</v>
      </c>
      <c r="N171" s="42">
        <v>0</v>
      </c>
      <c r="O171" s="36">
        <v>192</v>
      </c>
      <c r="P171" s="41">
        <f t="shared" si="71"/>
        <v>192384</v>
      </c>
      <c r="Q171" s="36">
        <v>75</v>
      </c>
      <c r="R171" s="43">
        <f t="shared" si="72"/>
        <v>117</v>
      </c>
      <c r="S171" s="43">
        <f t="shared" si="73"/>
        <v>0</v>
      </c>
      <c r="T171" s="41">
        <f t="shared" si="74"/>
        <v>0</v>
      </c>
      <c r="U171" s="44">
        <f>O171</f>
        <v>192</v>
      </c>
      <c r="V171" s="45">
        <f t="shared" si="75"/>
        <v>192384</v>
      </c>
      <c r="W171" s="36">
        <v>192</v>
      </c>
      <c r="X171" s="86">
        <v>192384</v>
      </c>
      <c r="Y171" s="199">
        <v>1002</v>
      </c>
      <c r="Z171" s="44">
        <v>0</v>
      </c>
      <c r="AA171" s="41">
        <f t="shared" si="60"/>
        <v>0</v>
      </c>
      <c r="AB171" s="44">
        <v>0</v>
      </c>
      <c r="AC171" s="44">
        <f t="shared" si="70"/>
        <v>100</v>
      </c>
      <c r="AD171" s="44">
        <f t="shared" si="61"/>
        <v>100</v>
      </c>
      <c r="AE171" s="111">
        <f t="shared" si="62"/>
        <v>100200</v>
      </c>
      <c r="AF171" s="51" t="s">
        <v>571</v>
      </c>
      <c r="AG171" s="115"/>
      <c r="AH171" s="35">
        <v>0</v>
      </c>
      <c r="AI171" s="36">
        <v>100</v>
      </c>
      <c r="AJ171" s="36">
        <v>0</v>
      </c>
      <c r="AK171" s="36"/>
      <c r="AL171" s="36">
        <v>0</v>
      </c>
      <c r="AM171" s="36">
        <v>0</v>
      </c>
      <c r="AN171" s="46">
        <v>0</v>
      </c>
      <c r="AO171" s="100">
        <f t="shared" si="69"/>
        <v>100</v>
      </c>
      <c r="AP171" s="3">
        <f t="shared" si="63"/>
        <v>100200</v>
      </c>
    </row>
    <row r="172" spans="1:42" x14ac:dyDescent="0.2">
      <c r="A172" s="35" t="s">
        <v>259</v>
      </c>
      <c r="B172" s="37" t="s">
        <v>562</v>
      </c>
      <c r="C172" s="37" t="s">
        <v>571</v>
      </c>
      <c r="D172" s="52"/>
      <c r="E172" s="38" t="s">
        <v>625</v>
      </c>
      <c r="F172" s="36" t="s">
        <v>563</v>
      </c>
      <c r="G172" s="36" t="s">
        <v>625</v>
      </c>
      <c r="H172" s="39">
        <v>100</v>
      </c>
      <c r="I172" s="40">
        <v>37288</v>
      </c>
      <c r="J172" s="39">
        <v>132</v>
      </c>
      <c r="K172" s="40">
        <v>49220.160000000003</v>
      </c>
      <c r="L172" s="37" t="s">
        <v>571</v>
      </c>
      <c r="M172" s="47">
        <v>398.98</v>
      </c>
      <c r="N172" s="48">
        <v>0</v>
      </c>
      <c r="O172" s="36">
        <v>250</v>
      </c>
      <c r="P172" s="47">
        <f t="shared" si="71"/>
        <v>99745</v>
      </c>
      <c r="Q172" s="36">
        <v>0</v>
      </c>
      <c r="R172" s="43">
        <f t="shared" si="72"/>
        <v>250</v>
      </c>
      <c r="S172" s="43">
        <f t="shared" si="73"/>
        <v>0</v>
      </c>
      <c r="T172" s="47">
        <f t="shared" si="74"/>
        <v>0</v>
      </c>
      <c r="U172" s="44">
        <v>250</v>
      </c>
      <c r="V172" s="45">
        <f t="shared" si="75"/>
        <v>99745</v>
      </c>
      <c r="W172" s="36">
        <v>250</v>
      </c>
      <c r="X172" s="86">
        <v>99745</v>
      </c>
      <c r="Y172" s="199">
        <v>398.98</v>
      </c>
      <c r="Z172" s="44">
        <v>0</v>
      </c>
      <c r="AA172" s="41">
        <f t="shared" si="60"/>
        <v>0</v>
      </c>
      <c r="AB172" s="44">
        <v>0</v>
      </c>
      <c r="AC172" s="44">
        <f t="shared" si="70"/>
        <v>250</v>
      </c>
      <c r="AD172" s="44">
        <f t="shared" si="61"/>
        <v>250</v>
      </c>
      <c r="AE172" s="111">
        <f t="shared" si="62"/>
        <v>99745</v>
      </c>
      <c r="AF172" s="51" t="s">
        <v>571</v>
      </c>
      <c r="AG172" s="115"/>
      <c r="AH172" s="35">
        <v>0</v>
      </c>
      <c r="AI172" s="36">
        <v>0</v>
      </c>
      <c r="AJ172" s="36">
        <v>0</v>
      </c>
      <c r="AK172" s="36"/>
      <c r="AL172" s="36">
        <v>0</v>
      </c>
      <c r="AM172" s="36">
        <v>0</v>
      </c>
      <c r="AN172" s="46">
        <v>250</v>
      </c>
      <c r="AO172" s="100">
        <f t="shared" si="69"/>
        <v>250</v>
      </c>
      <c r="AP172" s="3">
        <f t="shared" si="63"/>
        <v>99745</v>
      </c>
    </row>
    <row r="173" spans="1:42" x14ac:dyDescent="0.2">
      <c r="A173" s="35" t="s">
        <v>62</v>
      </c>
      <c r="B173" s="37" t="s">
        <v>556</v>
      </c>
      <c r="C173" s="37" t="s">
        <v>578</v>
      </c>
      <c r="D173" s="52">
        <v>46387</v>
      </c>
      <c r="E173" s="38" t="s">
        <v>754</v>
      </c>
      <c r="F173" s="36" t="s">
        <v>559</v>
      </c>
      <c r="G173" s="36" t="s">
        <v>613</v>
      </c>
      <c r="H173" s="39">
        <v>628</v>
      </c>
      <c r="I173" s="40">
        <v>50083</v>
      </c>
      <c r="J173" s="39">
        <v>768</v>
      </c>
      <c r="K173" s="40">
        <v>61248</v>
      </c>
      <c r="L173" s="37" t="s">
        <v>578</v>
      </c>
      <c r="M173" s="41">
        <v>79.75</v>
      </c>
      <c r="N173" s="42">
        <v>0</v>
      </c>
      <c r="O173" s="36">
        <v>634</v>
      </c>
      <c r="P173" s="41">
        <f t="shared" si="71"/>
        <v>50561.5</v>
      </c>
      <c r="Q173" s="36">
        <v>898</v>
      </c>
      <c r="R173" s="43">
        <f t="shared" si="72"/>
        <v>-264</v>
      </c>
      <c r="S173" s="43">
        <f t="shared" si="73"/>
        <v>0</v>
      </c>
      <c r="T173" s="41">
        <f t="shared" si="74"/>
        <v>0</v>
      </c>
      <c r="U173" s="44">
        <f>O173</f>
        <v>634</v>
      </c>
      <c r="V173" s="45">
        <f t="shared" si="75"/>
        <v>50561.5</v>
      </c>
      <c r="W173" s="36">
        <v>634</v>
      </c>
      <c r="X173" s="86">
        <v>50561.5</v>
      </c>
      <c r="Y173" s="199">
        <v>79.75</v>
      </c>
      <c r="Z173" s="44">
        <v>619</v>
      </c>
      <c r="AA173" s="41">
        <f t="shared" si="60"/>
        <v>49365.25</v>
      </c>
      <c r="AB173" s="44">
        <v>0</v>
      </c>
      <c r="AC173" s="44">
        <f t="shared" si="70"/>
        <v>631</v>
      </c>
      <c r="AD173" s="44">
        <f t="shared" si="61"/>
        <v>1250</v>
      </c>
      <c r="AE173" s="111">
        <f t="shared" si="62"/>
        <v>99687.5</v>
      </c>
      <c r="AF173" s="51" t="s">
        <v>578</v>
      </c>
      <c r="AG173" s="115"/>
      <c r="AH173" s="35">
        <v>631</v>
      </c>
      <c r="AI173" s="36">
        <v>0</v>
      </c>
      <c r="AJ173" s="36">
        <v>0</v>
      </c>
      <c r="AK173" s="36"/>
      <c r="AL173" s="36">
        <v>0</v>
      </c>
      <c r="AM173" s="36">
        <v>0</v>
      </c>
      <c r="AN173" s="46">
        <v>0</v>
      </c>
      <c r="AO173" s="100">
        <f t="shared" si="69"/>
        <v>631</v>
      </c>
      <c r="AP173" s="3">
        <f t="shared" si="63"/>
        <v>50322.25</v>
      </c>
    </row>
    <row r="174" spans="1:42" x14ac:dyDescent="0.2">
      <c r="A174" s="49" t="s">
        <v>946</v>
      </c>
      <c r="B174" s="37" t="s">
        <v>562</v>
      </c>
      <c r="C174" s="37" t="s">
        <v>571</v>
      </c>
      <c r="D174" s="52"/>
      <c r="E174" s="38" t="s">
        <v>999</v>
      </c>
      <c r="F174" s="36" t="s">
        <v>560</v>
      </c>
      <c r="G174" s="36" t="s">
        <v>959</v>
      </c>
      <c r="H174" s="39"/>
      <c r="I174" s="40"/>
      <c r="J174" s="39"/>
      <c r="K174" s="40"/>
      <c r="L174" s="37"/>
      <c r="M174" s="41"/>
      <c r="N174" s="36"/>
      <c r="O174" s="41"/>
      <c r="P174" s="36"/>
      <c r="Q174" s="43"/>
      <c r="R174" s="43"/>
      <c r="S174" s="41"/>
      <c r="T174" s="44"/>
      <c r="U174" s="45"/>
      <c r="V174" s="36"/>
      <c r="W174" s="45"/>
      <c r="X174" s="46"/>
      <c r="Y174" s="199">
        <v>1000</v>
      </c>
      <c r="Z174" s="44">
        <v>98</v>
      </c>
      <c r="AA174" s="41">
        <f t="shared" si="60"/>
        <v>98000</v>
      </c>
      <c r="AB174" s="44">
        <v>0</v>
      </c>
      <c r="AC174" s="44">
        <f t="shared" si="70"/>
        <v>0</v>
      </c>
      <c r="AD174" s="44">
        <f t="shared" si="61"/>
        <v>98</v>
      </c>
      <c r="AE174" s="111">
        <f t="shared" si="62"/>
        <v>98000</v>
      </c>
      <c r="AF174" s="51" t="s">
        <v>571</v>
      </c>
      <c r="AG174" s="115" t="s">
        <v>1045</v>
      </c>
      <c r="AH174" s="35">
        <v>0</v>
      </c>
      <c r="AI174" s="36">
        <v>0</v>
      </c>
      <c r="AJ174" s="36">
        <v>0</v>
      </c>
      <c r="AK174" s="36"/>
      <c r="AL174" s="36">
        <v>0</v>
      </c>
      <c r="AM174" s="36">
        <v>0</v>
      </c>
      <c r="AN174" s="46">
        <v>0</v>
      </c>
      <c r="AO174" s="100">
        <f t="shared" si="69"/>
        <v>0</v>
      </c>
      <c r="AP174" s="3">
        <f t="shared" si="63"/>
        <v>0</v>
      </c>
    </row>
    <row r="175" spans="1:42" x14ac:dyDescent="0.2">
      <c r="A175" s="35" t="s">
        <v>274</v>
      </c>
      <c r="B175" s="37" t="s">
        <v>556</v>
      </c>
      <c r="C175" s="37" t="s">
        <v>571</v>
      </c>
      <c r="D175" s="52"/>
      <c r="E175" s="38" t="s">
        <v>761</v>
      </c>
      <c r="F175" s="36" t="s">
        <v>560</v>
      </c>
      <c r="G175" s="36" t="s">
        <v>586</v>
      </c>
      <c r="H175" s="39">
        <v>507</v>
      </c>
      <c r="I175" s="40">
        <v>739814.88</v>
      </c>
      <c r="J175" s="39">
        <v>184</v>
      </c>
      <c r="K175" s="40">
        <v>328535</v>
      </c>
      <c r="L175" s="37" t="s">
        <v>578</v>
      </c>
      <c r="M175" s="41">
        <v>1887.0784313725489</v>
      </c>
      <c r="N175" s="42">
        <v>0</v>
      </c>
      <c r="O175" s="36">
        <v>408</v>
      </c>
      <c r="P175" s="41">
        <f t="shared" ref="P175:P187" si="76">(N175+O175)*M175</f>
        <v>769928</v>
      </c>
      <c r="Q175" s="36">
        <v>305</v>
      </c>
      <c r="R175" s="43">
        <f t="shared" ref="R175:R187" si="77">O175-Q175</f>
        <v>103</v>
      </c>
      <c r="S175" s="43">
        <f t="shared" ref="S175:S187" si="78">U175-O175</f>
        <v>0</v>
      </c>
      <c r="T175" s="41">
        <f t="shared" ref="T175:T187" si="79">S175*M175</f>
        <v>0</v>
      </c>
      <c r="U175" s="44">
        <f>O175</f>
        <v>408</v>
      </c>
      <c r="V175" s="45">
        <f t="shared" ref="V175:V187" si="80">U175*M175</f>
        <v>769928</v>
      </c>
      <c r="W175" s="36">
        <v>408</v>
      </c>
      <c r="X175" s="86">
        <v>769928</v>
      </c>
      <c r="Y175" s="199">
        <v>1941.48</v>
      </c>
      <c r="Z175" s="44">
        <v>0</v>
      </c>
      <c r="AA175" s="41">
        <f t="shared" si="60"/>
        <v>0</v>
      </c>
      <c r="AB175" s="44">
        <v>0</v>
      </c>
      <c r="AC175" s="44">
        <f t="shared" si="70"/>
        <v>50</v>
      </c>
      <c r="AD175" s="44">
        <f t="shared" si="61"/>
        <v>50</v>
      </c>
      <c r="AE175" s="111">
        <f t="shared" si="62"/>
        <v>97074</v>
      </c>
      <c r="AF175" s="51" t="s">
        <v>578</v>
      </c>
      <c r="AG175" s="115" t="s">
        <v>1035</v>
      </c>
      <c r="AH175" s="35">
        <v>0</v>
      </c>
      <c r="AI175" s="36">
        <v>0</v>
      </c>
      <c r="AJ175" s="36">
        <v>50</v>
      </c>
      <c r="AK175" s="36"/>
      <c r="AL175" s="36">
        <v>0</v>
      </c>
      <c r="AM175" s="36">
        <v>0</v>
      </c>
      <c r="AN175" s="46">
        <v>0</v>
      </c>
      <c r="AO175" s="100">
        <f t="shared" si="69"/>
        <v>50</v>
      </c>
      <c r="AP175" s="3">
        <f t="shared" si="63"/>
        <v>97074</v>
      </c>
    </row>
    <row r="176" spans="1:42" x14ac:dyDescent="0.2">
      <c r="A176" s="35" t="s">
        <v>712</v>
      </c>
      <c r="B176" s="37" t="s">
        <v>556</v>
      </c>
      <c r="C176" s="37" t="s">
        <v>571</v>
      </c>
      <c r="D176" s="52"/>
      <c r="E176" s="38" t="s">
        <v>754</v>
      </c>
      <c r="F176" s="36" t="s">
        <v>557</v>
      </c>
      <c r="G176" s="36" t="s">
        <v>606</v>
      </c>
      <c r="H176" s="39">
        <v>0</v>
      </c>
      <c r="I176" s="40">
        <v>0</v>
      </c>
      <c r="J176" s="39">
        <v>25</v>
      </c>
      <c r="K176" s="40">
        <v>16000</v>
      </c>
      <c r="L176" s="37" t="s">
        <v>571</v>
      </c>
      <c r="M176" s="41">
        <v>375</v>
      </c>
      <c r="N176" s="42">
        <v>0</v>
      </c>
      <c r="O176" s="36">
        <v>800</v>
      </c>
      <c r="P176" s="41">
        <f t="shared" si="76"/>
        <v>300000</v>
      </c>
      <c r="Q176" s="36">
        <v>0</v>
      </c>
      <c r="R176" s="43">
        <f t="shared" si="77"/>
        <v>800</v>
      </c>
      <c r="S176" s="43">
        <f t="shared" si="78"/>
        <v>0</v>
      </c>
      <c r="T176" s="41">
        <f t="shared" si="79"/>
        <v>0</v>
      </c>
      <c r="U176" s="44">
        <f>O176</f>
        <v>800</v>
      </c>
      <c r="V176" s="45">
        <f t="shared" si="80"/>
        <v>300000</v>
      </c>
      <c r="W176" s="36">
        <v>26</v>
      </c>
      <c r="X176" s="86">
        <v>9750</v>
      </c>
      <c r="Y176" s="199">
        <v>375</v>
      </c>
      <c r="Z176" s="44">
        <v>258</v>
      </c>
      <c r="AA176" s="41">
        <f t="shared" si="60"/>
        <v>96750</v>
      </c>
      <c r="AB176" s="44">
        <v>0</v>
      </c>
      <c r="AC176" s="44">
        <f t="shared" si="70"/>
        <v>0</v>
      </c>
      <c r="AD176" s="44">
        <f t="shared" si="61"/>
        <v>258</v>
      </c>
      <c r="AE176" s="111">
        <f t="shared" si="62"/>
        <v>96750</v>
      </c>
      <c r="AF176" s="51" t="s">
        <v>571</v>
      </c>
      <c r="AG176" s="115"/>
      <c r="AH176" s="35">
        <v>0</v>
      </c>
      <c r="AI176" s="36">
        <v>0</v>
      </c>
      <c r="AJ176" s="36">
        <v>0</v>
      </c>
      <c r="AK176" s="36"/>
      <c r="AL176" s="36">
        <v>0</v>
      </c>
      <c r="AM176" s="36">
        <v>0</v>
      </c>
      <c r="AN176" s="46">
        <v>0</v>
      </c>
      <c r="AO176" s="100">
        <f t="shared" si="69"/>
        <v>0</v>
      </c>
      <c r="AP176" s="3">
        <f t="shared" si="63"/>
        <v>0</v>
      </c>
    </row>
    <row r="177" spans="1:42" x14ac:dyDescent="0.2">
      <c r="A177" s="35" t="s">
        <v>38</v>
      </c>
      <c r="B177" s="37" t="s">
        <v>556</v>
      </c>
      <c r="C177" s="37" t="s">
        <v>578</v>
      </c>
      <c r="D177" s="52">
        <v>46022</v>
      </c>
      <c r="E177" s="38" t="s">
        <v>771</v>
      </c>
      <c r="F177" s="36" t="s">
        <v>561</v>
      </c>
      <c r="G177" s="36" t="s">
        <v>589</v>
      </c>
      <c r="H177" s="39">
        <v>2820</v>
      </c>
      <c r="I177" s="40">
        <v>292816</v>
      </c>
      <c r="J177" s="39">
        <v>2860</v>
      </c>
      <c r="K177" s="40">
        <v>297154</v>
      </c>
      <c r="L177" s="37" t="s">
        <v>578</v>
      </c>
      <c r="M177" s="47">
        <v>103.9</v>
      </c>
      <c r="N177" s="48">
        <v>0</v>
      </c>
      <c r="O177" s="36">
        <v>920</v>
      </c>
      <c r="P177" s="47">
        <f t="shared" si="76"/>
        <v>95588</v>
      </c>
      <c r="Q177" s="36">
        <v>2354</v>
      </c>
      <c r="R177" s="43">
        <f t="shared" si="77"/>
        <v>-1434</v>
      </c>
      <c r="S177" s="43">
        <f t="shared" si="78"/>
        <v>1380</v>
      </c>
      <c r="T177" s="47">
        <f t="shared" si="79"/>
        <v>143382</v>
      </c>
      <c r="U177" s="44">
        <v>2300</v>
      </c>
      <c r="V177" s="45">
        <f t="shared" si="80"/>
        <v>238970</v>
      </c>
      <c r="W177" s="36">
        <v>2300</v>
      </c>
      <c r="X177" s="86">
        <v>238970</v>
      </c>
      <c r="Y177" s="199">
        <v>103.9</v>
      </c>
      <c r="Z177" s="44">
        <v>460</v>
      </c>
      <c r="AA177" s="41">
        <f t="shared" si="60"/>
        <v>47794</v>
      </c>
      <c r="AB177" s="44">
        <v>0</v>
      </c>
      <c r="AC177" s="44">
        <f t="shared" si="70"/>
        <v>460</v>
      </c>
      <c r="AD177" s="44">
        <f t="shared" si="61"/>
        <v>920</v>
      </c>
      <c r="AE177" s="111">
        <f t="shared" si="62"/>
        <v>95588</v>
      </c>
      <c r="AF177" s="51" t="s">
        <v>578</v>
      </c>
      <c r="AG177" s="115"/>
      <c r="AH177" s="35">
        <v>0</v>
      </c>
      <c r="AI177" s="36">
        <v>0</v>
      </c>
      <c r="AJ177" s="36">
        <v>0</v>
      </c>
      <c r="AK177" s="36"/>
      <c r="AL177" s="36">
        <v>0</v>
      </c>
      <c r="AM177" s="36">
        <v>0</v>
      </c>
      <c r="AN177" s="46">
        <v>460</v>
      </c>
      <c r="AO177" s="100">
        <f t="shared" si="69"/>
        <v>460</v>
      </c>
      <c r="AP177" s="3">
        <f t="shared" si="63"/>
        <v>47794</v>
      </c>
    </row>
    <row r="178" spans="1:42" x14ac:dyDescent="0.2">
      <c r="A178" s="35" t="s">
        <v>291</v>
      </c>
      <c r="B178" s="37" t="s">
        <v>562</v>
      </c>
      <c r="C178" s="37" t="s">
        <v>571</v>
      </c>
      <c r="D178" s="52"/>
      <c r="E178" s="38" t="s">
        <v>803</v>
      </c>
      <c r="F178" s="36" t="s">
        <v>560</v>
      </c>
      <c r="G178" s="36" t="s">
        <v>622</v>
      </c>
      <c r="H178" s="39">
        <v>0</v>
      </c>
      <c r="I178" s="40">
        <v>0</v>
      </c>
      <c r="J178" s="39">
        <v>0</v>
      </c>
      <c r="K178" s="40">
        <v>0</v>
      </c>
      <c r="L178" s="37" t="s">
        <v>571</v>
      </c>
      <c r="M178" s="41">
        <v>1025</v>
      </c>
      <c r="N178" s="42">
        <v>0</v>
      </c>
      <c r="O178" s="36">
        <v>49</v>
      </c>
      <c r="P178" s="41">
        <f t="shared" si="76"/>
        <v>50225</v>
      </c>
      <c r="Q178" s="36">
        <v>0</v>
      </c>
      <c r="R178" s="43">
        <f t="shared" si="77"/>
        <v>49</v>
      </c>
      <c r="S178" s="43">
        <f t="shared" si="78"/>
        <v>0</v>
      </c>
      <c r="T178" s="41">
        <f t="shared" si="79"/>
        <v>0</v>
      </c>
      <c r="U178" s="44">
        <f>O178</f>
        <v>49</v>
      </c>
      <c r="V178" s="45">
        <f t="shared" si="80"/>
        <v>50225</v>
      </c>
      <c r="W178" s="36">
        <v>49</v>
      </c>
      <c r="X178" s="86">
        <v>50225</v>
      </c>
      <c r="Y178" s="199">
        <v>1025</v>
      </c>
      <c r="Z178" s="44">
        <v>93</v>
      </c>
      <c r="AA178" s="41">
        <f t="shared" si="60"/>
        <v>95325</v>
      </c>
      <c r="AB178" s="44">
        <v>0</v>
      </c>
      <c r="AC178" s="44">
        <f t="shared" si="70"/>
        <v>0</v>
      </c>
      <c r="AD178" s="44">
        <f t="shared" si="61"/>
        <v>93</v>
      </c>
      <c r="AE178" s="111">
        <f t="shared" si="62"/>
        <v>95325</v>
      </c>
      <c r="AF178" s="51" t="s">
        <v>571</v>
      </c>
      <c r="AG178" s="115"/>
      <c r="AH178" s="35">
        <v>0</v>
      </c>
      <c r="AI178" s="36">
        <v>0</v>
      </c>
      <c r="AJ178" s="36">
        <v>0</v>
      </c>
      <c r="AK178" s="36"/>
      <c r="AL178" s="36">
        <v>0</v>
      </c>
      <c r="AM178" s="36">
        <v>0</v>
      </c>
      <c r="AN178" s="46">
        <v>0</v>
      </c>
      <c r="AO178" s="100">
        <f t="shared" si="69"/>
        <v>0</v>
      </c>
      <c r="AP178" s="3">
        <f t="shared" si="63"/>
        <v>0</v>
      </c>
    </row>
    <row r="179" spans="1:42" x14ac:dyDescent="0.2">
      <c r="A179" s="35" t="s">
        <v>329</v>
      </c>
      <c r="B179" s="37" t="s">
        <v>556</v>
      </c>
      <c r="C179" s="37" t="s">
        <v>578</v>
      </c>
      <c r="D179" s="52">
        <v>46022</v>
      </c>
      <c r="E179" s="38" t="s">
        <v>753</v>
      </c>
      <c r="F179" s="36" t="s">
        <v>557</v>
      </c>
      <c r="G179" s="36" t="s">
        <v>610</v>
      </c>
      <c r="H179" s="39">
        <v>475</v>
      </c>
      <c r="I179" s="40">
        <v>41548.250000000007</v>
      </c>
      <c r="J179" s="39">
        <v>357</v>
      </c>
      <c r="K179" s="40">
        <v>31226.789999999997</v>
      </c>
      <c r="L179" s="37" t="s">
        <v>578</v>
      </c>
      <c r="M179" s="41">
        <v>87.803333333333342</v>
      </c>
      <c r="N179" s="42">
        <v>0</v>
      </c>
      <c r="O179" s="36">
        <v>75</v>
      </c>
      <c r="P179" s="41">
        <f t="shared" si="76"/>
        <v>6585.2500000000009</v>
      </c>
      <c r="Q179" s="36">
        <v>86</v>
      </c>
      <c r="R179" s="43">
        <f t="shared" si="77"/>
        <v>-11</v>
      </c>
      <c r="S179" s="43">
        <f t="shared" si="78"/>
        <v>275</v>
      </c>
      <c r="T179" s="41">
        <f t="shared" si="79"/>
        <v>24145.916666666668</v>
      </c>
      <c r="U179" s="44">
        <v>350</v>
      </c>
      <c r="V179" s="45">
        <f t="shared" si="80"/>
        <v>30731.166666666668</v>
      </c>
      <c r="W179" s="36">
        <v>90</v>
      </c>
      <c r="X179" s="86">
        <v>7902.3</v>
      </c>
      <c r="Y179" s="199">
        <v>170.21</v>
      </c>
      <c r="Z179" s="44">
        <v>161</v>
      </c>
      <c r="AA179" s="41">
        <f t="shared" si="60"/>
        <v>27403.81</v>
      </c>
      <c r="AB179" s="44">
        <v>0</v>
      </c>
      <c r="AC179" s="44">
        <f t="shared" si="70"/>
        <v>383</v>
      </c>
      <c r="AD179" s="44">
        <f t="shared" si="61"/>
        <v>544</v>
      </c>
      <c r="AE179" s="111">
        <f t="shared" si="62"/>
        <v>92594.240000000005</v>
      </c>
      <c r="AF179" s="51" t="s">
        <v>578</v>
      </c>
      <c r="AG179" s="115"/>
      <c r="AH179" s="35">
        <v>383</v>
      </c>
      <c r="AI179" s="36">
        <v>0</v>
      </c>
      <c r="AJ179" s="36">
        <v>0</v>
      </c>
      <c r="AK179" s="36"/>
      <c r="AL179" s="36">
        <v>0</v>
      </c>
      <c r="AM179" s="36">
        <v>0</v>
      </c>
      <c r="AN179" s="46">
        <v>0</v>
      </c>
      <c r="AO179" s="100">
        <f t="shared" si="69"/>
        <v>383</v>
      </c>
      <c r="AP179" s="3">
        <f t="shared" si="63"/>
        <v>65190.43</v>
      </c>
    </row>
    <row r="180" spans="1:42" x14ac:dyDescent="0.2">
      <c r="A180" s="35" t="s">
        <v>310</v>
      </c>
      <c r="B180" s="37" t="s">
        <v>556</v>
      </c>
      <c r="C180" s="37" t="s">
        <v>578</v>
      </c>
      <c r="D180" s="52">
        <v>46022</v>
      </c>
      <c r="E180" s="38" t="s">
        <v>804</v>
      </c>
      <c r="F180" s="36" t="s">
        <v>557</v>
      </c>
      <c r="G180" s="36" t="s">
        <v>581</v>
      </c>
      <c r="H180" s="39">
        <v>50</v>
      </c>
      <c r="I180" s="40">
        <v>53597.5</v>
      </c>
      <c r="J180" s="39">
        <v>30</v>
      </c>
      <c r="K180" s="40">
        <v>30357.599999999999</v>
      </c>
      <c r="L180" s="37" t="s">
        <v>578</v>
      </c>
      <c r="M180" s="41">
        <v>1011.92</v>
      </c>
      <c r="N180" s="42">
        <v>0</v>
      </c>
      <c r="O180" s="36">
        <v>30</v>
      </c>
      <c r="P180" s="41">
        <f t="shared" si="76"/>
        <v>30357.599999999999</v>
      </c>
      <c r="Q180" s="36">
        <v>30</v>
      </c>
      <c r="R180" s="43">
        <f t="shared" si="77"/>
        <v>0</v>
      </c>
      <c r="S180" s="43">
        <f t="shared" si="78"/>
        <v>0</v>
      </c>
      <c r="T180" s="41">
        <f t="shared" si="79"/>
        <v>0</v>
      </c>
      <c r="U180" s="44">
        <f>O180</f>
        <v>30</v>
      </c>
      <c r="V180" s="45">
        <f t="shared" si="80"/>
        <v>30357.599999999999</v>
      </c>
      <c r="W180" s="36">
        <v>30</v>
      </c>
      <c r="X180" s="86">
        <v>30357.599999999999</v>
      </c>
      <c r="Y180" s="199">
        <v>1535.82</v>
      </c>
      <c r="Z180" s="44">
        <v>30</v>
      </c>
      <c r="AA180" s="41">
        <f t="shared" si="60"/>
        <v>46074.6</v>
      </c>
      <c r="AB180" s="44">
        <v>0</v>
      </c>
      <c r="AC180" s="44">
        <f t="shared" si="70"/>
        <v>30</v>
      </c>
      <c r="AD180" s="44">
        <f t="shared" si="61"/>
        <v>60</v>
      </c>
      <c r="AE180" s="111">
        <f t="shared" si="62"/>
        <v>92149.2</v>
      </c>
      <c r="AF180" s="51" t="s">
        <v>578</v>
      </c>
      <c r="AG180" s="115"/>
      <c r="AH180" s="35">
        <v>0</v>
      </c>
      <c r="AI180" s="36">
        <v>0</v>
      </c>
      <c r="AJ180" s="36">
        <v>0</v>
      </c>
      <c r="AK180" s="36"/>
      <c r="AL180" s="36">
        <v>0</v>
      </c>
      <c r="AM180" s="36">
        <v>0</v>
      </c>
      <c r="AN180" s="46">
        <v>30</v>
      </c>
      <c r="AO180" s="100">
        <f t="shared" si="69"/>
        <v>30</v>
      </c>
      <c r="AP180" s="3">
        <f t="shared" si="63"/>
        <v>46074.6</v>
      </c>
    </row>
    <row r="181" spans="1:42" x14ac:dyDescent="0.2">
      <c r="A181" s="35" t="s">
        <v>26</v>
      </c>
      <c r="B181" s="37" t="s">
        <v>556</v>
      </c>
      <c r="C181" s="37" t="s">
        <v>571</v>
      </c>
      <c r="D181" s="52"/>
      <c r="E181" s="38" t="s">
        <v>770</v>
      </c>
      <c r="F181" s="36" t="s">
        <v>564</v>
      </c>
      <c r="G181" s="36" t="s">
        <v>564</v>
      </c>
      <c r="H181" s="39">
        <v>486</v>
      </c>
      <c r="I181" s="40">
        <v>48789.54</v>
      </c>
      <c r="J181" s="39">
        <v>1522</v>
      </c>
      <c r="K181" s="40">
        <v>152793.58000000002</v>
      </c>
      <c r="L181" s="37" t="s">
        <v>578</v>
      </c>
      <c r="M181" s="47">
        <v>100.39</v>
      </c>
      <c r="N181" s="48">
        <v>0</v>
      </c>
      <c r="O181" s="36">
        <v>683</v>
      </c>
      <c r="P181" s="47">
        <f t="shared" si="76"/>
        <v>68566.37</v>
      </c>
      <c r="Q181" s="36">
        <v>1208</v>
      </c>
      <c r="R181" s="43">
        <f t="shared" si="77"/>
        <v>-525</v>
      </c>
      <c r="S181" s="43">
        <f t="shared" si="78"/>
        <v>67</v>
      </c>
      <c r="T181" s="47">
        <f t="shared" si="79"/>
        <v>6726.13</v>
      </c>
      <c r="U181" s="44">
        <v>750</v>
      </c>
      <c r="V181" s="45">
        <f t="shared" si="80"/>
        <v>75292.5</v>
      </c>
      <c r="W181" s="36">
        <v>946</v>
      </c>
      <c r="X181" s="86">
        <v>94968.94</v>
      </c>
      <c r="Y181" s="199">
        <v>100.39</v>
      </c>
      <c r="Z181" s="44">
        <v>0</v>
      </c>
      <c r="AA181" s="41">
        <f t="shared" si="60"/>
        <v>0</v>
      </c>
      <c r="AB181" s="44">
        <v>0</v>
      </c>
      <c r="AC181" s="44">
        <f t="shared" si="70"/>
        <v>900</v>
      </c>
      <c r="AD181" s="44">
        <f t="shared" si="61"/>
        <v>900</v>
      </c>
      <c r="AE181" s="111">
        <f t="shared" si="62"/>
        <v>90351</v>
      </c>
      <c r="AF181" s="51" t="s">
        <v>578</v>
      </c>
      <c r="AG181" s="115"/>
      <c r="AH181" s="35">
        <v>0</v>
      </c>
      <c r="AI181" s="36">
        <v>0</v>
      </c>
      <c r="AJ181" s="36">
        <v>0</v>
      </c>
      <c r="AK181" s="36"/>
      <c r="AL181" s="36">
        <v>0</v>
      </c>
      <c r="AM181" s="36">
        <v>0</v>
      </c>
      <c r="AN181" s="46">
        <v>900</v>
      </c>
      <c r="AO181" s="100">
        <f t="shared" si="69"/>
        <v>900</v>
      </c>
      <c r="AP181" s="3">
        <f t="shared" si="63"/>
        <v>90351</v>
      </c>
    </row>
    <row r="182" spans="1:42" x14ac:dyDescent="0.2">
      <c r="A182" s="35" t="s">
        <v>473</v>
      </c>
      <c r="B182" s="37" t="s">
        <v>562</v>
      </c>
      <c r="C182" s="37" t="s">
        <v>571</v>
      </c>
      <c r="D182" s="52"/>
      <c r="E182" s="38" t="s">
        <v>800</v>
      </c>
      <c r="F182" s="36" t="s">
        <v>558</v>
      </c>
      <c r="G182" s="36" t="s">
        <v>584</v>
      </c>
      <c r="H182" s="39">
        <v>50</v>
      </c>
      <c r="I182" s="40">
        <v>30112</v>
      </c>
      <c r="J182" s="39">
        <v>0</v>
      </c>
      <c r="K182" s="40">
        <v>0</v>
      </c>
      <c r="L182" s="37" t="s">
        <v>571</v>
      </c>
      <c r="M182" s="41" t="e">
        <v>#DIV/0!</v>
      </c>
      <c r="N182" s="42">
        <v>0</v>
      </c>
      <c r="O182" s="36">
        <v>0</v>
      </c>
      <c r="P182" s="41" t="e">
        <f t="shared" si="76"/>
        <v>#DIV/0!</v>
      </c>
      <c r="Q182" s="36">
        <v>200</v>
      </c>
      <c r="R182" s="43">
        <f t="shared" si="77"/>
        <v>-200</v>
      </c>
      <c r="S182" s="43">
        <f t="shared" si="78"/>
        <v>50</v>
      </c>
      <c r="T182" s="41" t="e">
        <f t="shared" si="79"/>
        <v>#DIV/0!</v>
      </c>
      <c r="U182" s="44">
        <v>50</v>
      </c>
      <c r="V182" s="45" t="e">
        <f t="shared" si="80"/>
        <v>#DIV/0!</v>
      </c>
      <c r="W182" s="36">
        <v>0</v>
      </c>
      <c r="X182" s="86">
        <v>0</v>
      </c>
      <c r="Y182" s="199">
        <v>602.24</v>
      </c>
      <c r="Z182" s="44">
        <v>0</v>
      </c>
      <c r="AA182" s="41">
        <f t="shared" si="60"/>
        <v>0</v>
      </c>
      <c r="AB182" s="44">
        <v>0</v>
      </c>
      <c r="AC182" s="44">
        <f t="shared" si="70"/>
        <v>150</v>
      </c>
      <c r="AD182" s="44">
        <f t="shared" si="61"/>
        <v>150</v>
      </c>
      <c r="AE182" s="111">
        <f t="shared" si="62"/>
        <v>90336</v>
      </c>
      <c r="AF182" s="51" t="s">
        <v>571</v>
      </c>
      <c r="AG182" s="115" t="s">
        <v>1088</v>
      </c>
      <c r="AH182" s="35">
        <v>0</v>
      </c>
      <c r="AI182" s="36">
        <v>0</v>
      </c>
      <c r="AJ182" s="36">
        <v>0</v>
      </c>
      <c r="AK182" s="36"/>
      <c r="AL182" s="36">
        <v>150</v>
      </c>
      <c r="AM182" s="36">
        <v>0</v>
      </c>
      <c r="AN182" s="46">
        <v>0</v>
      </c>
      <c r="AO182" s="100">
        <f t="shared" si="69"/>
        <v>150</v>
      </c>
      <c r="AP182" s="3">
        <f t="shared" si="63"/>
        <v>90336</v>
      </c>
    </row>
    <row r="183" spans="1:42" x14ac:dyDescent="0.2">
      <c r="A183" s="35" t="s">
        <v>400</v>
      </c>
      <c r="B183" s="157" t="s">
        <v>556</v>
      </c>
      <c r="C183" s="37" t="s">
        <v>571</v>
      </c>
      <c r="D183" s="52"/>
      <c r="E183" s="38" t="s">
        <v>594</v>
      </c>
      <c r="F183" s="36" t="s">
        <v>555</v>
      </c>
      <c r="G183" s="36" t="s">
        <v>624</v>
      </c>
      <c r="H183" s="39">
        <v>88</v>
      </c>
      <c r="I183" s="40">
        <v>123743.20000000001</v>
      </c>
      <c r="J183" s="39">
        <v>34</v>
      </c>
      <c r="K183" s="40">
        <v>47834.600000000006</v>
      </c>
      <c r="L183" s="37" t="s">
        <v>571</v>
      </c>
      <c r="M183" s="41">
        <v>1538.2339622641509</v>
      </c>
      <c r="N183" s="42">
        <v>0</v>
      </c>
      <c r="O183" s="36">
        <v>51</v>
      </c>
      <c r="P183" s="41">
        <f t="shared" si="76"/>
        <v>78449.932075471705</v>
      </c>
      <c r="Q183" s="36">
        <v>65</v>
      </c>
      <c r="R183" s="43">
        <f t="shared" si="77"/>
        <v>-14</v>
      </c>
      <c r="S183" s="43">
        <f t="shared" si="78"/>
        <v>0</v>
      </c>
      <c r="T183" s="41">
        <f t="shared" si="79"/>
        <v>0</v>
      </c>
      <c r="U183" s="44">
        <f>O183</f>
        <v>51</v>
      </c>
      <c r="V183" s="45">
        <f t="shared" si="80"/>
        <v>78449.932075471705</v>
      </c>
      <c r="W183" s="36">
        <v>53</v>
      </c>
      <c r="X183" s="86">
        <v>81526.399999999994</v>
      </c>
      <c r="Y183" s="199">
        <v>1555</v>
      </c>
      <c r="Z183" s="44">
        <v>58</v>
      </c>
      <c r="AA183" s="41">
        <f t="shared" si="60"/>
        <v>90190</v>
      </c>
      <c r="AB183" s="44">
        <v>0</v>
      </c>
      <c r="AC183" s="44">
        <f t="shared" si="70"/>
        <v>0</v>
      </c>
      <c r="AD183" s="44">
        <f t="shared" si="61"/>
        <v>58</v>
      </c>
      <c r="AE183" s="111">
        <f t="shared" si="62"/>
        <v>90190</v>
      </c>
      <c r="AF183" s="51" t="s">
        <v>571</v>
      </c>
      <c r="AG183" s="115"/>
      <c r="AH183" s="35">
        <v>0</v>
      </c>
      <c r="AI183" s="36">
        <v>0</v>
      </c>
      <c r="AJ183" s="36">
        <v>0</v>
      </c>
      <c r="AK183" s="36"/>
      <c r="AL183" s="36">
        <v>0</v>
      </c>
      <c r="AM183" s="36">
        <v>0</v>
      </c>
      <c r="AN183" s="46">
        <v>0</v>
      </c>
      <c r="AO183" s="100">
        <f t="shared" si="69"/>
        <v>0</v>
      </c>
      <c r="AP183" s="3">
        <f t="shared" si="63"/>
        <v>0</v>
      </c>
    </row>
    <row r="184" spans="1:42" x14ac:dyDescent="0.2">
      <c r="A184" s="35" t="s">
        <v>393</v>
      </c>
      <c r="B184" s="156" t="s">
        <v>565</v>
      </c>
      <c r="C184" s="37" t="s">
        <v>578</v>
      </c>
      <c r="D184" s="52">
        <v>46387</v>
      </c>
      <c r="E184" s="38" t="s">
        <v>758</v>
      </c>
      <c r="F184" s="36" t="s">
        <v>555</v>
      </c>
      <c r="G184" s="36" t="s">
        <v>583</v>
      </c>
      <c r="H184" s="39">
        <v>0</v>
      </c>
      <c r="I184" s="40">
        <v>0</v>
      </c>
      <c r="J184" s="39">
        <v>0</v>
      </c>
      <c r="K184" s="40">
        <v>0</v>
      </c>
      <c r="L184" s="37" t="s">
        <v>578</v>
      </c>
      <c r="M184" s="41">
        <v>1425.36</v>
      </c>
      <c r="N184" s="42">
        <v>0</v>
      </c>
      <c r="O184" s="36">
        <v>63</v>
      </c>
      <c r="P184" s="41">
        <f t="shared" si="76"/>
        <v>89797.68</v>
      </c>
      <c r="Q184" s="36">
        <v>0</v>
      </c>
      <c r="R184" s="43">
        <f t="shared" si="77"/>
        <v>63</v>
      </c>
      <c r="S184" s="43">
        <f t="shared" si="78"/>
        <v>0</v>
      </c>
      <c r="T184" s="41">
        <f t="shared" si="79"/>
        <v>0</v>
      </c>
      <c r="U184" s="44">
        <f>O184</f>
        <v>63</v>
      </c>
      <c r="V184" s="45">
        <f t="shared" si="80"/>
        <v>89797.68</v>
      </c>
      <c r="W184" s="36">
        <v>63</v>
      </c>
      <c r="X184" s="86">
        <v>89797.68</v>
      </c>
      <c r="Y184" s="199">
        <v>1425.36</v>
      </c>
      <c r="Z184" s="44">
        <v>63</v>
      </c>
      <c r="AA184" s="41">
        <f t="shared" si="60"/>
        <v>89797.68</v>
      </c>
      <c r="AB184" s="44">
        <v>0</v>
      </c>
      <c r="AC184" s="44">
        <f t="shared" si="70"/>
        <v>0</v>
      </c>
      <c r="AD184" s="44">
        <f t="shared" si="61"/>
        <v>63</v>
      </c>
      <c r="AE184" s="111">
        <f t="shared" si="62"/>
        <v>89797.68</v>
      </c>
      <c r="AF184" s="51" t="s">
        <v>578</v>
      </c>
      <c r="AG184" s="115"/>
      <c r="AH184" s="35">
        <v>0</v>
      </c>
      <c r="AI184" s="36">
        <v>0</v>
      </c>
      <c r="AJ184" s="36">
        <v>0</v>
      </c>
      <c r="AK184" s="36"/>
      <c r="AL184" s="36">
        <v>0</v>
      </c>
      <c r="AM184" s="36">
        <v>0</v>
      </c>
      <c r="AN184" s="46">
        <v>0</v>
      </c>
      <c r="AO184" s="100">
        <f t="shared" si="69"/>
        <v>0</v>
      </c>
      <c r="AP184" s="3">
        <f t="shared" si="63"/>
        <v>0</v>
      </c>
    </row>
    <row r="185" spans="1:42" x14ac:dyDescent="0.2">
      <c r="A185" s="35" t="s">
        <v>318</v>
      </c>
      <c r="B185" s="37" t="s">
        <v>565</v>
      </c>
      <c r="C185" s="37" t="s">
        <v>578</v>
      </c>
      <c r="D185" s="52">
        <v>46387</v>
      </c>
      <c r="E185" s="38" t="s">
        <v>754</v>
      </c>
      <c r="F185" s="36" t="s">
        <v>557</v>
      </c>
      <c r="G185" s="36" t="s">
        <v>610</v>
      </c>
      <c r="H185" s="39">
        <v>319</v>
      </c>
      <c r="I185" s="40">
        <v>45916.24</v>
      </c>
      <c r="J185" s="39">
        <v>181</v>
      </c>
      <c r="K185" s="40">
        <v>26293.420000000002</v>
      </c>
      <c r="L185" s="37" t="s">
        <v>571</v>
      </c>
      <c r="M185" s="41">
        <v>180.19008403361346</v>
      </c>
      <c r="N185" s="42">
        <v>0</v>
      </c>
      <c r="O185" s="36">
        <v>301</v>
      </c>
      <c r="P185" s="41">
        <f t="shared" si="76"/>
        <v>54237.215294117654</v>
      </c>
      <c r="Q185" s="36">
        <v>99</v>
      </c>
      <c r="R185" s="43">
        <f t="shared" si="77"/>
        <v>202</v>
      </c>
      <c r="S185" s="43">
        <f t="shared" si="78"/>
        <v>0</v>
      </c>
      <c r="T185" s="41">
        <f t="shared" si="79"/>
        <v>0</v>
      </c>
      <c r="U185" s="44">
        <f>O185</f>
        <v>301</v>
      </c>
      <c r="V185" s="45">
        <f t="shared" si="80"/>
        <v>54237.215294117654</v>
      </c>
      <c r="W185" s="36">
        <v>238</v>
      </c>
      <c r="X185" s="86">
        <v>42885.240000000005</v>
      </c>
      <c r="Y185" s="199">
        <v>190.13</v>
      </c>
      <c r="Z185" s="44">
        <v>183</v>
      </c>
      <c r="AA185" s="41">
        <f t="shared" si="60"/>
        <v>34793.79</v>
      </c>
      <c r="AB185" s="44">
        <v>216</v>
      </c>
      <c r="AC185" s="44">
        <f t="shared" si="70"/>
        <v>289</v>
      </c>
      <c r="AD185" s="44">
        <f t="shared" si="61"/>
        <v>472</v>
      </c>
      <c r="AE185" s="111">
        <f t="shared" si="62"/>
        <v>89741.36</v>
      </c>
      <c r="AF185" s="51" t="s">
        <v>571</v>
      </c>
      <c r="AG185" s="115"/>
      <c r="AH185" s="35">
        <v>73</v>
      </c>
      <c r="AI185" s="36">
        <v>0</v>
      </c>
      <c r="AJ185" s="36">
        <v>0</v>
      </c>
      <c r="AK185" s="36"/>
      <c r="AL185" s="36">
        <v>0</v>
      </c>
      <c r="AM185" s="36">
        <v>0</v>
      </c>
      <c r="AN185" s="46">
        <v>0</v>
      </c>
      <c r="AO185" s="100">
        <f t="shared" si="69"/>
        <v>73</v>
      </c>
      <c r="AP185" s="3">
        <f t="shared" si="63"/>
        <v>54947.57</v>
      </c>
    </row>
    <row r="186" spans="1:42" x14ac:dyDescent="0.2">
      <c r="A186" s="35" t="s">
        <v>84</v>
      </c>
      <c r="B186" s="37" t="s">
        <v>556</v>
      </c>
      <c r="C186" s="37" t="s">
        <v>578</v>
      </c>
      <c r="D186" s="52">
        <v>46022</v>
      </c>
      <c r="E186" s="38" t="s">
        <v>753</v>
      </c>
      <c r="F186" s="36" t="s">
        <v>559</v>
      </c>
      <c r="G186" s="36" t="s">
        <v>596</v>
      </c>
      <c r="H186" s="39">
        <v>3745</v>
      </c>
      <c r="I186" s="40">
        <v>164418.09000000003</v>
      </c>
      <c r="J186" s="39">
        <v>3601</v>
      </c>
      <c r="K186" s="40">
        <v>153726.68999999997</v>
      </c>
      <c r="L186" s="37" t="s">
        <v>578</v>
      </c>
      <c r="M186" s="41">
        <v>61.016200493254033</v>
      </c>
      <c r="N186" s="42">
        <v>0</v>
      </c>
      <c r="O186" s="36">
        <v>9819</v>
      </c>
      <c r="P186" s="41">
        <f t="shared" si="76"/>
        <v>599118.0726432614</v>
      </c>
      <c r="Q186" s="36">
        <v>4000</v>
      </c>
      <c r="R186" s="43">
        <f t="shared" si="77"/>
        <v>5819</v>
      </c>
      <c r="S186" s="43">
        <f t="shared" si="78"/>
        <v>-2319</v>
      </c>
      <c r="T186" s="41">
        <f t="shared" si="79"/>
        <v>-141496.56894385611</v>
      </c>
      <c r="U186" s="44">
        <v>7500</v>
      </c>
      <c r="V186" s="45">
        <f t="shared" si="80"/>
        <v>457621.50369940524</v>
      </c>
      <c r="W186" s="36">
        <v>6893</v>
      </c>
      <c r="X186" s="86">
        <v>420584.67000000004</v>
      </c>
      <c r="Y186" s="199">
        <v>80.39</v>
      </c>
      <c r="Z186" s="44">
        <v>840</v>
      </c>
      <c r="AA186" s="41">
        <f t="shared" si="60"/>
        <v>67527.600000000006</v>
      </c>
      <c r="AB186" s="44">
        <v>0</v>
      </c>
      <c r="AC186" s="44">
        <f t="shared" si="70"/>
        <v>274</v>
      </c>
      <c r="AD186" s="44">
        <f t="shared" si="61"/>
        <v>1114</v>
      </c>
      <c r="AE186" s="111">
        <f t="shared" si="62"/>
        <v>89554.46</v>
      </c>
      <c r="AF186" s="51" t="s">
        <v>578</v>
      </c>
      <c r="AG186" s="115"/>
      <c r="AH186" s="35">
        <v>274</v>
      </c>
      <c r="AI186" s="36">
        <v>0</v>
      </c>
      <c r="AJ186" s="36">
        <v>0</v>
      </c>
      <c r="AK186" s="36"/>
      <c r="AL186" s="36">
        <v>0</v>
      </c>
      <c r="AM186" s="36">
        <v>0</v>
      </c>
      <c r="AN186" s="46">
        <v>0</v>
      </c>
      <c r="AO186" s="100">
        <f t="shared" si="69"/>
        <v>274</v>
      </c>
      <c r="AP186" s="3">
        <f t="shared" si="63"/>
        <v>22026.86</v>
      </c>
    </row>
    <row r="187" spans="1:42" x14ac:dyDescent="0.2">
      <c r="A187" s="35" t="s">
        <v>78</v>
      </c>
      <c r="B187" s="37" t="s">
        <v>556</v>
      </c>
      <c r="C187" s="37" t="s">
        <v>578</v>
      </c>
      <c r="D187" s="52">
        <v>46387</v>
      </c>
      <c r="E187" s="38" t="s">
        <v>754</v>
      </c>
      <c r="F187" s="36" t="s">
        <v>559</v>
      </c>
      <c r="G187" s="36" t="s">
        <v>598</v>
      </c>
      <c r="H187" s="39">
        <v>3132</v>
      </c>
      <c r="I187" s="40">
        <v>144676.32</v>
      </c>
      <c r="J187" s="39">
        <v>2278</v>
      </c>
      <c r="K187" s="40">
        <v>110939.28</v>
      </c>
      <c r="L187" s="37" t="s">
        <v>578</v>
      </c>
      <c r="M187" s="41">
        <v>44.760000000000005</v>
      </c>
      <c r="N187" s="42">
        <v>0</v>
      </c>
      <c r="O187" s="36">
        <v>4635</v>
      </c>
      <c r="P187" s="41">
        <f t="shared" si="76"/>
        <v>207462.60000000003</v>
      </c>
      <c r="Q187" s="36">
        <v>491</v>
      </c>
      <c r="R187" s="43">
        <f t="shared" si="77"/>
        <v>4144</v>
      </c>
      <c r="S187" s="43">
        <f t="shared" si="78"/>
        <v>0</v>
      </c>
      <c r="T187" s="41">
        <f t="shared" si="79"/>
        <v>0</v>
      </c>
      <c r="U187" s="44">
        <f>O187</f>
        <v>4635</v>
      </c>
      <c r="V187" s="45">
        <f t="shared" si="80"/>
        <v>207462.60000000003</v>
      </c>
      <c r="W187" s="36">
        <v>4635</v>
      </c>
      <c r="X187" s="86">
        <v>207462.60000000003</v>
      </c>
      <c r="Y187" s="199">
        <v>44.76</v>
      </c>
      <c r="Z187" s="44">
        <v>0</v>
      </c>
      <c r="AA187" s="41">
        <f t="shared" si="60"/>
        <v>0</v>
      </c>
      <c r="AB187" s="44">
        <v>0</v>
      </c>
      <c r="AC187" s="44">
        <f t="shared" si="70"/>
        <v>1948</v>
      </c>
      <c r="AD187" s="44">
        <f t="shared" si="61"/>
        <v>1948</v>
      </c>
      <c r="AE187" s="111">
        <f t="shared" si="62"/>
        <v>87192.48</v>
      </c>
      <c r="AF187" s="51" t="s">
        <v>578</v>
      </c>
      <c r="AG187" s="115"/>
      <c r="AH187" s="35">
        <v>1948</v>
      </c>
      <c r="AI187" s="36">
        <v>0</v>
      </c>
      <c r="AJ187" s="36">
        <v>0</v>
      </c>
      <c r="AK187" s="36"/>
      <c r="AL187" s="36">
        <v>0</v>
      </c>
      <c r="AM187" s="36">
        <v>0</v>
      </c>
      <c r="AN187" s="46">
        <v>0</v>
      </c>
      <c r="AO187" s="100">
        <f t="shared" si="69"/>
        <v>1948</v>
      </c>
      <c r="AP187" s="3">
        <f t="shared" si="63"/>
        <v>87192.48</v>
      </c>
    </row>
    <row r="188" spans="1:42" x14ac:dyDescent="0.2">
      <c r="A188" s="35" t="s">
        <v>1096</v>
      </c>
      <c r="B188" s="37" t="s">
        <v>565</v>
      </c>
      <c r="C188" s="37" t="s">
        <v>571</v>
      </c>
      <c r="D188" s="52"/>
      <c r="E188" s="38" t="s">
        <v>806</v>
      </c>
      <c r="F188" s="36" t="s">
        <v>563</v>
      </c>
      <c r="G188" s="36"/>
      <c r="H188" s="39"/>
      <c r="I188" s="40"/>
      <c r="J188" s="39"/>
      <c r="K188" s="40"/>
      <c r="L188" s="51"/>
      <c r="M188" s="41"/>
      <c r="N188" s="41"/>
      <c r="O188" s="36"/>
      <c r="P188" s="41"/>
      <c r="Q188" s="36"/>
      <c r="R188" s="43"/>
      <c r="S188" s="43"/>
      <c r="T188" s="41"/>
      <c r="U188" s="44"/>
      <c r="V188" s="45"/>
      <c r="W188" s="36"/>
      <c r="X188" s="86"/>
      <c r="Y188" s="199">
        <v>1667</v>
      </c>
      <c r="Z188" s="44">
        <v>50</v>
      </c>
      <c r="AA188" s="41">
        <f t="shared" si="60"/>
        <v>83350</v>
      </c>
      <c r="AB188" s="44">
        <v>0</v>
      </c>
      <c r="AC188" s="44">
        <f t="shared" si="70"/>
        <v>0</v>
      </c>
      <c r="AD188" s="44">
        <f t="shared" si="61"/>
        <v>50</v>
      </c>
      <c r="AE188" s="111">
        <f t="shared" si="62"/>
        <v>83350</v>
      </c>
      <c r="AF188" s="51" t="s">
        <v>571</v>
      </c>
      <c r="AG188" s="115"/>
      <c r="AH188" s="35">
        <v>0</v>
      </c>
      <c r="AI188" s="36"/>
      <c r="AJ188" s="36"/>
      <c r="AK188" s="36"/>
      <c r="AL188" s="36"/>
      <c r="AM188" s="36"/>
      <c r="AN188" s="46"/>
      <c r="AO188" s="100"/>
      <c r="AP188" s="3">
        <f t="shared" si="63"/>
        <v>0</v>
      </c>
    </row>
    <row r="189" spans="1:42" x14ac:dyDescent="0.2">
      <c r="A189" s="35" t="s">
        <v>704</v>
      </c>
      <c r="B189" s="37" t="s">
        <v>565</v>
      </c>
      <c r="C189" s="37" t="s">
        <v>571</v>
      </c>
      <c r="D189" s="52"/>
      <c r="E189" s="38" t="s">
        <v>625</v>
      </c>
      <c r="F189" s="36" t="s">
        <v>563</v>
      </c>
      <c r="G189" s="36" t="s">
        <v>625</v>
      </c>
      <c r="H189" s="39">
        <v>250</v>
      </c>
      <c r="I189" s="40">
        <v>50860</v>
      </c>
      <c r="J189" s="39">
        <v>294</v>
      </c>
      <c r="K189" s="40">
        <v>83844.72</v>
      </c>
      <c r="L189" s="37" t="s">
        <v>571</v>
      </c>
      <c r="M189" s="47">
        <v>279.57636363636362</v>
      </c>
      <c r="N189" s="48">
        <v>0</v>
      </c>
      <c r="O189" s="36">
        <v>550</v>
      </c>
      <c r="P189" s="47">
        <f>(N189+O189)*M189</f>
        <v>153767</v>
      </c>
      <c r="Q189" s="36">
        <v>0</v>
      </c>
      <c r="R189" s="43">
        <f>O189-Q189</f>
        <v>550</v>
      </c>
      <c r="S189" s="43">
        <f>U189-O189</f>
        <v>0</v>
      </c>
      <c r="T189" s="47">
        <f>S189*M189</f>
        <v>0</v>
      </c>
      <c r="U189" s="44">
        <f>O189</f>
        <v>550</v>
      </c>
      <c r="V189" s="45">
        <f>U189*M189</f>
        <v>153767</v>
      </c>
      <c r="W189" s="36">
        <v>550</v>
      </c>
      <c r="X189" s="86">
        <v>153767</v>
      </c>
      <c r="Y189" s="199">
        <v>275</v>
      </c>
      <c r="Z189" s="44">
        <v>0</v>
      </c>
      <c r="AA189" s="41">
        <f t="shared" si="60"/>
        <v>0</v>
      </c>
      <c r="AB189" s="44">
        <v>0</v>
      </c>
      <c r="AC189" s="44">
        <f t="shared" si="70"/>
        <v>300</v>
      </c>
      <c r="AD189" s="44">
        <f t="shared" si="61"/>
        <v>300</v>
      </c>
      <c r="AE189" s="111">
        <f t="shared" si="62"/>
        <v>82500</v>
      </c>
      <c r="AF189" s="51" t="s">
        <v>571</v>
      </c>
      <c r="AG189" s="115"/>
      <c r="AH189" s="35">
        <v>0</v>
      </c>
      <c r="AI189" s="36">
        <v>0</v>
      </c>
      <c r="AJ189" s="36">
        <v>0</v>
      </c>
      <c r="AK189" s="50">
        <v>300</v>
      </c>
      <c r="AL189" s="36">
        <v>0</v>
      </c>
      <c r="AM189" s="36">
        <v>0</v>
      </c>
      <c r="AN189" s="46">
        <v>0</v>
      </c>
      <c r="AO189" s="100">
        <f t="shared" ref="AO189:AO202" si="81">SUM(AH189:AN189)</f>
        <v>300</v>
      </c>
      <c r="AP189" s="3">
        <f t="shared" si="63"/>
        <v>82500</v>
      </c>
    </row>
    <row r="190" spans="1:42" x14ac:dyDescent="0.2">
      <c r="A190" s="35" t="s">
        <v>265</v>
      </c>
      <c r="B190" s="37" t="s">
        <v>562</v>
      </c>
      <c r="C190" s="37" t="s">
        <v>571</v>
      </c>
      <c r="D190" s="52">
        <v>46752</v>
      </c>
      <c r="E190" s="38" t="s">
        <v>771</v>
      </c>
      <c r="F190" s="36" t="s">
        <v>563</v>
      </c>
      <c r="G190" s="36" t="s">
        <v>642</v>
      </c>
      <c r="H190" s="39">
        <v>100</v>
      </c>
      <c r="I190" s="40">
        <v>28835</v>
      </c>
      <c r="J190" s="39">
        <v>100</v>
      </c>
      <c r="K190" s="40">
        <v>28835</v>
      </c>
      <c r="L190" s="37" t="s">
        <v>571</v>
      </c>
      <c r="M190" s="47">
        <v>331.59999999999997</v>
      </c>
      <c r="N190" s="48">
        <v>0</v>
      </c>
      <c r="O190" s="36">
        <v>141</v>
      </c>
      <c r="P190" s="47">
        <f>(N190+O190)*M190</f>
        <v>46755.6</v>
      </c>
      <c r="Q190" s="36">
        <v>100</v>
      </c>
      <c r="R190" s="43">
        <f>O190-Q190</f>
        <v>41</v>
      </c>
      <c r="S190" s="43">
        <f>U190-O190</f>
        <v>0</v>
      </c>
      <c r="T190" s="47">
        <f>S190*M190</f>
        <v>0</v>
      </c>
      <c r="U190" s="44">
        <f>O190</f>
        <v>141</v>
      </c>
      <c r="V190" s="45">
        <f>U190*M190</f>
        <v>46755.6</v>
      </c>
      <c r="W190" s="36">
        <v>209</v>
      </c>
      <c r="X190" s="86">
        <v>69304.399999999994</v>
      </c>
      <c r="Y190" s="199">
        <v>397.92</v>
      </c>
      <c r="Z190" s="44">
        <v>204</v>
      </c>
      <c r="AA190" s="41">
        <f t="shared" si="60"/>
        <v>81175.680000000008</v>
      </c>
      <c r="AB190" s="44">
        <v>0</v>
      </c>
      <c r="AC190" s="44">
        <f t="shared" si="70"/>
        <v>0</v>
      </c>
      <c r="AD190" s="44">
        <f t="shared" si="61"/>
        <v>204</v>
      </c>
      <c r="AE190" s="111">
        <f t="shared" si="62"/>
        <v>81175.680000000008</v>
      </c>
      <c r="AF190" s="51" t="s">
        <v>571</v>
      </c>
      <c r="AG190" s="115"/>
      <c r="AH190" s="35">
        <v>0</v>
      </c>
      <c r="AI190" s="36">
        <v>0</v>
      </c>
      <c r="AJ190" s="36">
        <v>0</v>
      </c>
      <c r="AK190" s="36"/>
      <c r="AL190" s="36">
        <v>0</v>
      </c>
      <c r="AM190" s="36">
        <v>0</v>
      </c>
      <c r="AN190" s="46">
        <v>0</v>
      </c>
      <c r="AO190" s="100">
        <f t="shared" si="81"/>
        <v>0</v>
      </c>
      <c r="AP190" s="3">
        <f t="shared" si="63"/>
        <v>0</v>
      </c>
    </row>
    <row r="191" spans="1:42" x14ac:dyDescent="0.2">
      <c r="A191" s="35" t="s">
        <v>517</v>
      </c>
      <c r="B191" s="37" t="s">
        <v>556</v>
      </c>
      <c r="C191" s="37" t="s">
        <v>571</v>
      </c>
      <c r="D191" s="52"/>
      <c r="E191" s="38" t="s">
        <v>798</v>
      </c>
      <c r="F191" s="36" t="s">
        <v>920</v>
      </c>
      <c r="G191" s="36" t="s">
        <v>920</v>
      </c>
      <c r="H191" s="39">
        <v>120</v>
      </c>
      <c r="I191" s="40">
        <v>85509.6</v>
      </c>
      <c r="J191" s="39">
        <v>0</v>
      </c>
      <c r="K191" s="40">
        <v>0</v>
      </c>
      <c r="L191" s="37" t="s">
        <v>571</v>
      </c>
      <c r="M191" s="47" t="e">
        <v>#DIV/0!</v>
      </c>
      <c r="N191" s="48">
        <v>0</v>
      </c>
      <c r="O191" s="36">
        <v>0</v>
      </c>
      <c r="P191" s="47" t="e">
        <f>(N191+O191)*M191</f>
        <v>#DIV/0!</v>
      </c>
      <c r="Q191" s="36">
        <v>50</v>
      </c>
      <c r="R191" s="43">
        <f>O191-Q191</f>
        <v>-50</v>
      </c>
      <c r="S191" s="43">
        <f>U191-O191</f>
        <v>20</v>
      </c>
      <c r="T191" s="47" t="e">
        <f>S191*M191</f>
        <v>#DIV/0!</v>
      </c>
      <c r="U191" s="44">
        <v>20</v>
      </c>
      <c r="V191" s="45" t="e">
        <f>U191*M191</f>
        <v>#DIV/0!</v>
      </c>
      <c r="W191" s="36">
        <v>0</v>
      </c>
      <c r="X191" s="86">
        <v>0</v>
      </c>
      <c r="Y191" s="199">
        <v>807.44</v>
      </c>
      <c r="Z191" s="44">
        <v>0</v>
      </c>
      <c r="AA191" s="41">
        <f t="shared" si="60"/>
        <v>0</v>
      </c>
      <c r="AB191" s="44">
        <v>0</v>
      </c>
      <c r="AC191" s="44">
        <f t="shared" ref="AC191:AC222" si="82">AB191+AO191</f>
        <v>100</v>
      </c>
      <c r="AD191" s="44">
        <f t="shared" si="61"/>
        <v>100</v>
      </c>
      <c r="AE191" s="111">
        <f t="shared" si="62"/>
        <v>80744</v>
      </c>
      <c r="AF191" s="51" t="s">
        <v>571</v>
      </c>
      <c r="AG191" s="115"/>
      <c r="AH191" s="35">
        <v>0</v>
      </c>
      <c r="AI191" s="36">
        <v>0</v>
      </c>
      <c r="AJ191" s="36">
        <v>0</v>
      </c>
      <c r="AK191" s="36"/>
      <c r="AL191" s="36">
        <v>0</v>
      </c>
      <c r="AM191" s="36">
        <v>0</v>
      </c>
      <c r="AN191" s="46">
        <v>100</v>
      </c>
      <c r="AO191" s="100">
        <f t="shared" si="81"/>
        <v>100</v>
      </c>
      <c r="AP191" s="3">
        <f t="shared" si="63"/>
        <v>80744</v>
      </c>
    </row>
    <row r="192" spans="1:42" x14ac:dyDescent="0.2">
      <c r="A192" s="35" t="s">
        <v>375</v>
      </c>
      <c r="B192" s="37" t="s">
        <v>562</v>
      </c>
      <c r="C192" s="37" t="s">
        <v>571</v>
      </c>
      <c r="D192" s="52"/>
      <c r="E192" s="38" t="s">
        <v>819</v>
      </c>
      <c r="F192" s="36" t="s">
        <v>558</v>
      </c>
      <c r="G192" s="36" t="s">
        <v>582</v>
      </c>
      <c r="H192" s="39">
        <v>50</v>
      </c>
      <c r="I192" s="40">
        <v>43852</v>
      </c>
      <c r="J192" s="39">
        <v>0</v>
      </c>
      <c r="K192" s="40">
        <v>0</v>
      </c>
      <c r="L192" s="37" t="s">
        <v>571</v>
      </c>
      <c r="M192" s="41">
        <v>938.5899999999998</v>
      </c>
      <c r="N192" s="42">
        <v>0</v>
      </c>
      <c r="O192" s="36">
        <v>50</v>
      </c>
      <c r="P192" s="41">
        <f>(N192+O192)*M192</f>
        <v>46929.499999999993</v>
      </c>
      <c r="Q192" s="36">
        <v>100</v>
      </c>
      <c r="R192" s="43">
        <f>O192-Q192</f>
        <v>-50</v>
      </c>
      <c r="S192" s="43">
        <f>U192-O192</f>
        <v>50</v>
      </c>
      <c r="T192" s="41">
        <f>S192*M192</f>
        <v>46929.499999999993</v>
      </c>
      <c r="U192" s="44">
        <v>100</v>
      </c>
      <c r="V192" s="45">
        <f>U192*M192</f>
        <v>93858.999999999985</v>
      </c>
      <c r="W192" s="36">
        <v>100</v>
      </c>
      <c r="X192" s="86">
        <v>93858.999999999985</v>
      </c>
      <c r="Y192" s="199">
        <v>1120.6400000000001</v>
      </c>
      <c r="Z192" s="44">
        <v>20</v>
      </c>
      <c r="AA192" s="41">
        <f t="shared" si="60"/>
        <v>22412.800000000003</v>
      </c>
      <c r="AB192" s="44">
        <v>0</v>
      </c>
      <c r="AC192" s="44">
        <f t="shared" si="82"/>
        <v>50</v>
      </c>
      <c r="AD192" s="44">
        <f t="shared" si="61"/>
        <v>70</v>
      </c>
      <c r="AE192" s="111">
        <f t="shared" si="62"/>
        <v>78444.800000000003</v>
      </c>
      <c r="AF192" s="51" t="s">
        <v>571</v>
      </c>
      <c r="AG192" s="115" t="s">
        <v>1048</v>
      </c>
      <c r="AH192" s="35">
        <v>0</v>
      </c>
      <c r="AI192" s="36">
        <v>0</v>
      </c>
      <c r="AJ192" s="36">
        <v>0</v>
      </c>
      <c r="AK192" s="36"/>
      <c r="AL192" s="36">
        <v>50</v>
      </c>
      <c r="AM192" s="36">
        <v>0</v>
      </c>
      <c r="AN192" s="46">
        <v>0</v>
      </c>
      <c r="AO192" s="100">
        <f t="shared" si="81"/>
        <v>50</v>
      </c>
      <c r="AP192" s="3">
        <f t="shared" si="63"/>
        <v>56032.000000000007</v>
      </c>
    </row>
    <row r="193" spans="1:42" x14ac:dyDescent="0.2">
      <c r="A193" s="35" t="s">
        <v>36</v>
      </c>
      <c r="B193" s="37" t="s">
        <v>556</v>
      </c>
      <c r="C193" s="37" t="s">
        <v>571</v>
      </c>
      <c r="D193" s="52"/>
      <c r="E193" s="38" t="s">
        <v>798</v>
      </c>
      <c r="F193" s="36" t="s">
        <v>561</v>
      </c>
      <c r="G193" s="36" t="s">
        <v>920</v>
      </c>
      <c r="H193" s="39">
        <v>0</v>
      </c>
      <c r="I193" s="40">
        <v>0</v>
      </c>
      <c r="J193" s="39">
        <v>124</v>
      </c>
      <c r="K193" s="40">
        <v>128433</v>
      </c>
      <c r="L193" s="37" t="s">
        <v>571</v>
      </c>
      <c r="M193" s="47">
        <v>781.32</v>
      </c>
      <c r="N193" s="48">
        <v>0</v>
      </c>
      <c r="O193" s="36">
        <v>25</v>
      </c>
      <c r="P193" s="47">
        <f>(N193+O193)*M193</f>
        <v>19533</v>
      </c>
      <c r="Q193" s="36">
        <v>75</v>
      </c>
      <c r="R193" s="43">
        <f>O193-Q193</f>
        <v>-50</v>
      </c>
      <c r="S193" s="43">
        <f>U193-O193</f>
        <v>25</v>
      </c>
      <c r="T193" s="47">
        <f>S193*M193</f>
        <v>19533</v>
      </c>
      <c r="U193" s="44">
        <v>50</v>
      </c>
      <c r="V193" s="45">
        <f>U193*M193</f>
        <v>39066</v>
      </c>
      <c r="W193" s="36">
        <v>50</v>
      </c>
      <c r="X193" s="86">
        <v>39066</v>
      </c>
      <c r="Y193" s="199">
        <v>781.32</v>
      </c>
      <c r="Z193" s="44">
        <v>0</v>
      </c>
      <c r="AA193" s="41">
        <f t="shared" si="60"/>
        <v>0</v>
      </c>
      <c r="AB193" s="44">
        <v>0</v>
      </c>
      <c r="AC193" s="44">
        <f t="shared" si="82"/>
        <v>100</v>
      </c>
      <c r="AD193" s="44">
        <f t="shared" si="61"/>
        <v>100</v>
      </c>
      <c r="AE193" s="111">
        <f t="shared" si="62"/>
        <v>78132</v>
      </c>
      <c r="AF193" s="51" t="s">
        <v>571</v>
      </c>
      <c r="AG193" s="115"/>
      <c r="AH193" s="35">
        <v>0</v>
      </c>
      <c r="AI193" s="36">
        <v>0</v>
      </c>
      <c r="AJ193" s="36">
        <v>0</v>
      </c>
      <c r="AK193" s="36"/>
      <c r="AL193" s="36">
        <v>0</v>
      </c>
      <c r="AM193" s="36">
        <v>0</v>
      </c>
      <c r="AN193" s="46">
        <v>100</v>
      </c>
      <c r="AO193" s="100">
        <f t="shared" si="81"/>
        <v>100</v>
      </c>
      <c r="AP193" s="3">
        <f t="shared" si="63"/>
        <v>78132</v>
      </c>
    </row>
    <row r="194" spans="1:42" x14ac:dyDescent="0.2">
      <c r="A194" s="49" t="s">
        <v>938</v>
      </c>
      <c r="B194" s="37" t="s">
        <v>554</v>
      </c>
      <c r="C194" s="37" t="s">
        <v>571</v>
      </c>
      <c r="D194" s="52"/>
      <c r="E194" s="38" t="s">
        <v>1007</v>
      </c>
      <c r="F194" s="36" t="s">
        <v>563</v>
      </c>
      <c r="G194" s="36" t="s">
        <v>688</v>
      </c>
      <c r="H194" s="39"/>
      <c r="I194" s="40"/>
      <c r="J194" s="39"/>
      <c r="K194" s="40"/>
      <c r="L194" s="37"/>
      <c r="M194" s="41"/>
      <c r="N194" s="36"/>
      <c r="O194" s="41"/>
      <c r="P194" s="36"/>
      <c r="Q194" s="43"/>
      <c r="R194" s="43"/>
      <c r="S194" s="41"/>
      <c r="T194" s="44"/>
      <c r="U194" s="45"/>
      <c r="V194" s="36"/>
      <c r="W194" s="45"/>
      <c r="X194" s="46"/>
      <c r="Y194" s="199">
        <v>192.5</v>
      </c>
      <c r="Z194" s="44">
        <v>200</v>
      </c>
      <c r="AA194" s="41">
        <f t="shared" ref="AA194:AA257" si="83">Z194*Y194</f>
        <v>38500</v>
      </c>
      <c r="AB194" s="44">
        <v>0</v>
      </c>
      <c r="AC194" s="44">
        <f t="shared" si="82"/>
        <v>200</v>
      </c>
      <c r="AD194" s="44">
        <f t="shared" ref="AD194:AD257" si="84">AC194+Z194</f>
        <v>400</v>
      </c>
      <c r="AE194" s="111">
        <f t="shared" ref="AE194:AE257" si="85">AD194*Y194</f>
        <v>77000</v>
      </c>
      <c r="AF194" s="51" t="s">
        <v>571</v>
      </c>
      <c r="AG194" s="115" t="s">
        <v>1047</v>
      </c>
      <c r="AH194" s="35">
        <v>0</v>
      </c>
      <c r="AI194" s="36">
        <v>0</v>
      </c>
      <c r="AJ194" s="36">
        <v>0</v>
      </c>
      <c r="AK194" s="36"/>
      <c r="AL194" s="36">
        <v>200</v>
      </c>
      <c r="AM194" s="36">
        <v>0</v>
      </c>
      <c r="AN194" s="46">
        <v>0</v>
      </c>
      <c r="AO194" s="100">
        <f t="shared" si="81"/>
        <v>200</v>
      </c>
      <c r="AP194" s="3">
        <f t="shared" ref="AP194:AP257" si="86">AC194*Y194</f>
        <v>38500</v>
      </c>
    </row>
    <row r="195" spans="1:42" x14ac:dyDescent="0.2">
      <c r="A195" s="49" t="s">
        <v>939</v>
      </c>
      <c r="B195" s="37" t="s">
        <v>554</v>
      </c>
      <c r="C195" s="37" t="s">
        <v>571</v>
      </c>
      <c r="D195" s="52"/>
      <c r="E195" s="38" t="s">
        <v>1007</v>
      </c>
      <c r="F195" s="36" t="s">
        <v>563</v>
      </c>
      <c r="G195" s="36" t="s">
        <v>688</v>
      </c>
      <c r="H195" s="39"/>
      <c r="I195" s="40"/>
      <c r="J195" s="39"/>
      <c r="K195" s="40"/>
      <c r="L195" s="37"/>
      <c r="M195" s="41"/>
      <c r="N195" s="36"/>
      <c r="O195" s="41"/>
      <c r="P195" s="36"/>
      <c r="Q195" s="43"/>
      <c r="R195" s="43"/>
      <c r="S195" s="41"/>
      <c r="T195" s="44"/>
      <c r="U195" s="45"/>
      <c r="V195" s="36"/>
      <c r="W195" s="45"/>
      <c r="X195" s="46"/>
      <c r="Y195" s="199">
        <v>192.5</v>
      </c>
      <c r="Z195" s="44">
        <v>200</v>
      </c>
      <c r="AA195" s="41">
        <f t="shared" si="83"/>
        <v>38500</v>
      </c>
      <c r="AB195" s="44">
        <v>0</v>
      </c>
      <c r="AC195" s="44">
        <f t="shared" si="82"/>
        <v>200</v>
      </c>
      <c r="AD195" s="44">
        <f t="shared" si="84"/>
        <v>400</v>
      </c>
      <c r="AE195" s="111">
        <f t="shared" si="85"/>
        <v>77000</v>
      </c>
      <c r="AF195" s="51" t="s">
        <v>571</v>
      </c>
      <c r="AG195" s="115" t="s">
        <v>1047</v>
      </c>
      <c r="AH195" s="35">
        <v>0</v>
      </c>
      <c r="AI195" s="36">
        <v>0</v>
      </c>
      <c r="AJ195" s="36">
        <v>0</v>
      </c>
      <c r="AK195" s="36"/>
      <c r="AL195" s="36">
        <v>200</v>
      </c>
      <c r="AM195" s="36">
        <v>0</v>
      </c>
      <c r="AN195" s="46">
        <v>0</v>
      </c>
      <c r="AO195" s="100">
        <f t="shared" si="81"/>
        <v>200</v>
      </c>
      <c r="AP195" s="3">
        <f t="shared" si="86"/>
        <v>38500</v>
      </c>
    </row>
    <row r="196" spans="1:42" x14ac:dyDescent="0.2">
      <c r="A196" s="35" t="s">
        <v>428</v>
      </c>
      <c r="B196" s="37" t="s">
        <v>565</v>
      </c>
      <c r="C196" s="37" t="s">
        <v>571</v>
      </c>
      <c r="D196" s="52"/>
      <c r="E196" s="38" t="s">
        <v>594</v>
      </c>
      <c r="F196" s="36" t="s">
        <v>555</v>
      </c>
      <c r="G196" s="36" t="s">
        <v>624</v>
      </c>
      <c r="H196" s="39">
        <v>45</v>
      </c>
      <c r="I196" s="40">
        <v>33750</v>
      </c>
      <c r="J196" s="39">
        <v>2</v>
      </c>
      <c r="K196" s="40">
        <v>1583.82</v>
      </c>
      <c r="L196" s="37" t="s">
        <v>571</v>
      </c>
      <c r="M196" s="41">
        <v>765.97458563535906</v>
      </c>
      <c r="N196" s="42">
        <v>0</v>
      </c>
      <c r="O196" s="36">
        <v>52</v>
      </c>
      <c r="P196" s="41">
        <f>(N196+O196)*M196</f>
        <v>39830.678453038672</v>
      </c>
      <c r="Q196" s="36">
        <v>50</v>
      </c>
      <c r="R196" s="43">
        <f>O196-Q196</f>
        <v>2</v>
      </c>
      <c r="S196" s="43">
        <f>U196-O196</f>
        <v>0</v>
      </c>
      <c r="T196" s="41">
        <f>S196*M196</f>
        <v>0</v>
      </c>
      <c r="U196" s="44">
        <f>O196</f>
        <v>52</v>
      </c>
      <c r="V196" s="45">
        <f>U196*M196</f>
        <v>39830.678453038672</v>
      </c>
      <c r="W196" s="36">
        <v>181</v>
      </c>
      <c r="X196" s="86">
        <v>138641.4</v>
      </c>
      <c r="Y196" s="199">
        <v>755.52</v>
      </c>
      <c r="Z196" s="44">
        <v>0</v>
      </c>
      <c r="AA196" s="41">
        <f t="shared" si="83"/>
        <v>0</v>
      </c>
      <c r="AB196" s="44">
        <v>0</v>
      </c>
      <c r="AC196" s="44">
        <f t="shared" si="82"/>
        <v>100</v>
      </c>
      <c r="AD196" s="44">
        <f t="shared" si="84"/>
        <v>100</v>
      </c>
      <c r="AE196" s="111">
        <f t="shared" si="85"/>
        <v>75552</v>
      </c>
      <c r="AF196" s="51" t="s">
        <v>571</v>
      </c>
      <c r="AG196" s="115"/>
      <c r="AH196" s="35">
        <v>0</v>
      </c>
      <c r="AI196" s="36">
        <v>100</v>
      </c>
      <c r="AJ196" s="36">
        <v>0</v>
      </c>
      <c r="AK196" s="36"/>
      <c r="AL196" s="36">
        <v>0</v>
      </c>
      <c r="AM196" s="36">
        <v>0</v>
      </c>
      <c r="AN196" s="46">
        <v>0</v>
      </c>
      <c r="AO196" s="100">
        <f t="shared" si="81"/>
        <v>100</v>
      </c>
      <c r="AP196" s="3">
        <f t="shared" si="86"/>
        <v>75552</v>
      </c>
    </row>
    <row r="197" spans="1:42" x14ac:dyDescent="0.2">
      <c r="A197" s="35" t="s">
        <v>88</v>
      </c>
      <c r="B197" s="37" t="s">
        <v>556</v>
      </c>
      <c r="C197" s="37" t="s">
        <v>578</v>
      </c>
      <c r="D197" s="52">
        <v>46387</v>
      </c>
      <c r="E197" s="38" t="s">
        <v>754</v>
      </c>
      <c r="F197" s="36" t="s">
        <v>559</v>
      </c>
      <c r="G197" s="36" t="s">
        <v>613</v>
      </c>
      <c r="H197" s="39">
        <v>2450</v>
      </c>
      <c r="I197" s="40">
        <v>103757.50000000001</v>
      </c>
      <c r="J197" s="39">
        <v>4550</v>
      </c>
      <c r="K197" s="40">
        <v>195254.5</v>
      </c>
      <c r="L197" s="37" t="s">
        <v>578</v>
      </c>
      <c r="M197" s="41">
        <v>42.959999999999994</v>
      </c>
      <c r="N197" s="42">
        <v>0</v>
      </c>
      <c r="O197" s="36">
        <v>2100</v>
      </c>
      <c r="P197" s="41">
        <f>(N197+O197)*M197</f>
        <v>90215.999999999985</v>
      </c>
      <c r="Q197" s="36">
        <v>4200</v>
      </c>
      <c r="R197" s="43">
        <f>O197-Q197</f>
        <v>-2100</v>
      </c>
      <c r="S197" s="43">
        <f>U197-O197</f>
        <v>400</v>
      </c>
      <c r="T197" s="41">
        <f>S197*M197</f>
        <v>17183.999999999996</v>
      </c>
      <c r="U197" s="44">
        <v>2500</v>
      </c>
      <c r="V197" s="45">
        <f>U197*M197</f>
        <v>107399.99999999999</v>
      </c>
      <c r="W197" s="36">
        <v>2100</v>
      </c>
      <c r="X197" s="86">
        <v>90215.999999999985</v>
      </c>
      <c r="Y197" s="199">
        <v>42.96</v>
      </c>
      <c r="Z197" s="44">
        <v>1750</v>
      </c>
      <c r="AA197" s="41">
        <f t="shared" si="83"/>
        <v>75180</v>
      </c>
      <c r="AB197" s="44">
        <v>0</v>
      </c>
      <c r="AC197" s="44">
        <f t="shared" si="82"/>
        <v>0</v>
      </c>
      <c r="AD197" s="44">
        <f t="shared" si="84"/>
        <v>1750</v>
      </c>
      <c r="AE197" s="111">
        <f t="shared" si="85"/>
        <v>75180</v>
      </c>
      <c r="AF197" s="51" t="s">
        <v>578</v>
      </c>
      <c r="AG197" s="115"/>
      <c r="AH197" s="35">
        <v>0</v>
      </c>
      <c r="AI197" s="36">
        <v>0</v>
      </c>
      <c r="AJ197" s="36">
        <v>0</v>
      </c>
      <c r="AK197" s="36"/>
      <c r="AL197" s="36">
        <v>0</v>
      </c>
      <c r="AM197" s="36">
        <v>0</v>
      </c>
      <c r="AN197" s="46">
        <v>0</v>
      </c>
      <c r="AO197" s="100">
        <f t="shared" si="81"/>
        <v>0</v>
      </c>
      <c r="AP197" s="3">
        <f t="shared" si="86"/>
        <v>0</v>
      </c>
    </row>
    <row r="198" spans="1:42" x14ac:dyDescent="0.2">
      <c r="A198" s="49" t="s">
        <v>947</v>
      </c>
      <c r="B198" s="37" t="s">
        <v>562</v>
      </c>
      <c r="C198" s="37" t="s">
        <v>571</v>
      </c>
      <c r="D198" s="52"/>
      <c r="E198" s="38" t="s">
        <v>803</v>
      </c>
      <c r="F198" s="36" t="s">
        <v>560</v>
      </c>
      <c r="G198" s="36" t="s">
        <v>960</v>
      </c>
      <c r="H198" s="39"/>
      <c r="I198" s="40"/>
      <c r="J198" s="39"/>
      <c r="K198" s="40"/>
      <c r="L198" s="37"/>
      <c r="M198" s="41"/>
      <c r="N198" s="36"/>
      <c r="O198" s="41"/>
      <c r="P198" s="36"/>
      <c r="Q198" s="43"/>
      <c r="R198" s="43"/>
      <c r="S198" s="41"/>
      <c r="T198" s="44"/>
      <c r="U198" s="45"/>
      <c r="V198" s="36"/>
      <c r="W198" s="45"/>
      <c r="X198" s="46"/>
      <c r="Y198" s="199">
        <v>1500</v>
      </c>
      <c r="Z198" s="44">
        <v>50</v>
      </c>
      <c r="AA198" s="41">
        <f t="shared" si="83"/>
        <v>75000</v>
      </c>
      <c r="AB198" s="44">
        <v>0</v>
      </c>
      <c r="AC198" s="44">
        <f t="shared" si="82"/>
        <v>0</v>
      </c>
      <c r="AD198" s="44">
        <f t="shared" si="84"/>
        <v>50</v>
      </c>
      <c r="AE198" s="111">
        <f t="shared" si="85"/>
        <v>75000</v>
      </c>
      <c r="AF198" s="51" t="s">
        <v>571</v>
      </c>
      <c r="AG198" s="115"/>
      <c r="AH198" s="35">
        <v>0</v>
      </c>
      <c r="AI198" s="36">
        <v>0</v>
      </c>
      <c r="AJ198" s="36">
        <v>0</v>
      </c>
      <c r="AK198" s="36"/>
      <c r="AL198" s="36">
        <v>0</v>
      </c>
      <c r="AM198" s="36">
        <v>0</v>
      </c>
      <c r="AN198" s="46">
        <v>0</v>
      </c>
      <c r="AO198" s="100">
        <f t="shared" si="81"/>
        <v>0</v>
      </c>
      <c r="AP198" s="3">
        <f t="shared" si="86"/>
        <v>0</v>
      </c>
    </row>
    <row r="199" spans="1:42" x14ac:dyDescent="0.2">
      <c r="A199" s="35" t="s">
        <v>288</v>
      </c>
      <c r="B199" s="37" t="s">
        <v>562</v>
      </c>
      <c r="C199" s="37" t="s">
        <v>571</v>
      </c>
      <c r="D199" s="52"/>
      <c r="E199" s="38" t="s">
        <v>802</v>
      </c>
      <c r="F199" s="36" t="s">
        <v>560</v>
      </c>
      <c r="G199" s="36" t="s">
        <v>611</v>
      </c>
      <c r="H199" s="39">
        <v>0</v>
      </c>
      <c r="I199" s="40">
        <v>0</v>
      </c>
      <c r="J199" s="39">
        <v>28</v>
      </c>
      <c r="K199" s="40">
        <v>72743.360000000001</v>
      </c>
      <c r="L199" s="37" t="s">
        <v>571</v>
      </c>
      <c r="M199" s="41">
        <v>2500</v>
      </c>
      <c r="N199" s="42">
        <v>0</v>
      </c>
      <c r="O199" s="36">
        <v>13</v>
      </c>
      <c r="P199" s="41">
        <f>(N199+O199)*M199</f>
        <v>32500</v>
      </c>
      <c r="Q199" s="36">
        <v>0</v>
      </c>
      <c r="R199" s="43">
        <f>O199-Q199</f>
        <v>13</v>
      </c>
      <c r="S199" s="43">
        <f>U199-O199</f>
        <v>0</v>
      </c>
      <c r="T199" s="41">
        <f>S199*M199</f>
        <v>0</v>
      </c>
      <c r="U199" s="44">
        <v>13</v>
      </c>
      <c r="V199" s="45">
        <f>U199*M199</f>
        <v>32500</v>
      </c>
      <c r="W199" s="36">
        <v>13</v>
      </c>
      <c r="X199" s="86">
        <v>32500</v>
      </c>
      <c r="Y199" s="199">
        <v>2500</v>
      </c>
      <c r="Z199" s="44">
        <v>30</v>
      </c>
      <c r="AA199" s="41">
        <f t="shared" si="83"/>
        <v>75000</v>
      </c>
      <c r="AB199" s="44">
        <v>0</v>
      </c>
      <c r="AC199" s="44">
        <f t="shared" si="82"/>
        <v>0</v>
      </c>
      <c r="AD199" s="44">
        <f t="shared" si="84"/>
        <v>30</v>
      </c>
      <c r="AE199" s="111">
        <f t="shared" si="85"/>
        <v>75000</v>
      </c>
      <c r="AF199" s="51" t="s">
        <v>571</v>
      </c>
      <c r="AG199" s="115"/>
      <c r="AH199" s="35">
        <v>0</v>
      </c>
      <c r="AI199" s="36">
        <v>0</v>
      </c>
      <c r="AJ199" s="36">
        <v>0</v>
      </c>
      <c r="AK199" s="36"/>
      <c r="AL199" s="36">
        <v>0</v>
      </c>
      <c r="AM199" s="36">
        <v>0</v>
      </c>
      <c r="AN199" s="46">
        <v>0</v>
      </c>
      <c r="AO199" s="100">
        <f t="shared" si="81"/>
        <v>0</v>
      </c>
      <c r="AP199" s="3">
        <f t="shared" si="86"/>
        <v>0</v>
      </c>
    </row>
    <row r="200" spans="1:42" x14ac:dyDescent="0.2">
      <c r="A200" s="35" t="s">
        <v>368</v>
      </c>
      <c r="B200" s="37" t="s">
        <v>556</v>
      </c>
      <c r="C200" s="37" t="s">
        <v>571</v>
      </c>
      <c r="D200" s="52"/>
      <c r="E200" s="38" t="s">
        <v>759</v>
      </c>
      <c r="F200" s="36" t="s">
        <v>558</v>
      </c>
      <c r="G200" s="36" t="s">
        <v>582</v>
      </c>
      <c r="H200" s="39">
        <v>154</v>
      </c>
      <c r="I200" s="40">
        <v>202291.14</v>
      </c>
      <c r="J200" s="39">
        <v>140</v>
      </c>
      <c r="K200" s="40">
        <v>199623.63</v>
      </c>
      <c r="L200" s="37" t="s">
        <v>578</v>
      </c>
      <c r="M200" s="41">
        <v>1434.5483974358974</v>
      </c>
      <c r="N200" s="42">
        <v>0</v>
      </c>
      <c r="O200" s="36">
        <v>149</v>
      </c>
      <c r="P200" s="41">
        <f>(N200+O200)*M200</f>
        <v>213747.7112179487</v>
      </c>
      <c r="Q200" s="36">
        <v>246</v>
      </c>
      <c r="R200" s="43">
        <f>O200-Q200</f>
        <v>-97</v>
      </c>
      <c r="S200" s="43">
        <f>U200-O200</f>
        <v>0</v>
      </c>
      <c r="T200" s="41">
        <f>S200*M200</f>
        <v>0</v>
      </c>
      <c r="U200" s="44">
        <f>O200</f>
        <v>149</v>
      </c>
      <c r="V200" s="45">
        <f>U200*M200</f>
        <v>213747.7112179487</v>
      </c>
      <c r="W200" s="36">
        <v>156</v>
      </c>
      <c r="X200" s="86">
        <v>223789.55</v>
      </c>
      <c r="Y200" s="199">
        <v>1696.45</v>
      </c>
      <c r="Z200" s="44">
        <v>14</v>
      </c>
      <c r="AA200" s="41">
        <f t="shared" si="83"/>
        <v>23750.3</v>
      </c>
      <c r="AB200" s="44">
        <v>0</v>
      </c>
      <c r="AC200" s="44">
        <f t="shared" si="82"/>
        <v>30</v>
      </c>
      <c r="AD200" s="44">
        <f t="shared" si="84"/>
        <v>44</v>
      </c>
      <c r="AE200" s="111">
        <f t="shared" si="85"/>
        <v>74643.8</v>
      </c>
      <c r="AF200" s="51" t="s">
        <v>578</v>
      </c>
      <c r="AG200" s="115"/>
      <c r="AH200" s="35">
        <v>0</v>
      </c>
      <c r="AI200" s="36">
        <v>0</v>
      </c>
      <c r="AJ200" s="36">
        <v>0</v>
      </c>
      <c r="AK200" s="36"/>
      <c r="AL200" s="36">
        <v>0</v>
      </c>
      <c r="AM200" s="36">
        <v>30</v>
      </c>
      <c r="AN200" s="46">
        <v>0</v>
      </c>
      <c r="AO200" s="100">
        <f t="shared" si="81"/>
        <v>30</v>
      </c>
      <c r="AP200" s="3">
        <f t="shared" si="86"/>
        <v>50893.5</v>
      </c>
    </row>
    <row r="201" spans="1:42" x14ac:dyDescent="0.2">
      <c r="A201" s="35" t="s">
        <v>491</v>
      </c>
      <c r="B201" s="37" t="s">
        <v>556</v>
      </c>
      <c r="C201" s="37" t="s">
        <v>571</v>
      </c>
      <c r="D201" s="52"/>
      <c r="E201" s="38" t="s">
        <v>594</v>
      </c>
      <c r="F201" s="36" t="s">
        <v>555</v>
      </c>
      <c r="G201" s="36" t="s">
        <v>624</v>
      </c>
      <c r="H201" s="39">
        <v>69</v>
      </c>
      <c r="I201" s="40">
        <v>94910.97</v>
      </c>
      <c r="J201" s="39">
        <v>0</v>
      </c>
      <c r="K201" s="40">
        <v>0</v>
      </c>
      <c r="L201" s="37" t="s">
        <v>571</v>
      </c>
      <c r="M201" s="41">
        <v>1467.05</v>
      </c>
      <c r="N201" s="42">
        <v>0</v>
      </c>
      <c r="O201" s="36">
        <v>23</v>
      </c>
      <c r="P201" s="41">
        <f>(N201+O201)*M201</f>
        <v>33742.15</v>
      </c>
      <c r="Q201" s="36">
        <v>50</v>
      </c>
      <c r="R201" s="43">
        <f>O201-Q201</f>
        <v>-27</v>
      </c>
      <c r="S201" s="43">
        <f>U201-O201</f>
        <v>31</v>
      </c>
      <c r="T201" s="41">
        <f>S201*M201</f>
        <v>45478.549999999996</v>
      </c>
      <c r="U201" s="44">
        <v>54</v>
      </c>
      <c r="V201" s="45">
        <f>U201*M201</f>
        <v>79220.7</v>
      </c>
      <c r="W201" s="36">
        <v>23</v>
      </c>
      <c r="X201" s="86">
        <v>33742.15</v>
      </c>
      <c r="Y201" s="199">
        <v>1467.05</v>
      </c>
      <c r="Z201" s="44">
        <v>0</v>
      </c>
      <c r="AA201" s="41">
        <f t="shared" si="83"/>
        <v>0</v>
      </c>
      <c r="AB201" s="44">
        <v>0</v>
      </c>
      <c r="AC201" s="44">
        <f t="shared" si="82"/>
        <v>50</v>
      </c>
      <c r="AD201" s="44">
        <f t="shared" si="84"/>
        <v>50</v>
      </c>
      <c r="AE201" s="111">
        <f t="shared" si="85"/>
        <v>73352.5</v>
      </c>
      <c r="AF201" s="51" t="s">
        <v>571</v>
      </c>
      <c r="AG201" s="115"/>
      <c r="AH201" s="35">
        <v>0</v>
      </c>
      <c r="AI201" s="36">
        <v>50</v>
      </c>
      <c r="AJ201" s="36">
        <v>0</v>
      </c>
      <c r="AK201" s="36"/>
      <c r="AL201" s="36">
        <v>0</v>
      </c>
      <c r="AM201" s="36">
        <v>0</v>
      </c>
      <c r="AN201" s="46">
        <v>0</v>
      </c>
      <c r="AO201" s="100">
        <f t="shared" si="81"/>
        <v>50</v>
      </c>
      <c r="AP201" s="3">
        <f t="shared" si="86"/>
        <v>73352.5</v>
      </c>
    </row>
    <row r="202" spans="1:42" x14ac:dyDescent="0.2">
      <c r="A202" s="35" t="s">
        <v>483</v>
      </c>
      <c r="B202" s="37" t="s">
        <v>556</v>
      </c>
      <c r="C202" s="37" t="s">
        <v>571</v>
      </c>
      <c r="D202" s="52"/>
      <c r="E202" s="38" t="s">
        <v>594</v>
      </c>
      <c r="F202" s="36" t="s">
        <v>555</v>
      </c>
      <c r="G202" s="36" t="s">
        <v>624</v>
      </c>
      <c r="H202" s="39">
        <v>48</v>
      </c>
      <c r="I202" s="40">
        <v>64946.36</v>
      </c>
      <c r="J202" s="39">
        <v>77</v>
      </c>
      <c r="K202" s="40">
        <v>112962.85</v>
      </c>
      <c r="L202" s="37" t="s">
        <v>571</v>
      </c>
      <c r="M202" s="41">
        <v>1467.05</v>
      </c>
      <c r="N202" s="42">
        <v>0</v>
      </c>
      <c r="O202" s="36">
        <v>0</v>
      </c>
      <c r="P202" s="41">
        <f>(N202+O202)*M202</f>
        <v>0</v>
      </c>
      <c r="Q202" s="36">
        <v>75</v>
      </c>
      <c r="R202" s="43">
        <f>O202-Q202</f>
        <v>-75</v>
      </c>
      <c r="S202" s="43">
        <f>U202-O202</f>
        <v>54</v>
      </c>
      <c r="T202" s="41">
        <f>S202*M202</f>
        <v>79220.7</v>
      </c>
      <c r="U202" s="44">
        <v>54</v>
      </c>
      <c r="V202" s="45">
        <f>U202*M202</f>
        <v>79220.7</v>
      </c>
      <c r="W202" s="36">
        <v>16</v>
      </c>
      <c r="X202" s="86">
        <v>23472.799999999999</v>
      </c>
      <c r="Y202" s="199">
        <v>1467.05</v>
      </c>
      <c r="Z202" s="44">
        <v>0</v>
      </c>
      <c r="AA202" s="41">
        <f t="shared" si="83"/>
        <v>0</v>
      </c>
      <c r="AB202" s="44">
        <v>0</v>
      </c>
      <c r="AC202" s="44">
        <f t="shared" si="82"/>
        <v>50</v>
      </c>
      <c r="AD202" s="44">
        <f t="shared" si="84"/>
        <v>50</v>
      </c>
      <c r="AE202" s="111">
        <f t="shared" si="85"/>
        <v>73352.5</v>
      </c>
      <c r="AF202" s="51" t="s">
        <v>571</v>
      </c>
      <c r="AG202" s="115"/>
      <c r="AH202" s="35">
        <v>0</v>
      </c>
      <c r="AI202" s="36">
        <v>50</v>
      </c>
      <c r="AJ202" s="36">
        <v>0</v>
      </c>
      <c r="AK202" s="36"/>
      <c r="AL202" s="36">
        <v>0</v>
      </c>
      <c r="AM202" s="36">
        <v>0</v>
      </c>
      <c r="AN202" s="46">
        <v>0</v>
      </c>
      <c r="AO202" s="100">
        <f t="shared" si="81"/>
        <v>50</v>
      </c>
      <c r="AP202" s="3">
        <f t="shared" si="86"/>
        <v>73352.5</v>
      </c>
    </row>
    <row r="203" spans="1:42" x14ac:dyDescent="0.2">
      <c r="A203" s="35" t="s">
        <v>1097</v>
      </c>
      <c r="B203" s="37" t="s">
        <v>554</v>
      </c>
      <c r="C203" s="37" t="s">
        <v>571</v>
      </c>
      <c r="D203" s="52"/>
      <c r="E203" s="38" t="s">
        <v>594</v>
      </c>
      <c r="F203" s="36" t="s">
        <v>555</v>
      </c>
      <c r="G203" s="36" t="s">
        <v>1100</v>
      </c>
      <c r="H203" s="39"/>
      <c r="I203" s="40"/>
      <c r="J203" s="39"/>
      <c r="K203" s="40"/>
      <c r="L203" s="51"/>
      <c r="M203" s="41"/>
      <c r="N203" s="41"/>
      <c r="O203" s="36"/>
      <c r="P203" s="41"/>
      <c r="Q203" s="36"/>
      <c r="R203" s="43"/>
      <c r="S203" s="43"/>
      <c r="T203" s="41"/>
      <c r="U203" s="44"/>
      <c r="V203" s="45"/>
      <c r="W203" s="36"/>
      <c r="X203" s="86"/>
      <c r="Y203" s="199">
        <v>2438.9499999999998</v>
      </c>
      <c r="Z203" s="44">
        <v>30</v>
      </c>
      <c r="AA203" s="41">
        <f t="shared" si="83"/>
        <v>73168.5</v>
      </c>
      <c r="AB203" s="44">
        <v>0</v>
      </c>
      <c r="AC203" s="44">
        <f t="shared" si="82"/>
        <v>0</v>
      </c>
      <c r="AD203" s="44">
        <f t="shared" si="84"/>
        <v>30</v>
      </c>
      <c r="AE203" s="111">
        <f t="shared" si="85"/>
        <v>73168.5</v>
      </c>
      <c r="AF203" s="51" t="s">
        <v>571</v>
      </c>
      <c r="AG203" s="115"/>
      <c r="AH203" s="35">
        <v>0</v>
      </c>
      <c r="AI203" s="36"/>
      <c r="AJ203" s="36"/>
      <c r="AK203" s="36"/>
      <c r="AL203" s="36"/>
      <c r="AM203" s="36"/>
      <c r="AN203" s="46"/>
      <c r="AO203" s="100"/>
      <c r="AP203" s="3">
        <f t="shared" si="86"/>
        <v>0</v>
      </c>
    </row>
    <row r="204" spans="1:42" x14ac:dyDescent="0.2">
      <c r="A204" s="49" t="s">
        <v>879</v>
      </c>
      <c r="B204" s="37" t="s">
        <v>562</v>
      </c>
      <c r="C204" s="37" t="s">
        <v>571</v>
      </c>
      <c r="D204" s="52"/>
      <c r="E204" s="38" t="s">
        <v>1001</v>
      </c>
      <c r="F204" s="36" t="s">
        <v>558</v>
      </c>
      <c r="G204" s="36" t="s">
        <v>639</v>
      </c>
      <c r="H204" s="39"/>
      <c r="I204" s="40"/>
      <c r="J204" s="39"/>
      <c r="K204" s="40"/>
      <c r="L204" s="51"/>
      <c r="M204" s="41">
        <v>972.4545454545455</v>
      </c>
      <c r="N204" s="41"/>
      <c r="O204" s="36"/>
      <c r="P204" s="41"/>
      <c r="Q204" s="36"/>
      <c r="R204" s="43"/>
      <c r="S204" s="43"/>
      <c r="T204" s="41"/>
      <c r="U204" s="44"/>
      <c r="V204" s="45"/>
      <c r="W204" s="36">
        <v>44</v>
      </c>
      <c r="X204" s="86">
        <v>42788</v>
      </c>
      <c r="Y204" s="199">
        <v>1029.5999999999999</v>
      </c>
      <c r="Z204" s="44">
        <v>70</v>
      </c>
      <c r="AA204" s="41">
        <f t="shared" si="83"/>
        <v>72072</v>
      </c>
      <c r="AB204" s="44">
        <v>0</v>
      </c>
      <c r="AC204" s="44">
        <f t="shared" si="82"/>
        <v>0</v>
      </c>
      <c r="AD204" s="44">
        <f t="shared" si="84"/>
        <v>70</v>
      </c>
      <c r="AE204" s="111">
        <f t="shared" si="85"/>
        <v>72072</v>
      </c>
      <c r="AF204" s="51" t="s">
        <v>571</v>
      </c>
      <c r="AG204" s="115"/>
      <c r="AH204" s="35">
        <v>0</v>
      </c>
      <c r="AI204" s="36">
        <v>0</v>
      </c>
      <c r="AJ204" s="36">
        <v>0</v>
      </c>
      <c r="AK204" s="36"/>
      <c r="AL204" s="36">
        <v>0</v>
      </c>
      <c r="AM204" s="36">
        <v>0</v>
      </c>
      <c r="AN204" s="46">
        <v>0</v>
      </c>
      <c r="AO204" s="100">
        <f t="shared" ref="AO204:AO248" si="87">SUM(AH204:AN204)</f>
        <v>0</v>
      </c>
      <c r="AP204" s="3">
        <f t="shared" si="86"/>
        <v>0</v>
      </c>
    </row>
    <row r="205" spans="1:42" x14ac:dyDescent="0.2">
      <c r="A205" s="35" t="s">
        <v>178</v>
      </c>
      <c r="B205" s="37" t="s">
        <v>556</v>
      </c>
      <c r="C205" s="37" t="s">
        <v>578</v>
      </c>
      <c r="D205" s="52">
        <v>46387</v>
      </c>
      <c r="E205" s="38" t="s">
        <v>754</v>
      </c>
      <c r="F205" s="36" t="s">
        <v>559</v>
      </c>
      <c r="G205" s="36" t="s">
        <v>613</v>
      </c>
      <c r="H205" s="39">
        <v>276</v>
      </c>
      <c r="I205" s="40">
        <v>22460.880000000005</v>
      </c>
      <c r="J205" s="39">
        <v>518</v>
      </c>
      <c r="K205" s="40">
        <v>42154.84</v>
      </c>
      <c r="L205" s="37" t="s">
        <v>578</v>
      </c>
      <c r="M205" s="41">
        <v>81.38000000000001</v>
      </c>
      <c r="N205" s="42">
        <v>0</v>
      </c>
      <c r="O205" s="36">
        <v>1159</v>
      </c>
      <c r="P205" s="41">
        <f>(N205+O205)*M205</f>
        <v>94319.420000000013</v>
      </c>
      <c r="Q205" s="36">
        <v>921</v>
      </c>
      <c r="R205" s="43">
        <f>O205-Q205</f>
        <v>238</v>
      </c>
      <c r="S205" s="43">
        <f>U205-O205</f>
        <v>0</v>
      </c>
      <c r="T205" s="41">
        <f>S205*M205</f>
        <v>0</v>
      </c>
      <c r="U205" s="44">
        <f>O205</f>
        <v>1159</v>
      </c>
      <c r="V205" s="45">
        <f>U205*M205</f>
        <v>94319.420000000013</v>
      </c>
      <c r="W205" s="36">
        <v>1159</v>
      </c>
      <c r="X205" s="86">
        <v>94319.420000000013</v>
      </c>
      <c r="Y205" s="199">
        <v>81.38</v>
      </c>
      <c r="Z205" s="44">
        <v>798</v>
      </c>
      <c r="AA205" s="41">
        <f t="shared" si="83"/>
        <v>64941.24</v>
      </c>
      <c r="AB205" s="44">
        <v>0</v>
      </c>
      <c r="AC205" s="44">
        <f t="shared" si="82"/>
        <v>81</v>
      </c>
      <c r="AD205" s="44">
        <f t="shared" si="84"/>
        <v>879</v>
      </c>
      <c r="AE205" s="111">
        <f t="shared" si="85"/>
        <v>71533.01999999999</v>
      </c>
      <c r="AF205" s="51" t="s">
        <v>578</v>
      </c>
      <c r="AG205" s="115"/>
      <c r="AH205" s="35">
        <v>81</v>
      </c>
      <c r="AI205" s="36">
        <v>0</v>
      </c>
      <c r="AJ205" s="36">
        <v>0</v>
      </c>
      <c r="AK205" s="36"/>
      <c r="AL205" s="36">
        <v>0</v>
      </c>
      <c r="AM205" s="36">
        <v>0</v>
      </c>
      <c r="AN205" s="46">
        <v>0</v>
      </c>
      <c r="AO205" s="100">
        <f t="shared" si="87"/>
        <v>81</v>
      </c>
      <c r="AP205" s="3">
        <f t="shared" si="86"/>
        <v>6591.78</v>
      </c>
    </row>
    <row r="206" spans="1:42" x14ac:dyDescent="0.2">
      <c r="A206" s="49" t="s">
        <v>933</v>
      </c>
      <c r="B206" s="37" t="s">
        <v>556</v>
      </c>
      <c r="C206" s="37" t="s">
        <v>578</v>
      </c>
      <c r="D206" s="52">
        <v>46387</v>
      </c>
      <c r="E206" s="38" t="s">
        <v>1003</v>
      </c>
      <c r="F206" s="36" t="s">
        <v>559</v>
      </c>
      <c r="G206" s="36" t="s">
        <v>601</v>
      </c>
      <c r="H206" s="39"/>
      <c r="I206" s="40"/>
      <c r="J206" s="39"/>
      <c r="K206" s="40"/>
      <c r="L206" s="37"/>
      <c r="M206" s="41"/>
      <c r="N206" s="36"/>
      <c r="O206" s="41"/>
      <c r="P206" s="36"/>
      <c r="Q206" s="43"/>
      <c r="R206" s="43"/>
      <c r="S206" s="41"/>
      <c r="T206" s="44"/>
      <c r="U206" s="45"/>
      <c r="V206" s="36"/>
      <c r="W206" s="45"/>
      <c r="X206" s="46"/>
      <c r="Y206" s="199">
        <v>238</v>
      </c>
      <c r="Z206" s="44">
        <v>300</v>
      </c>
      <c r="AA206" s="41">
        <f t="shared" si="83"/>
        <v>71400</v>
      </c>
      <c r="AB206" s="44">
        <v>0</v>
      </c>
      <c r="AC206" s="44">
        <f t="shared" si="82"/>
        <v>0</v>
      </c>
      <c r="AD206" s="44">
        <f t="shared" si="84"/>
        <v>300</v>
      </c>
      <c r="AE206" s="111">
        <f t="shared" si="85"/>
        <v>71400</v>
      </c>
      <c r="AF206" s="51" t="s">
        <v>578</v>
      </c>
      <c r="AG206" s="115"/>
      <c r="AH206" s="35">
        <v>0</v>
      </c>
      <c r="AI206" s="36">
        <v>0</v>
      </c>
      <c r="AJ206" s="36">
        <v>0</v>
      </c>
      <c r="AK206" s="36"/>
      <c r="AL206" s="36">
        <v>0</v>
      </c>
      <c r="AM206" s="36">
        <v>0</v>
      </c>
      <c r="AN206" s="46">
        <v>0</v>
      </c>
      <c r="AO206" s="100">
        <f t="shared" si="87"/>
        <v>0</v>
      </c>
      <c r="AP206" s="3">
        <f t="shared" si="86"/>
        <v>0</v>
      </c>
    </row>
    <row r="207" spans="1:42" x14ac:dyDescent="0.2">
      <c r="A207" s="35" t="s">
        <v>405</v>
      </c>
      <c r="B207" s="37" t="s">
        <v>556</v>
      </c>
      <c r="C207" s="37" t="s">
        <v>571</v>
      </c>
      <c r="D207" s="52"/>
      <c r="E207" s="38" t="s">
        <v>773</v>
      </c>
      <c r="F207" s="36" t="s">
        <v>555</v>
      </c>
      <c r="G207" s="36" t="s">
        <v>645</v>
      </c>
      <c r="H207" s="39">
        <v>0</v>
      </c>
      <c r="I207" s="40">
        <v>0</v>
      </c>
      <c r="J207" s="39">
        <v>0</v>
      </c>
      <c r="K207" s="40">
        <v>0</v>
      </c>
      <c r="L207" s="37" t="s">
        <v>578</v>
      </c>
      <c r="M207" s="41">
        <v>2646.6666666666665</v>
      </c>
      <c r="N207" s="42">
        <v>0</v>
      </c>
      <c r="O207" s="36">
        <v>10</v>
      </c>
      <c r="P207" s="41">
        <f t="shared" ref="P207:P212" si="88">(N207+O207)*M207</f>
        <v>26466.666666666664</v>
      </c>
      <c r="Q207" s="36">
        <v>0</v>
      </c>
      <c r="R207" s="43">
        <f t="shared" ref="R207:R212" si="89">O207-Q207</f>
        <v>10</v>
      </c>
      <c r="S207" s="43">
        <f t="shared" ref="S207:S212" si="90">U207-O207</f>
        <v>0</v>
      </c>
      <c r="T207" s="41">
        <f t="shared" ref="T207:T212" si="91">S207*M207</f>
        <v>0</v>
      </c>
      <c r="U207" s="44">
        <f>O207</f>
        <v>10</v>
      </c>
      <c r="V207" s="45">
        <f t="shared" ref="V207:V212" si="92">U207*M207</f>
        <v>26466.666666666664</v>
      </c>
      <c r="W207" s="36">
        <v>30</v>
      </c>
      <c r="X207" s="86">
        <v>79400</v>
      </c>
      <c r="Y207" s="199">
        <v>3500</v>
      </c>
      <c r="Z207" s="44">
        <v>0</v>
      </c>
      <c r="AA207" s="41">
        <f t="shared" si="83"/>
        <v>0</v>
      </c>
      <c r="AB207" s="44">
        <v>0</v>
      </c>
      <c r="AC207" s="44">
        <f t="shared" si="82"/>
        <v>20</v>
      </c>
      <c r="AD207" s="44">
        <f t="shared" si="84"/>
        <v>20</v>
      </c>
      <c r="AE207" s="111">
        <f t="shared" si="85"/>
        <v>70000</v>
      </c>
      <c r="AF207" s="51" t="s">
        <v>578</v>
      </c>
      <c r="AG207" s="115"/>
      <c r="AH207" s="35">
        <v>0</v>
      </c>
      <c r="AI207" s="36">
        <v>20</v>
      </c>
      <c r="AJ207" s="36">
        <v>0</v>
      </c>
      <c r="AK207" s="36"/>
      <c r="AL207" s="36">
        <v>0</v>
      </c>
      <c r="AM207" s="36">
        <v>0</v>
      </c>
      <c r="AN207" s="46">
        <v>0</v>
      </c>
      <c r="AO207" s="100">
        <f t="shared" si="87"/>
        <v>20</v>
      </c>
      <c r="AP207" s="3">
        <f t="shared" si="86"/>
        <v>70000</v>
      </c>
    </row>
    <row r="208" spans="1:42" x14ac:dyDescent="0.2">
      <c r="A208" s="35" t="s">
        <v>188</v>
      </c>
      <c r="B208" s="37" t="s">
        <v>556</v>
      </c>
      <c r="C208" s="37" t="s">
        <v>571</v>
      </c>
      <c r="D208" s="52"/>
      <c r="E208" s="38" t="s">
        <v>1002</v>
      </c>
      <c r="F208" s="36" t="s">
        <v>559</v>
      </c>
      <c r="G208" s="36" t="s">
        <v>616</v>
      </c>
      <c r="H208" s="39">
        <v>4156</v>
      </c>
      <c r="I208" s="40">
        <v>200182.32000000004</v>
      </c>
      <c r="J208" s="39">
        <v>2976</v>
      </c>
      <c r="K208" s="40">
        <v>160744.92000000001</v>
      </c>
      <c r="L208" s="37" t="s">
        <v>571</v>
      </c>
      <c r="M208" s="41">
        <v>56.939999999999991</v>
      </c>
      <c r="N208" s="42">
        <v>0</v>
      </c>
      <c r="O208" s="36">
        <v>3472</v>
      </c>
      <c r="P208" s="41">
        <f t="shared" si="88"/>
        <v>197695.67999999996</v>
      </c>
      <c r="Q208" s="36">
        <v>3472</v>
      </c>
      <c r="R208" s="43">
        <f t="shared" si="89"/>
        <v>0</v>
      </c>
      <c r="S208" s="43">
        <f t="shared" si="90"/>
        <v>0</v>
      </c>
      <c r="T208" s="41">
        <f t="shared" si="91"/>
        <v>0</v>
      </c>
      <c r="U208" s="44">
        <v>3472</v>
      </c>
      <c r="V208" s="45">
        <f t="shared" si="92"/>
        <v>197695.67999999996</v>
      </c>
      <c r="W208" s="36">
        <v>3472</v>
      </c>
      <c r="X208" s="86">
        <v>197695.67999999996</v>
      </c>
      <c r="Y208" s="199">
        <v>58.64</v>
      </c>
      <c r="Z208" s="44">
        <v>1192</v>
      </c>
      <c r="AA208" s="41">
        <f t="shared" si="83"/>
        <v>69898.880000000005</v>
      </c>
      <c r="AB208" s="44">
        <v>0</v>
      </c>
      <c r="AC208" s="44">
        <f t="shared" si="82"/>
        <v>0</v>
      </c>
      <c r="AD208" s="44">
        <f t="shared" si="84"/>
        <v>1192</v>
      </c>
      <c r="AE208" s="111">
        <f t="shared" si="85"/>
        <v>69898.880000000005</v>
      </c>
      <c r="AF208" s="51" t="s">
        <v>571</v>
      </c>
      <c r="AG208" s="115"/>
      <c r="AH208" s="35">
        <v>0</v>
      </c>
      <c r="AI208" s="36">
        <v>0</v>
      </c>
      <c r="AJ208" s="36">
        <v>0</v>
      </c>
      <c r="AK208" s="36"/>
      <c r="AL208" s="36">
        <v>0</v>
      </c>
      <c r="AM208" s="36">
        <v>0</v>
      </c>
      <c r="AN208" s="46">
        <v>0</v>
      </c>
      <c r="AO208" s="100">
        <f t="shared" si="87"/>
        <v>0</v>
      </c>
      <c r="AP208" s="3">
        <f t="shared" si="86"/>
        <v>0</v>
      </c>
    </row>
    <row r="209" spans="1:42" x14ac:dyDescent="0.2">
      <c r="A209" s="35" t="s">
        <v>487</v>
      </c>
      <c r="B209" s="37" t="s">
        <v>565</v>
      </c>
      <c r="C209" s="37" t="s">
        <v>571</v>
      </c>
      <c r="D209" s="52"/>
      <c r="E209" s="38" t="s">
        <v>682</v>
      </c>
      <c r="F209" s="36" t="s">
        <v>564</v>
      </c>
      <c r="G209" s="36" t="s">
        <v>675</v>
      </c>
      <c r="H209" s="39">
        <v>1757</v>
      </c>
      <c r="I209" s="40">
        <v>132706.21</v>
      </c>
      <c r="J209" s="39">
        <v>0</v>
      </c>
      <c r="K209" s="40">
        <v>0</v>
      </c>
      <c r="L209" s="37" t="s">
        <v>578</v>
      </c>
      <c r="M209" s="41" t="e">
        <v>#DIV/0!</v>
      </c>
      <c r="N209" s="42">
        <v>0</v>
      </c>
      <c r="O209" s="36">
        <v>0</v>
      </c>
      <c r="P209" s="41" t="e">
        <f t="shared" si="88"/>
        <v>#DIV/0!</v>
      </c>
      <c r="Q209" s="36">
        <v>1000</v>
      </c>
      <c r="R209" s="43">
        <f t="shared" si="89"/>
        <v>-1000</v>
      </c>
      <c r="S209" s="43">
        <f t="shared" si="90"/>
        <v>900</v>
      </c>
      <c r="T209" s="41" t="e">
        <f t="shared" si="91"/>
        <v>#DIV/0!</v>
      </c>
      <c r="U209" s="44">
        <v>900</v>
      </c>
      <c r="V209" s="45" t="e">
        <f t="shared" si="92"/>
        <v>#DIV/0!</v>
      </c>
      <c r="W209" s="36">
        <v>0</v>
      </c>
      <c r="X209" s="86">
        <v>0</v>
      </c>
      <c r="Y209" s="199">
        <v>89.13</v>
      </c>
      <c r="Z209" s="44">
        <v>0</v>
      </c>
      <c r="AA209" s="41">
        <f t="shared" si="83"/>
        <v>0</v>
      </c>
      <c r="AB209" s="44">
        <v>0</v>
      </c>
      <c r="AC209" s="44">
        <f t="shared" si="82"/>
        <v>780</v>
      </c>
      <c r="AD209" s="44">
        <f t="shared" si="84"/>
        <v>780</v>
      </c>
      <c r="AE209" s="111">
        <f t="shared" si="85"/>
        <v>69521.399999999994</v>
      </c>
      <c r="AF209" s="51" t="s">
        <v>578</v>
      </c>
      <c r="AG209" s="115"/>
      <c r="AH209" s="35">
        <v>0</v>
      </c>
      <c r="AI209" s="36">
        <v>0</v>
      </c>
      <c r="AJ209" s="36">
        <v>0</v>
      </c>
      <c r="AK209" s="36"/>
      <c r="AL209" s="36">
        <v>0</v>
      </c>
      <c r="AM209" s="36">
        <v>0</v>
      </c>
      <c r="AN209" s="46">
        <v>780</v>
      </c>
      <c r="AO209" s="100">
        <f t="shared" si="87"/>
        <v>780</v>
      </c>
      <c r="AP209" s="3">
        <f t="shared" si="86"/>
        <v>69521.399999999994</v>
      </c>
    </row>
    <row r="210" spans="1:42" x14ac:dyDescent="0.2">
      <c r="A210" s="35" t="s">
        <v>306</v>
      </c>
      <c r="B210" s="37" t="s">
        <v>565</v>
      </c>
      <c r="C210" s="37" t="s">
        <v>578</v>
      </c>
      <c r="D210" s="52">
        <v>46022</v>
      </c>
      <c r="E210" s="38" t="s">
        <v>753</v>
      </c>
      <c r="F210" s="36" t="s">
        <v>557</v>
      </c>
      <c r="G210" s="36" t="s">
        <v>610</v>
      </c>
      <c r="H210" s="39">
        <v>0</v>
      </c>
      <c r="I210" s="40">
        <v>0</v>
      </c>
      <c r="J210" s="39">
        <v>25</v>
      </c>
      <c r="K210" s="40">
        <v>9539.25</v>
      </c>
      <c r="L210" s="37" t="s">
        <v>571</v>
      </c>
      <c r="M210" s="41">
        <v>381.57</v>
      </c>
      <c r="N210" s="42">
        <v>0</v>
      </c>
      <c r="O210" s="36">
        <v>27</v>
      </c>
      <c r="P210" s="41">
        <f t="shared" si="88"/>
        <v>10302.39</v>
      </c>
      <c r="Q210" s="36">
        <v>0</v>
      </c>
      <c r="R210" s="43">
        <f t="shared" si="89"/>
        <v>27</v>
      </c>
      <c r="S210" s="43">
        <f t="shared" si="90"/>
        <v>0</v>
      </c>
      <c r="T210" s="41">
        <f t="shared" si="91"/>
        <v>0</v>
      </c>
      <c r="U210" s="44">
        <v>27</v>
      </c>
      <c r="V210" s="45">
        <f t="shared" si="92"/>
        <v>10302.39</v>
      </c>
      <c r="W210" s="36">
        <v>20</v>
      </c>
      <c r="X210" s="86">
        <v>7631.4</v>
      </c>
      <c r="Y210" s="199">
        <v>381.57</v>
      </c>
      <c r="Z210" s="44">
        <v>182</v>
      </c>
      <c r="AA210" s="41">
        <f t="shared" si="83"/>
        <v>69445.740000000005</v>
      </c>
      <c r="AB210" s="44">
        <v>0</v>
      </c>
      <c r="AC210" s="44">
        <f t="shared" si="82"/>
        <v>0</v>
      </c>
      <c r="AD210" s="44">
        <f t="shared" si="84"/>
        <v>182</v>
      </c>
      <c r="AE210" s="111">
        <f t="shared" si="85"/>
        <v>69445.740000000005</v>
      </c>
      <c r="AF210" s="51" t="s">
        <v>578</v>
      </c>
      <c r="AG210" s="115"/>
      <c r="AH210" s="35">
        <v>0</v>
      </c>
      <c r="AI210" s="36">
        <v>0</v>
      </c>
      <c r="AJ210" s="36">
        <v>0</v>
      </c>
      <c r="AK210" s="36"/>
      <c r="AL210" s="36">
        <v>0</v>
      </c>
      <c r="AM210" s="36">
        <v>0</v>
      </c>
      <c r="AN210" s="46">
        <v>0</v>
      </c>
      <c r="AO210" s="100">
        <f t="shared" si="87"/>
        <v>0</v>
      </c>
      <c r="AP210" s="3">
        <f t="shared" si="86"/>
        <v>0</v>
      </c>
    </row>
    <row r="211" spans="1:42" x14ac:dyDescent="0.2">
      <c r="A211" s="35" t="s">
        <v>480</v>
      </c>
      <c r="B211" s="37" t="s">
        <v>556</v>
      </c>
      <c r="C211" s="37" t="s">
        <v>571</v>
      </c>
      <c r="D211" s="52"/>
      <c r="E211" s="38" t="s">
        <v>757</v>
      </c>
      <c r="F211" s="36" t="s">
        <v>558</v>
      </c>
      <c r="G211" s="36" t="s">
        <v>584</v>
      </c>
      <c r="H211" s="39">
        <v>231</v>
      </c>
      <c r="I211" s="40">
        <v>87694.53</v>
      </c>
      <c r="J211" s="39">
        <v>100</v>
      </c>
      <c r="K211" s="40">
        <v>51120</v>
      </c>
      <c r="L211" s="37" t="s">
        <v>578</v>
      </c>
      <c r="M211" s="41">
        <v>488.21999999999997</v>
      </c>
      <c r="N211" s="42">
        <v>0</v>
      </c>
      <c r="O211" s="36">
        <v>0</v>
      </c>
      <c r="P211" s="41">
        <f t="shared" si="88"/>
        <v>0</v>
      </c>
      <c r="Q211" s="36">
        <v>250</v>
      </c>
      <c r="R211" s="43">
        <f t="shared" si="89"/>
        <v>-250</v>
      </c>
      <c r="S211" s="43">
        <f t="shared" si="90"/>
        <v>120</v>
      </c>
      <c r="T211" s="41">
        <f t="shared" si="91"/>
        <v>58586.399999999994</v>
      </c>
      <c r="U211" s="44">
        <v>120</v>
      </c>
      <c r="V211" s="45">
        <f t="shared" si="92"/>
        <v>58586.399999999994</v>
      </c>
      <c r="W211" s="36">
        <v>185</v>
      </c>
      <c r="X211" s="86">
        <v>90320.7</v>
      </c>
      <c r="Y211" s="199">
        <v>488.22</v>
      </c>
      <c r="Z211" s="44">
        <v>140</v>
      </c>
      <c r="AA211" s="41">
        <f t="shared" si="83"/>
        <v>68350.8</v>
      </c>
      <c r="AB211" s="44">
        <v>0</v>
      </c>
      <c r="AC211" s="44">
        <f t="shared" si="82"/>
        <v>0</v>
      </c>
      <c r="AD211" s="44">
        <f t="shared" si="84"/>
        <v>140</v>
      </c>
      <c r="AE211" s="111">
        <f t="shared" si="85"/>
        <v>68350.8</v>
      </c>
      <c r="AF211" s="51" t="s">
        <v>578</v>
      </c>
      <c r="AG211" s="115"/>
      <c r="AH211" s="35">
        <v>0</v>
      </c>
      <c r="AI211" s="36">
        <v>0</v>
      </c>
      <c r="AJ211" s="36">
        <v>0</v>
      </c>
      <c r="AK211" s="36"/>
      <c r="AL211" s="36">
        <v>0</v>
      </c>
      <c r="AM211" s="36">
        <v>0</v>
      </c>
      <c r="AN211" s="46">
        <v>0</v>
      </c>
      <c r="AO211" s="100">
        <f t="shared" si="87"/>
        <v>0</v>
      </c>
      <c r="AP211" s="3">
        <f t="shared" si="86"/>
        <v>0</v>
      </c>
    </row>
    <row r="212" spans="1:42" x14ac:dyDescent="0.2">
      <c r="A212" s="35" t="s">
        <v>334</v>
      </c>
      <c r="B212" s="37" t="s">
        <v>556</v>
      </c>
      <c r="C212" s="37" t="s">
        <v>578</v>
      </c>
      <c r="D212" s="52">
        <v>46387</v>
      </c>
      <c r="E212" s="38" t="s">
        <v>754</v>
      </c>
      <c r="F212" s="36" t="s">
        <v>557</v>
      </c>
      <c r="G212" s="36" t="s">
        <v>610</v>
      </c>
      <c r="H212" s="39">
        <v>885</v>
      </c>
      <c r="I212" s="40">
        <v>147591.45000000004</v>
      </c>
      <c r="J212" s="39">
        <v>714</v>
      </c>
      <c r="K212" s="40">
        <v>119073.78</v>
      </c>
      <c r="L212" s="37" t="s">
        <v>578</v>
      </c>
      <c r="M212" s="41">
        <v>166.77</v>
      </c>
      <c r="N212" s="42">
        <v>0</v>
      </c>
      <c r="O212" s="36">
        <v>251</v>
      </c>
      <c r="P212" s="41">
        <f t="shared" si="88"/>
        <v>41859.270000000004</v>
      </c>
      <c r="Q212" s="36">
        <v>800</v>
      </c>
      <c r="R212" s="43">
        <f t="shared" si="89"/>
        <v>-549</v>
      </c>
      <c r="S212" s="43">
        <f t="shared" si="90"/>
        <v>49</v>
      </c>
      <c r="T212" s="41">
        <f t="shared" si="91"/>
        <v>8171.7300000000005</v>
      </c>
      <c r="U212" s="44">
        <v>300</v>
      </c>
      <c r="V212" s="45">
        <f t="shared" si="92"/>
        <v>50031</v>
      </c>
      <c r="W212" s="36">
        <v>179</v>
      </c>
      <c r="X212" s="86">
        <v>29851.83</v>
      </c>
      <c r="Y212" s="199">
        <v>201.98</v>
      </c>
      <c r="Z212" s="44">
        <v>215</v>
      </c>
      <c r="AA212" s="41">
        <f t="shared" si="83"/>
        <v>43425.7</v>
      </c>
      <c r="AB212" s="44">
        <v>0</v>
      </c>
      <c r="AC212" s="44">
        <f t="shared" si="82"/>
        <v>123</v>
      </c>
      <c r="AD212" s="44">
        <f t="shared" si="84"/>
        <v>338</v>
      </c>
      <c r="AE212" s="111">
        <f t="shared" si="85"/>
        <v>68269.239999999991</v>
      </c>
      <c r="AF212" s="51" t="s">
        <v>578</v>
      </c>
      <c r="AG212" s="115"/>
      <c r="AH212" s="35">
        <v>123</v>
      </c>
      <c r="AI212" s="36">
        <v>0</v>
      </c>
      <c r="AJ212" s="36">
        <v>0</v>
      </c>
      <c r="AK212" s="36"/>
      <c r="AL212" s="36">
        <v>0</v>
      </c>
      <c r="AM212" s="36">
        <v>0</v>
      </c>
      <c r="AN212" s="46">
        <v>0</v>
      </c>
      <c r="AO212" s="100">
        <f t="shared" si="87"/>
        <v>123</v>
      </c>
      <c r="AP212" s="3">
        <f t="shared" si="86"/>
        <v>24843.539999999997</v>
      </c>
    </row>
    <row r="213" spans="1:42" x14ac:dyDescent="0.2">
      <c r="A213" s="49" t="s">
        <v>856</v>
      </c>
      <c r="B213" s="37" t="s">
        <v>565</v>
      </c>
      <c r="C213" s="37" t="s">
        <v>571</v>
      </c>
      <c r="D213" s="52"/>
      <c r="E213" s="38" t="s">
        <v>806</v>
      </c>
      <c r="F213" s="36" t="s">
        <v>563</v>
      </c>
      <c r="G213" s="36" t="s">
        <v>974</v>
      </c>
      <c r="H213" s="39"/>
      <c r="I213" s="40"/>
      <c r="J213" s="39">
        <v>100</v>
      </c>
      <c r="K213" s="40">
        <v>26142</v>
      </c>
      <c r="L213" s="51"/>
      <c r="M213" s="41">
        <v>271.88</v>
      </c>
      <c r="N213" s="41"/>
      <c r="O213" s="36"/>
      <c r="P213" s="41"/>
      <c r="Q213" s="36"/>
      <c r="R213" s="43"/>
      <c r="S213" s="43"/>
      <c r="T213" s="41"/>
      <c r="U213" s="44"/>
      <c r="V213" s="45"/>
      <c r="W213" s="36">
        <v>198</v>
      </c>
      <c r="X213" s="86">
        <v>53832.24</v>
      </c>
      <c r="Y213" s="199">
        <v>271.88</v>
      </c>
      <c r="Z213" s="44">
        <v>0</v>
      </c>
      <c r="AA213" s="41">
        <f t="shared" si="83"/>
        <v>0</v>
      </c>
      <c r="AB213" s="44">
        <v>0</v>
      </c>
      <c r="AC213" s="44">
        <f t="shared" si="82"/>
        <v>250</v>
      </c>
      <c r="AD213" s="44">
        <f t="shared" si="84"/>
        <v>250</v>
      </c>
      <c r="AE213" s="111">
        <f t="shared" si="85"/>
        <v>67970</v>
      </c>
      <c r="AF213" s="51"/>
      <c r="AG213" s="115"/>
      <c r="AH213" s="35">
        <v>0</v>
      </c>
      <c r="AI213" s="36">
        <v>0</v>
      </c>
      <c r="AJ213" s="36">
        <v>0</v>
      </c>
      <c r="AK213" s="36"/>
      <c r="AL213" s="36">
        <v>250</v>
      </c>
      <c r="AM213" s="36">
        <v>0</v>
      </c>
      <c r="AN213" s="46">
        <v>0</v>
      </c>
      <c r="AO213" s="100">
        <f t="shared" si="87"/>
        <v>250</v>
      </c>
      <c r="AP213" s="3">
        <f t="shared" si="86"/>
        <v>67970</v>
      </c>
    </row>
    <row r="214" spans="1:42" x14ac:dyDescent="0.2">
      <c r="A214" s="35" t="s">
        <v>421</v>
      </c>
      <c r="B214" s="37" t="s">
        <v>565</v>
      </c>
      <c r="C214" s="37" t="s">
        <v>571</v>
      </c>
      <c r="D214" s="52"/>
      <c r="E214" s="38" t="s">
        <v>594</v>
      </c>
      <c r="F214" s="36" t="s">
        <v>555</v>
      </c>
      <c r="G214" s="36" t="s">
        <v>624</v>
      </c>
      <c r="H214" s="39">
        <v>4</v>
      </c>
      <c r="I214" s="40">
        <v>2124</v>
      </c>
      <c r="J214" s="39">
        <v>9</v>
      </c>
      <c r="K214" s="40">
        <v>6656.76</v>
      </c>
      <c r="L214" s="37" t="s">
        <v>571</v>
      </c>
      <c r="M214" s="41">
        <v>739.6400000000001</v>
      </c>
      <c r="N214" s="42">
        <v>0</v>
      </c>
      <c r="O214" s="36">
        <v>89</v>
      </c>
      <c r="P214" s="41">
        <f t="shared" ref="P214:P222" si="93">(N214+O214)*M214</f>
        <v>65827.960000000006</v>
      </c>
      <c r="Q214" s="36">
        <v>0</v>
      </c>
      <c r="R214" s="43">
        <f t="shared" ref="R214:R222" si="94">O214-Q214</f>
        <v>89</v>
      </c>
      <c r="S214" s="43">
        <f t="shared" ref="S214:S222" si="95">U214-O214</f>
        <v>0</v>
      </c>
      <c r="T214" s="41">
        <f t="shared" ref="T214:T222" si="96">S214*M214</f>
        <v>0</v>
      </c>
      <c r="U214" s="44">
        <f>O214</f>
        <v>89</v>
      </c>
      <c r="V214" s="45">
        <f t="shared" ref="V214:V222" si="97">U214*M214</f>
        <v>65827.960000000006</v>
      </c>
      <c r="W214" s="36">
        <v>89</v>
      </c>
      <c r="X214" s="86">
        <v>65827.960000000006</v>
      </c>
      <c r="Y214" s="199">
        <v>762.52</v>
      </c>
      <c r="Z214" s="44">
        <v>88</v>
      </c>
      <c r="AA214" s="41">
        <f t="shared" si="83"/>
        <v>67101.759999999995</v>
      </c>
      <c r="AB214" s="44">
        <v>0</v>
      </c>
      <c r="AC214" s="44">
        <f t="shared" si="82"/>
        <v>0</v>
      </c>
      <c r="AD214" s="44">
        <f t="shared" si="84"/>
        <v>88</v>
      </c>
      <c r="AE214" s="111">
        <f t="shared" si="85"/>
        <v>67101.759999999995</v>
      </c>
      <c r="AF214" s="51" t="s">
        <v>571</v>
      </c>
      <c r="AG214" s="115"/>
      <c r="AH214" s="35">
        <v>0</v>
      </c>
      <c r="AI214" s="36">
        <v>0</v>
      </c>
      <c r="AJ214" s="36">
        <v>0</v>
      </c>
      <c r="AK214" s="36"/>
      <c r="AL214" s="36">
        <v>0</v>
      </c>
      <c r="AM214" s="36">
        <v>0</v>
      </c>
      <c r="AN214" s="46">
        <v>0</v>
      </c>
      <c r="AO214" s="100">
        <f t="shared" si="87"/>
        <v>0</v>
      </c>
      <c r="AP214" s="3">
        <f t="shared" si="86"/>
        <v>0</v>
      </c>
    </row>
    <row r="215" spans="1:42" x14ac:dyDescent="0.2">
      <c r="A215" s="35" t="s">
        <v>354</v>
      </c>
      <c r="B215" s="37" t="s">
        <v>556</v>
      </c>
      <c r="C215" s="37" t="s">
        <v>578</v>
      </c>
      <c r="D215" s="52">
        <v>46387</v>
      </c>
      <c r="E215" s="38" t="s">
        <v>754</v>
      </c>
      <c r="F215" s="36" t="s">
        <v>557</v>
      </c>
      <c r="G215" s="36" t="s">
        <v>597</v>
      </c>
      <c r="H215" s="39">
        <v>0</v>
      </c>
      <c r="I215" s="40">
        <v>0</v>
      </c>
      <c r="J215" s="39">
        <v>0</v>
      </c>
      <c r="K215" s="40">
        <v>0</v>
      </c>
      <c r="L215" s="37" t="s">
        <v>571</v>
      </c>
      <c r="M215" s="41">
        <v>406.62</v>
      </c>
      <c r="N215" s="42">
        <v>0</v>
      </c>
      <c r="O215" s="36">
        <v>319</v>
      </c>
      <c r="P215" s="41">
        <f t="shared" si="93"/>
        <v>129711.78</v>
      </c>
      <c r="Q215" s="36">
        <v>185</v>
      </c>
      <c r="R215" s="43">
        <f t="shared" si="94"/>
        <v>134</v>
      </c>
      <c r="S215" s="43">
        <f t="shared" si="95"/>
        <v>0</v>
      </c>
      <c r="T215" s="41">
        <f t="shared" si="96"/>
        <v>0</v>
      </c>
      <c r="U215" s="44">
        <f>O215</f>
        <v>319</v>
      </c>
      <c r="V215" s="45">
        <f t="shared" si="97"/>
        <v>129711.78</v>
      </c>
      <c r="W215" s="36">
        <v>315</v>
      </c>
      <c r="X215" s="86">
        <v>128085.3</v>
      </c>
      <c r="Y215" s="199">
        <v>406.62</v>
      </c>
      <c r="Z215" s="44">
        <v>130</v>
      </c>
      <c r="AA215" s="41">
        <f t="shared" si="83"/>
        <v>52860.6</v>
      </c>
      <c r="AB215" s="44">
        <v>0</v>
      </c>
      <c r="AC215" s="44">
        <f t="shared" si="82"/>
        <v>32</v>
      </c>
      <c r="AD215" s="44">
        <f t="shared" si="84"/>
        <v>162</v>
      </c>
      <c r="AE215" s="111">
        <f t="shared" si="85"/>
        <v>65872.44</v>
      </c>
      <c r="AF215" s="51" t="s">
        <v>578</v>
      </c>
      <c r="AG215" s="115"/>
      <c r="AH215" s="35">
        <v>32</v>
      </c>
      <c r="AI215" s="36">
        <v>0</v>
      </c>
      <c r="AJ215" s="36">
        <v>0</v>
      </c>
      <c r="AK215" s="36"/>
      <c r="AL215" s="36">
        <v>0</v>
      </c>
      <c r="AM215" s="36">
        <v>0</v>
      </c>
      <c r="AN215" s="46">
        <v>0</v>
      </c>
      <c r="AO215" s="100">
        <f t="shared" si="87"/>
        <v>32</v>
      </c>
      <c r="AP215" s="3">
        <f t="shared" si="86"/>
        <v>13011.84</v>
      </c>
    </row>
    <row r="216" spans="1:42" x14ac:dyDescent="0.2">
      <c r="A216" s="49" t="s">
        <v>287</v>
      </c>
      <c r="B216" s="156" t="s">
        <v>565</v>
      </c>
      <c r="C216" s="37" t="s">
        <v>578</v>
      </c>
      <c r="D216" s="52"/>
      <c r="E216" s="38" t="s">
        <v>755</v>
      </c>
      <c r="F216" s="36" t="s">
        <v>560</v>
      </c>
      <c r="G216" s="36" t="s">
        <v>623</v>
      </c>
      <c r="H216" s="39">
        <v>23</v>
      </c>
      <c r="I216" s="40">
        <v>35658.729999999996</v>
      </c>
      <c r="J216" s="39">
        <v>72</v>
      </c>
      <c r="K216" s="40">
        <v>118381.29000000001</v>
      </c>
      <c r="L216" s="37" t="s">
        <v>571</v>
      </c>
      <c r="M216" s="41">
        <v>1763.2125000000003</v>
      </c>
      <c r="N216" s="42">
        <v>0</v>
      </c>
      <c r="O216" s="36">
        <v>31</v>
      </c>
      <c r="P216" s="41">
        <f t="shared" si="93"/>
        <v>54659.587500000009</v>
      </c>
      <c r="Q216" s="36">
        <v>58</v>
      </c>
      <c r="R216" s="43">
        <f t="shared" si="94"/>
        <v>-27</v>
      </c>
      <c r="S216" s="43">
        <f t="shared" si="95"/>
        <v>0</v>
      </c>
      <c r="T216" s="41">
        <f t="shared" si="96"/>
        <v>0</v>
      </c>
      <c r="U216" s="44">
        <f>O216</f>
        <v>31</v>
      </c>
      <c r="V216" s="45">
        <f t="shared" si="97"/>
        <v>54659.587500000009</v>
      </c>
      <c r="W216" s="36">
        <v>52</v>
      </c>
      <c r="X216" s="86">
        <v>91687.050000000017</v>
      </c>
      <c r="Y216" s="199">
        <v>2050.83</v>
      </c>
      <c r="Z216" s="44">
        <v>0</v>
      </c>
      <c r="AA216" s="41">
        <f t="shared" si="83"/>
        <v>0</v>
      </c>
      <c r="AB216" s="44">
        <v>0</v>
      </c>
      <c r="AC216" s="44">
        <f t="shared" si="82"/>
        <v>32</v>
      </c>
      <c r="AD216" s="44">
        <f t="shared" si="84"/>
        <v>32</v>
      </c>
      <c r="AE216" s="111">
        <f t="shared" si="85"/>
        <v>65626.559999999998</v>
      </c>
      <c r="AF216" s="51" t="s">
        <v>571</v>
      </c>
      <c r="AG216" s="115" t="s">
        <v>1059</v>
      </c>
      <c r="AH216" s="35">
        <v>0</v>
      </c>
      <c r="AI216" s="36">
        <v>0</v>
      </c>
      <c r="AJ216" s="36">
        <v>0</v>
      </c>
      <c r="AK216" s="36"/>
      <c r="AL216" s="36">
        <v>32</v>
      </c>
      <c r="AM216" s="36">
        <v>0</v>
      </c>
      <c r="AN216" s="46">
        <v>0</v>
      </c>
      <c r="AO216" s="100">
        <f t="shared" si="87"/>
        <v>32</v>
      </c>
      <c r="AP216" s="3">
        <f t="shared" si="86"/>
        <v>65626.559999999998</v>
      </c>
    </row>
    <row r="217" spans="1:42" x14ac:dyDescent="0.2">
      <c r="A217" s="35" t="s">
        <v>210</v>
      </c>
      <c r="B217" s="37" t="s">
        <v>556</v>
      </c>
      <c r="C217" s="37" t="s">
        <v>578</v>
      </c>
      <c r="D217" s="52">
        <v>46752</v>
      </c>
      <c r="E217" s="38" t="s">
        <v>772</v>
      </c>
      <c r="F217" s="36" t="s">
        <v>559</v>
      </c>
      <c r="G217" s="36" t="s">
        <v>637</v>
      </c>
      <c r="H217" s="39">
        <v>440</v>
      </c>
      <c r="I217" s="40">
        <v>20070</v>
      </c>
      <c r="J217" s="39">
        <v>2224</v>
      </c>
      <c r="K217" s="40">
        <v>104497.4</v>
      </c>
      <c r="L217" s="37" t="s">
        <v>578</v>
      </c>
      <c r="M217" s="41">
        <v>47.571428571428569</v>
      </c>
      <c r="N217" s="42">
        <v>600</v>
      </c>
      <c r="O217" s="36">
        <v>1065</v>
      </c>
      <c r="P217" s="41">
        <f t="shared" si="93"/>
        <v>79206.428571428565</v>
      </c>
      <c r="Q217" s="36">
        <v>575</v>
      </c>
      <c r="R217" s="43">
        <f t="shared" si="94"/>
        <v>490</v>
      </c>
      <c r="S217" s="43">
        <f t="shared" si="95"/>
        <v>0</v>
      </c>
      <c r="T217" s="41">
        <f t="shared" si="96"/>
        <v>0</v>
      </c>
      <c r="U217" s="44">
        <f>O217</f>
        <v>1065</v>
      </c>
      <c r="V217" s="45">
        <f t="shared" si="97"/>
        <v>50663.571428571428</v>
      </c>
      <c r="W217" s="36">
        <v>2100</v>
      </c>
      <c r="X217" s="86">
        <v>99900</v>
      </c>
      <c r="Y217" s="199">
        <v>47.860000000000007</v>
      </c>
      <c r="Z217" s="44">
        <v>1177</v>
      </c>
      <c r="AA217" s="41">
        <f t="shared" si="83"/>
        <v>56331.220000000008</v>
      </c>
      <c r="AB217" s="44">
        <v>0</v>
      </c>
      <c r="AC217" s="44">
        <f t="shared" si="82"/>
        <v>190</v>
      </c>
      <c r="AD217" s="44">
        <f t="shared" si="84"/>
        <v>1367</v>
      </c>
      <c r="AE217" s="111">
        <f t="shared" si="85"/>
        <v>65424.62000000001</v>
      </c>
      <c r="AF217" s="51" t="s">
        <v>578</v>
      </c>
      <c r="AG217" s="115"/>
      <c r="AH217" s="35">
        <v>190</v>
      </c>
      <c r="AI217" s="36">
        <v>0</v>
      </c>
      <c r="AJ217" s="36">
        <v>0</v>
      </c>
      <c r="AK217" s="36"/>
      <c r="AL217" s="36">
        <v>0</v>
      </c>
      <c r="AM217" s="36">
        <v>0</v>
      </c>
      <c r="AN217" s="46">
        <v>0</v>
      </c>
      <c r="AO217" s="100">
        <f t="shared" si="87"/>
        <v>190</v>
      </c>
      <c r="AP217" s="3">
        <f t="shared" si="86"/>
        <v>9093.4000000000015</v>
      </c>
    </row>
    <row r="218" spans="1:42" x14ac:dyDescent="0.2">
      <c r="A218" s="35" t="s">
        <v>190</v>
      </c>
      <c r="B218" s="37" t="s">
        <v>556</v>
      </c>
      <c r="C218" s="37" t="s">
        <v>571</v>
      </c>
      <c r="D218" s="52"/>
      <c r="E218" s="38" t="s">
        <v>772</v>
      </c>
      <c r="F218" s="36" t="s">
        <v>559</v>
      </c>
      <c r="G218" s="36" t="s">
        <v>616</v>
      </c>
      <c r="H218" s="39">
        <v>2173</v>
      </c>
      <c r="I218" s="40">
        <v>127186.01000000002</v>
      </c>
      <c r="J218" s="39">
        <v>1431</v>
      </c>
      <c r="K218" s="40">
        <v>87502.59</v>
      </c>
      <c r="L218" s="37" t="s">
        <v>571</v>
      </c>
      <c r="M218" s="41">
        <v>62.67499999999999</v>
      </c>
      <c r="N218" s="42">
        <v>360</v>
      </c>
      <c r="O218" s="36">
        <v>1500</v>
      </c>
      <c r="P218" s="41">
        <f t="shared" si="93"/>
        <v>116575.49999999999</v>
      </c>
      <c r="Q218" s="36">
        <v>2040</v>
      </c>
      <c r="R218" s="43">
        <f t="shared" si="94"/>
        <v>-540</v>
      </c>
      <c r="S218" s="43">
        <f t="shared" si="95"/>
        <v>250</v>
      </c>
      <c r="T218" s="41">
        <f t="shared" si="96"/>
        <v>15668.749999999998</v>
      </c>
      <c r="U218" s="44">
        <v>1750</v>
      </c>
      <c r="V218" s="45">
        <f t="shared" si="97"/>
        <v>109681.24999999999</v>
      </c>
      <c r="W218" s="36">
        <v>2040</v>
      </c>
      <c r="X218" s="86">
        <v>127856.99999999999</v>
      </c>
      <c r="Y218" s="199">
        <v>64.38</v>
      </c>
      <c r="Z218" s="44">
        <v>1010</v>
      </c>
      <c r="AA218" s="41">
        <f t="shared" si="83"/>
        <v>65023.799999999996</v>
      </c>
      <c r="AB218" s="44">
        <v>0</v>
      </c>
      <c r="AC218" s="44">
        <f t="shared" si="82"/>
        <v>0</v>
      </c>
      <c r="AD218" s="44">
        <f t="shared" si="84"/>
        <v>1010</v>
      </c>
      <c r="AE218" s="111">
        <f t="shared" si="85"/>
        <v>65023.799999999996</v>
      </c>
      <c r="AF218" s="51" t="s">
        <v>571</v>
      </c>
      <c r="AG218" s="115"/>
      <c r="AH218" s="35">
        <v>0</v>
      </c>
      <c r="AI218" s="36">
        <v>0</v>
      </c>
      <c r="AJ218" s="36">
        <v>0</v>
      </c>
      <c r="AK218" s="36"/>
      <c r="AL218" s="36">
        <v>0</v>
      </c>
      <c r="AM218" s="36">
        <v>0</v>
      </c>
      <c r="AN218" s="46">
        <v>0</v>
      </c>
      <c r="AO218" s="100">
        <f t="shared" si="87"/>
        <v>0</v>
      </c>
      <c r="AP218" s="3">
        <f t="shared" si="86"/>
        <v>0</v>
      </c>
    </row>
    <row r="219" spans="1:42" x14ac:dyDescent="0.2">
      <c r="A219" s="35" t="s">
        <v>238</v>
      </c>
      <c r="B219" s="37" t="s">
        <v>562</v>
      </c>
      <c r="C219" s="37" t="s">
        <v>578</v>
      </c>
      <c r="D219" s="52">
        <v>46387</v>
      </c>
      <c r="E219" s="38" t="s">
        <v>754</v>
      </c>
      <c r="F219" s="36" t="s">
        <v>559</v>
      </c>
      <c r="G219" s="36" t="s">
        <v>613</v>
      </c>
      <c r="H219" s="39">
        <v>0</v>
      </c>
      <c r="I219" s="40">
        <v>0</v>
      </c>
      <c r="J219" s="39">
        <v>0</v>
      </c>
      <c r="K219" s="40">
        <v>0</v>
      </c>
      <c r="L219" s="37" t="s">
        <v>571</v>
      </c>
      <c r="M219" s="41">
        <v>1349.8500000000001</v>
      </c>
      <c r="N219" s="42">
        <v>0</v>
      </c>
      <c r="O219" s="36">
        <v>50</v>
      </c>
      <c r="P219" s="41">
        <f t="shared" si="93"/>
        <v>67492.5</v>
      </c>
      <c r="Q219" s="36">
        <v>0</v>
      </c>
      <c r="R219" s="43">
        <f t="shared" si="94"/>
        <v>50</v>
      </c>
      <c r="S219" s="43">
        <f t="shared" si="95"/>
        <v>0</v>
      </c>
      <c r="T219" s="41">
        <f t="shared" si="96"/>
        <v>0</v>
      </c>
      <c r="U219" s="44">
        <v>50</v>
      </c>
      <c r="V219" s="45">
        <f t="shared" si="97"/>
        <v>67492.5</v>
      </c>
      <c r="W219" s="36">
        <v>24</v>
      </c>
      <c r="X219" s="86">
        <v>32396.400000000001</v>
      </c>
      <c r="Y219" s="199">
        <v>1349.85</v>
      </c>
      <c r="Z219" s="44">
        <v>31</v>
      </c>
      <c r="AA219" s="41">
        <f t="shared" si="83"/>
        <v>41845.35</v>
      </c>
      <c r="AB219" s="44">
        <v>0</v>
      </c>
      <c r="AC219" s="44">
        <f t="shared" si="82"/>
        <v>17</v>
      </c>
      <c r="AD219" s="44">
        <f t="shared" si="84"/>
        <v>48</v>
      </c>
      <c r="AE219" s="111">
        <f t="shared" si="85"/>
        <v>64792.799999999996</v>
      </c>
      <c r="AF219" s="51" t="s">
        <v>571</v>
      </c>
      <c r="AG219" s="115"/>
      <c r="AH219" s="35">
        <v>17</v>
      </c>
      <c r="AI219" s="36">
        <v>0</v>
      </c>
      <c r="AJ219" s="36">
        <v>0</v>
      </c>
      <c r="AK219" s="36"/>
      <c r="AL219" s="36">
        <v>0</v>
      </c>
      <c r="AM219" s="36">
        <v>0</v>
      </c>
      <c r="AN219" s="46">
        <v>0</v>
      </c>
      <c r="AO219" s="100">
        <f t="shared" si="87"/>
        <v>17</v>
      </c>
      <c r="AP219" s="3">
        <f t="shared" si="86"/>
        <v>22947.449999999997</v>
      </c>
    </row>
    <row r="220" spans="1:42" x14ac:dyDescent="0.2">
      <c r="A220" s="35" t="s">
        <v>273</v>
      </c>
      <c r="B220" s="37" t="s">
        <v>556</v>
      </c>
      <c r="C220" s="37" t="s">
        <v>571</v>
      </c>
      <c r="D220" s="52"/>
      <c r="E220" s="38" t="s">
        <v>780</v>
      </c>
      <c r="F220" s="36" t="s">
        <v>560</v>
      </c>
      <c r="G220" s="36" t="s">
        <v>586</v>
      </c>
      <c r="H220" s="39">
        <v>152</v>
      </c>
      <c r="I220" s="40">
        <v>159437.68</v>
      </c>
      <c r="J220" s="39">
        <v>50</v>
      </c>
      <c r="K220" s="40">
        <v>62900</v>
      </c>
      <c r="L220" s="37" t="s">
        <v>578</v>
      </c>
      <c r="M220" s="41">
        <v>1208.8571428571429</v>
      </c>
      <c r="N220" s="42">
        <v>0</v>
      </c>
      <c r="O220" s="36">
        <v>100</v>
      </c>
      <c r="P220" s="41">
        <f t="shared" si="93"/>
        <v>120885.71428571429</v>
      </c>
      <c r="Q220" s="36">
        <v>50</v>
      </c>
      <c r="R220" s="43">
        <f t="shared" si="94"/>
        <v>50</v>
      </c>
      <c r="S220" s="43">
        <f t="shared" si="95"/>
        <v>0</v>
      </c>
      <c r="T220" s="41">
        <f t="shared" si="96"/>
        <v>0</v>
      </c>
      <c r="U220" s="44">
        <v>100</v>
      </c>
      <c r="V220" s="45">
        <f t="shared" si="97"/>
        <v>120885.71428571429</v>
      </c>
      <c r="W220" s="36">
        <v>140</v>
      </c>
      <c r="X220" s="86">
        <v>169240</v>
      </c>
      <c r="Y220" s="199">
        <v>1291</v>
      </c>
      <c r="Z220" s="44">
        <v>0</v>
      </c>
      <c r="AA220" s="41">
        <f t="shared" si="83"/>
        <v>0</v>
      </c>
      <c r="AB220" s="44">
        <v>0</v>
      </c>
      <c r="AC220" s="44">
        <f t="shared" si="82"/>
        <v>50</v>
      </c>
      <c r="AD220" s="44">
        <f t="shared" si="84"/>
        <v>50</v>
      </c>
      <c r="AE220" s="111">
        <f t="shared" si="85"/>
        <v>64550</v>
      </c>
      <c r="AF220" s="51" t="s">
        <v>578</v>
      </c>
      <c r="AG220" s="115"/>
      <c r="AH220" s="35">
        <v>0</v>
      </c>
      <c r="AI220" s="36">
        <v>0</v>
      </c>
      <c r="AJ220" s="36">
        <v>50</v>
      </c>
      <c r="AK220" s="36"/>
      <c r="AL220" s="36">
        <v>0</v>
      </c>
      <c r="AM220" s="36">
        <v>0</v>
      </c>
      <c r="AN220" s="46">
        <v>0</v>
      </c>
      <c r="AO220" s="100">
        <f t="shared" si="87"/>
        <v>50</v>
      </c>
      <c r="AP220" s="3">
        <f t="shared" si="86"/>
        <v>64550</v>
      </c>
    </row>
    <row r="221" spans="1:42" x14ac:dyDescent="0.2">
      <c r="A221" s="35" t="s">
        <v>211</v>
      </c>
      <c r="B221" s="37" t="s">
        <v>556</v>
      </c>
      <c r="C221" s="37" t="s">
        <v>578</v>
      </c>
      <c r="D221" s="52">
        <v>46387</v>
      </c>
      <c r="E221" s="38" t="s">
        <v>754</v>
      </c>
      <c r="F221" s="36" t="s">
        <v>559</v>
      </c>
      <c r="G221" s="36" t="s">
        <v>601</v>
      </c>
      <c r="H221" s="39">
        <v>134</v>
      </c>
      <c r="I221" s="40">
        <v>227328.9</v>
      </c>
      <c r="J221" s="39">
        <v>139</v>
      </c>
      <c r="K221" s="40">
        <v>240449.15</v>
      </c>
      <c r="L221" s="37" t="s">
        <v>578</v>
      </c>
      <c r="M221" s="41">
        <v>1940.8303108808291</v>
      </c>
      <c r="N221" s="42">
        <v>0</v>
      </c>
      <c r="O221" s="36">
        <v>193</v>
      </c>
      <c r="P221" s="41">
        <f t="shared" si="93"/>
        <v>374580.25</v>
      </c>
      <c r="Q221" s="36">
        <v>188</v>
      </c>
      <c r="R221" s="43">
        <f t="shared" si="94"/>
        <v>5</v>
      </c>
      <c r="S221" s="43">
        <f t="shared" si="95"/>
        <v>13</v>
      </c>
      <c r="T221" s="41">
        <f t="shared" si="96"/>
        <v>25230.794041450779</v>
      </c>
      <c r="U221" s="44">
        <v>206</v>
      </c>
      <c r="V221" s="45">
        <f t="shared" si="97"/>
        <v>399811.04404145078</v>
      </c>
      <c r="W221" s="36">
        <v>193</v>
      </c>
      <c r="X221" s="86">
        <v>374580.25</v>
      </c>
      <c r="Y221" s="199">
        <v>1951.1500000000003</v>
      </c>
      <c r="Z221" s="44">
        <v>33</v>
      </c>
      <c r="AA221" s="41">
        <f t="shared" si="83"/>
        <v>64387.950000000012</v>
      </c>
      <c r="AB221" s="44">
        <v>0</v>
      </c>
      <c r="AC221" s="44">
        <f t="shared" si="82"/>
        <v>0</v>
      </c>
      <c r="AD221" s="44">
        <f t="shared" si="84"/>
        <v>33</v>
      </c>
      <c r="AE221" s="111">
        <f t="shared" si="85"/>
        <v>64387.950000000012</v>
      </c>
      <c r="AF221" s="51" t="s">
        <v>578</v>
      </c>
      <c r="AG221" s="115"/>
      <c r="AH221" s="35">
        <v>0</v>
      </c>
      <c r="AI221" s="36">
        <v>0</v>
      </c>
      <c r="AJ221" s="36">
        <v>0</v>
      </c>
      <c r="AK221" s="36"/>
      <c r="AL221" s="36">
        <v>0</v>
      </c>
      <c r="AM221" s="36">
        <v>0</v>
      </c>
      <c r="AN221" s="46">
        <v>0</v>
      </c>
      <c r="AO221" s="100">
        <f t="shared" si="87"/>
        <v>0</v>
      </c>
      <c r="AP221" s="3">
        <f t="shared" si="86"/>
        <v>0</v>
      </c>
    </row>
    <row r="222" spans="1:42" x14ac:dyDescent="0.2">
      <c r="A222" s="35" t="s">
        <v>407</v>
      </c>
      <c r="B222" s="156" t="s">
        <v>565</v>
      </c>
      <c r="C222" s="37" t="s">
        <v>578</v>
      </c>
      <c r="D222" s="52">
        <v>46387</v>
      </c>
      <c r="E222" s="38" t="s">
        <v>758</v>
      </c>
      <c r="F222" s="36" t="s">
        <v>555</v>
      </c>
      <c r="G222" s="36" t="s">
        <v>583</v>
      </c>
      <c r="H222" s="39">
        <v>0</v>
      </c>
      <c r="I222" s="40">
        <v>0</v>
      </c>
      <c r="J222" s="39">
        <v>0</v>
      </c>
      <c r="K222" s="40">
        <v>0</v>
      </c>
      <c r="L222" s="37" t="s">
        <v>578</v>
      </c>
      <c r="M222" s="41">
        <v>60.089999999999996</v>
      </c>
      <c r="N222" s="42">
        <v>0</v>
      </c>
      <c r="O222" s="36">
        <v>216</v>
      </c>
      <c r="P222" s="41">
        <f t="shared" si="93"/>
        <v>12979.439999999999</v>
      </c>
      <c r="Q222" s="36">
        <v>0</v>
      </c>
      <c r="R222" s="43">
        <f t="shared" si="94"/>
        <v>216</v>
      </c>
      <c r="S222" s="43">
        <f t="shared" si="95"/>
        <v>0</v>
      </c>
      <c r="T222" s="41">
        <f t="shared" si="96"/>
        <v>0</v>
      </c>
      <c r="U222" s="44">
        <f>O222</f>
        <v>216</v>
      </c>
      <c r="V222" s="45">
        <f t="shared" si="97"/>
        <v>12979.439999999999</v>
      </c>
      <c r="W222" s="36">
        <v>1176</v>
      </c>
      <c r="X222" s="86">
        <v>70665.84</v>
      </c>
      <c r="Y222" s="199">
        <v>60.09</v>
      </c>
      <c r="Z222" s="44">
        <v>556</v>
      </c>
      <c r="AA222" s="41">
        <f t="shared" si="83"/>
        <v>33410.04</v>
      </c>
      <c r="AB222" s="44">
        <v>0</v>
      </c>
      <c r="AC222" s="44">
        <f t="shared" si="82"/>
        <v>500</v>
      </c>
      <c r="AD222" s="44">
        <f t="shared" si="84"/>
        <v>1056</v>
      </c>
      <c r="AE222" s="111">
        <f t="shared" si="85"/>
        <v>63455.040000000001</v>
      </c>
      <c r="AF222" s="51" t="s">
        <v>578</v>
      </c>
      <c r="AG222" s="115"/>
      <c r="AH222" s="35">
        <v>0</v>
      </c>
      <c r="AI222" s="36">
        <v>500</v>
      </c>
      <c r="AJ222" s="36">
        <v>0</v>
      </c>
      <c r="AK222" s="36"/>
      <c r="AL222" s="36">
        <v>0</v>
      </c>
      <c r="AM222" s="36">
        <v>0</v>
      </c>
      <c r="AN222" s="46">
        <v>0</v>
      </c>
      <c r="AO222" s="100">
        <f t="shared" si="87"/>
        <v>500</v>
      </c>
      <c r="AP222" s="3">
        <f t="shared" si="86"/>
        <v>30045</v>
      </c>
    </row>
    <row r="223" spans="1:42" x14ac:dyDescent="0.2">
      <c r="A223" s="49" t="s">
        <v>885</v>
      </c>
      <c r="B223" s="37" t="s">
        <v>562</v>
      </c>
      <c r="C223" s="37" t="s">
        <v>571</v>
      </c>
      <c r="D223" s="52"/>
      <c r="E223" s="38" t="s">
        <v>1004</v>
      </c>
      <c r="F223" s="36" t="s">
        <v>564</v>
      </c>
      <c r="G223" s="36" t="s">
        <v>564</v>
      </c>
      <c r="H223" s="39"/>
      <c r="I223" s="40"/>
      <c r="J223" s="39"/>
      <c r="K223" s="40"/>
      <c r="L223" s="51"/>
      <c r="M223" s="41">
        <v>2538</v>
      </c>
      <c r="N223" s="41"/>
      <c r="O223" s="36"/>
      <c r="P223" s="41"/>
      <c r="Q223" s="36"/>
      <c r="R223" s="43"/>
      <c r="S223" s="43"/>
      <c r="T223" s="41"/>
      <c r="U223" s="44"/>
      <c r="V223" s="45"/>
      <c r="W223" s="36">
        <v>12</v>
      </c>
      <c r="X223" s="86">
        <v>30456</v>
      </c>
      <c r="Y223" s="199">
        <v>2538</v>
      </c>
      <c r="Z223" s="44">
        <v>25</v>
      </c>
      <c r="AA223" s="41">
        <f t="shared" si="83"/>
        <v>63450</v>
      </c>
      <c r="AB223" s="44">
        <v>0</v>
      </c>
      <c r="AC223" s="44">
        <f t="shared" ref="AC223:AC248" si="98">AB223+AO223</f>
        <v>0</v>
      </c>
      <c r="AD223" s="44">
        <f t="shared" si="84"/>
        <v>25</v>
      </c>
      <c r="AE223" s="111">
        <f t="shared" si="85"/>
        <v>63450</v>
      </c>
      <c r="AF223" s="51" t="s">
        <v>571</v>
      </c>
      <c r="AG223" s="115"/>
      <c r="AH223" s="35">
        <v>0</v>
      </c>
      <c r="AI223" s="36">
        <v>0</v>
      </c>
      <c r="AJ223" s="36">
        <v>0</v>
      </c>
      <c r="AK223" s="36"/>
      <c r="AL223" s="36">
        <v>0</v>
      </c>
      <c r="AM223" s="36">
        <v>0</v>
      </c>
      <c r="AN223" s="46">
        <v>0</v>
      </c>
      <c r="AO223" s="100">
        <f t="shared" si="87"/>
        <v>0</v>
      </c>
      <c r="AP223" s="3">
        <f t="shared" si="86"/>
        <v>0</v>
      </c>
    </row>
    <row r="224" spans="1:42" x14ac:dyDescent="0.2">
      <c r="A224" s="49" t="s">
        <v>892</v>
      </c>
      <c r="B224" s="37" t="s">
        <v>554</v>
      </c>
      <c r="C224" s="37" t="s">
        <v>571</v>
      </c>
      <c r="D224" s="52"/>
      <c r="E224" s="38" t="s">
        <v>754</v>
      </c>
      <c r="F224" s="36" t="s">
        <v>557</v>
      </c>
      <c r="G224" s="36" t="s">
        <v>957</v>
      </c>
      <c r="H224" s="39"/>
      <c r="I224" s="40"/>
      <c r="J224" s="39"/>
      <c r="K224" s="40"/>
      <c r="L224" s="51"/>
      <c r="M224" s="41">
        <v>479.21000000000004</v>
      </c>
      <c r="N224" s="41"/>
      <c r="O224" s="36"/>
      <c r="P224" s="41"/>
      <c r="Q224" s="36"/>
      <c r="R224" s="43"/>
      <c r="S224" s="43"/>
      <c r="T224" s="41"/>
      <c r="U224" s="44"/>
      <c r="V224" s="45"/>
      <c r="W224" s="36">
        <v>36</v>
      </c>
      <c r="X224" s="86">
        <v>17251.560000000001</v>
      </c>
      <c r="Y224" s="199">
        <v>479.21</v>
      </c>
      <c r="Z224" s="44">
        <v>132</v>
      </c>
      <c r="AA224" s="41">
        <f t="shared" si="83"/>
        <v>63255.719999999994</v>
      </c>
      <c r="AB224" s="44">
        <v>0</v>
      </c>
      <c r="AC224" s="44">
        <f t="shared" si="98"/>
        <v>0</v>
      </c>
      <c r="AD224" s="44">
        <f t="shared" si="84"/>
        <v>132</v>
      </c>
      <c r="AE224" s="111">
        <f t="shared" si="85"/>
        <v>63255.719999999994</v>
      </c>
      <c r="AF224" s="51" t="s">
        <v>571</v>
      </c>
      <c r="AG224" s="115"/>
      <c r="AH224" s="35">
        <v>0</v>
      </c>
      <c r="AI224" s="36">
        <v>0</v>
      </c>
      <c r="AJ224" s="36">
        <v>0</v>
      </c>
      <c r="AK224" s="36"/>
      <c r="AL224" s="36">
        <v>0</v>
      </c>
      <c r="AM224" s="36">
        <v>0</v>
      </c>
      <c r="AN224" s="46">
        <v>0</v>
      </c>
      <c r="AO224" s="100">
        <f t="shared" si="87"/>
        <v>0</v>
      </c>
      <c r="AP224" s="3">
        <f t="shared" si="86"/>
        <v>0</v>
      </c>
    </row>
    <row r="225" spans="1:42" x14ac:dyDescent="0.2">
      <c r="A225" s="49" t="s">
        <v>292</v>
      </c>
      <c r="B225" s="37" t="s">
        <v>565</v>
      </c>
      <c r="C225" s="37" t="s">
        <v>578</v>
      </c>
      <c r="D225" s="52"/>
      <c r="E225" s="38" t="s">
        <v>755</v>
      </c>
      <c r="F225" s="36" t="s">
        <v>560</v>
      </c>
      <c r="G225" s="36" t="s">
        <v>623</v>
      </c>
      <c r="H225" s="39">
        <v>14</v>
      </c>
      <c r="I225" s="40">
        <v>74900</v>
      </c>
      <c r="J225" s="39">
        <v>24</v>
      </c>
      <c r="K225" s="40">
        <v>120700</v>
      </c>
      <c r="L225" s="37" t="s">
        <v>571</v>
      </c>
      <c r="M225" s="41">
        <v>5350</v>
      </c>
      <c r="N225" s="42">
        <v>0</v>
      </c>
      <c r="O225" s="36">
        <v>38</v>
      </c>
      <c r="P225" s="41">
        <f>(N225+O225)*M225</f>
        <v>203300</v>
      </c>
      <c r="Q225" s="36">
        <v>14</v>
      </c>
      <c r="R225" s="43">
        <f>O225-Q225</f>
        <v>24</v>
      </c>
      <c r="S225" s="43">
        <f>U225-O225</f>
        <v>-15</v>
      </c>
      <c r="T225" s="41">
        <f>S225*M225</f>
        <v>-80250</v>
      </c>
      <c r="U225" s="44">
        <v>23</v>
      </c>
      <c r="V225" s="45">
        <f>U225*M225</f>
        <v>123050</v>
      </c>
      <c r="W225" s="36">
        <v>23</v>
      </c>
      <c r="X225" s="86">
        <v>123050</v>
      </c>
      <c r="Y225" s="199">
        <v>5724.5</v>
      </c>
      <c r="Z225" s="44">
        <v>11</v>
      </c>
      <c r="AA225" s="41">
        <f t="shared" si="83"/>
        <v>62969.5</v>
      </c>
      <c r="AB225" s="44">
        <v>0</v>
      </c>
      <c r="AC225" s="44">
        <f t="shared" si="98"/>
        <v>0</v>
      </c>
      <c r="AD225" s="44">
        <f t="shared" si="84"/>
        <v>11</v>
      </c>
      <c r="AE225" s="111">
        <f t="shared" si="85"/>
        <v>62969.5</v>
      </c>
      <c r="AF225" s="51" t="s">
        <v>571</v>
      </c>
      <c r="AG225" s="115" t="s">
        <v>1046</v>
      </c>
      <c r="AH225" s="35">
        <v>0</v>
      </c>
      <c r="AI225" s="36">
        <v>0</v>
      </c>
      <c r="AJ225" s="36">
        <v>0</v>
      </c>
      <c r="AK225" s="36"/>
      <c r="AL225" s="36">
        <v>0</v>
      </c>
      <c r="AM225" s="36">
        <v>0</v>
      </c>
      <c r="AN225" s="46">
        <v>0</v>
      </c>
      <c r="AO225" s="100">
        <f t="shared" si="87"/>
        <v>0</v>
      </c>
      <c r="AP225" s="3">
        <f t="shared" si="86"/>
        <v>0</v>
      </c>
    </row>
    <row r="226" spans="1:42" x14ac:dyDescent="0.2">
      <c r="A226" s="35" t="s">
        <v>374</v>
      </c>
      <c r="B226" s="37" t="s">
        <v>565</v>
      </c>
      <c r="C226" s="37" t="s">
        <v>571</v>
      </c>
      <c r="D226" s="52"/>
      <c r="E226" s="38" t="s">
        <v>786</v>
      </c>
      <c r="F226" s="36" t="s">
        <v>558</v>
      </c>
      <c r="G226" s="36" t="s">
        <v>628</v>
      </c>
      <c r="H226" s="39">
        <v>516</v>
      </c>
      <c r="I226" s="40">
        <v>71801.399999999994</v>
      </c>
      <c r="J226" s="39">
        <v>218</v>
      </c>
      <c r="K226" s="40">
        <v>36537.86</v>
      </c>
      <c r="L226" s="37" t="s">
        <v>571</v>
      </c>
      <c r="M226" s="41">
        <v>208.35</v>
      </c>
      <c r="N226" s="42">
        <v>0</v>
      </c>
      <c r="O226" s="36">
        <v>404</v>
      </c>
      <c r="P226" s="41">
        <f>(N226+O226)*M226</f>
        <v>84173.4</v>
      </c>
      <c r="Q226" s="36">
        <v>0</v>
      </c>
      <c r="R226" s="43">
        <f>O226-Q226</f>
        <v>404</v>
      </c>
      <c r="S226" s="43">
        <f>U226-O226</f>
        <v>0</v>
      </c>
      <c r="T226" s="41">
        <f>S226*M226</f>
        <v>0</v>
      </c>
      <c r="U226" s="44">
        <v>404</v>
      </c>
      <c r="V226" s="45">
        <f>U226*M226</f>
        <v>84173.4</v>
      </c>
      <c r="W226" s="36">
        <v>404</v>
      </c>
      <c r="X226" s="86">
        <v>84173.4</v>
      </c>
      <c r="Y226" s="199">
        <v>208.35</v>
      </c>
      <c r="Z226" s="44">
        <v>0</v>
      </c>
      <c r="AA226" s="41">
        <f t="shared" si="83"/>
        <v>0</v>
      </c>
      <c r="AB226" s="44">
        <v>0</v>
      </c>
      <c r="AC226" s="44">
        <f t="shared" si="98"/>
        <v>300</v>
      </c>
      <c r="AD226" s="44">
        <f t="shared" si="84"/>
        <v>300</v>
      </c>
      <c r="AE226" s="111">
        <f t="shared" si="85"/>
        <v>62505</v>
      </c>
      <c r="AF226" s="51" t="s">
        <v>571</v>
      </c>
      <c r="AG226" s="115"/>
      <c r="AH226" s="35">
        <v>0</v>
      </c>
      <c r="AI226" s="36">
        <v>0</v>
      </c>
      <c r="AJ226" s="36">
        <v>300</v>
      </c>
      <c r="AK226" s="36"/>
      <c r="AL226" s="36">
        <v>0</v>
      </c>
      <c r="AM226" s="36">
        <v>0</v>
      </c>
      <c r="AN226" s="46">
        <v>0</v>
      </c>
      <c r="AO226" s="100">
        <f t="shared" si="87"/>
        <v>300</v>
      </c>
      <c r="AP226" s="3">
        <f t="shared" si="86"/>
        <v>62505</v>
      </c>
    </row>
    <row r="227" spans="1:42" x14ac:dyDescent="0.2">
      <c r="A227" s="35" t="s">
        <v>296</v>
      </c>
      <c r="B227" s="37" t="s">
        <v>556</v>
      </c>
      <c r="C227" s="37" t="s">
        <v>578</v>
      </c>
      <c r="D227" s="52">
        <v>46387</v>
      </c>
      <c r="E227" s="38" t="s">
        <v>754</v>
      </c>
      <c r="F227" s="36" t="s">
        <v>559</v>
      </c>
      <c r="G227" s="36" t="s">
        <v>609</v>
      </c>
      <c r="H227" s="39">
        <v>800</v>
      </c>
      <c r="I227" s="40">
        <v>39600</v>
      </c>
      <c r="J227" s="39">
        <v>1100</v>
      </c>
      <c r="K227" s="40">
        <v>54450</v>
      </c>
      <c r="L227" s="37" t="s">
        <v>578</v>
      </c>
      <c r="M227" s="41">
        <v>49.5</v>
      </c>
      <c r="N227" s="42">
        <v>0</v>
      </c>
      <c r="O227" s="36">
        <v>16</v>
      </c>
      <c r="P227" s="41">
        <f>(N227+O227)*M227</f>
        <v>792</v>
      </c>
      <c r="Q227" s="36">
        <v>74</v>
      </c>
      <c r="R227" s="43">
        <f>O227-Q227</f>
        <v>-58</v>
      </c>
      <c r="S227" s="43">
        <f>U227-O227</f>
        <v>484</v>
      </c>
      <c r="T227" s="41">
        <f>S227*M227</f>
        <v>23958</v>
      </c>
      <c r="U227" s="44">
        <v>500</v>
      </c>
      <c r="V227" s="45">
        <f>U227*M227</f>
        <v>24750</v>
      </c>
      <c r="W227" s="36">
        <v>16</v>
      </c>
      <c r="X227" s="86">
        <v>792</v>
      </c>
      <c r="Y227" s="199">
        <v>49.5</v>
      </c>
      <c r="Z227" s="44">
        <v>721</v>
      </c>
      <c r="AA227" s="41">
        <f t="shared" si="83"/>
        <v>35689.5</v>
      </c>
      <c r="AB227" s="44">
        <v>0</v>
      </c>
      <c r="AC227" s="44">
        <f t="shared" si="98"/>
        <v>538</v>
      </c>
      <c r="AD227" s="44">
        <f t="shared" si="84"/>
        <v>1259</v>
      </c>
      <c r="AE227" s="111">
        <f t="shared" si="85"/>
        <v>62320.5</v>
      </c>
      <c r="AF227" s="51" t="s">
        <v>578</v>
      </c>
      <c r="AG227" s="115"/>
      <c r="AH227" s="35">
        <v>538</v>
      </c>
      <c r="AI227" s="36">
        <v>0</v>
      </c>
      <c r="AJ227" s="36">
        <v>0</v>
      </c>
      <c r="AK227" s="36"/>
      <c r="AL227" s="36">
        <v>0</v>
      </c>
      <c r="AM227" s="36">
        <v>0</v>
      </c>
      <c r="AN227" s="46">
        <v>0</v>
      </c>
      <c r="AO227" s="100">
        <f t="shared" si="87"/>
        <v>538</v>
      </c>
      <c r="AP227" s="3">
        <f t="shared" si="86"/>
        <v>26631</v>
      </c>
    </row>
    <row r="228" spans="1:42" x14ac:dyDescent="0.2">
      <c r="A228" s="49" t="s">
        <v>865</v>
      </c>
      <c r="B228" s="37" t="s">
        <v>565</v>
      </c>
      <c r="C228" s="37" t="s">
        <v>571</v>
      </c>
      <c r="D228" s="52"/>
      <c r="E228" s="38" t="s">
        <v>791</v>
      </c>
      <c r="F228" s="36" t="s">
        <v>557</v>
      </c>
      <c r="G228" s="36" t="s">
        <v>634</v>
      </c>
      <c r="H228" s="39"/>
      <c r="I228" s="40"/>
      <c r="J228" s="39">
        <v>80</v>
      </c>
      <c r="K228" s="40">
        <v>4364</v>
      </c>
      <c r="L228" s="51"/>
      <c r="M228" s="41">
        <v>77.78</v>
      </c>
      <c r="N228" s="41"/>
      <c r="O228" s="36"/>
      <c r="P228" s="41"/>
      <c r="Q228" s="36"/>
      <c r="R228" s="43"/>
      <c r="S228" s="43"/>
      <c r="T228" s="41"/>
      <c r="U228" s="44"/>
      <c r="V228" s="45"/>
      <c r="W228" s="36">
        <v>700</v>
      </c>
      <c r="X228" s="86">
        <v>54446</v>
      </c>
      <c r="Y228" s="199">
        <v>77.78</v>
      </c>
      <c r="Z228" s="44">
        <v>300</v>
      </c>
      <c r="AA228" s="41">
        <f t="shared" si="83"/>
        <v>23334</v>
      </c>
      <c r="AB228" s="44">
        <v>0</v>
      </c>
      <c r="AC228" s="44">
        <f t="shared" si="98"/>
        <v>500</v>
      </c>
      <c r="AD228" s="44">
        <f t="shared" si="84"/>
        <v>800</v>
      </c>
      <c r="AE228" s="111">
        <f t="shared" si="85"/>
        <v>62224</v>
      </c>
      <c r="AF228" s="51" t="s">
        <v>571</v>
      </c>
      <c r="AG228" s="115"/>
      <c r="AH228" s="35">
        <v>0</v>
      </c>
      <c r="AI228" s="36">
        <v>0</v>
      </c>
      <c r="AJ228" s="36">
        <v>0</v>
      </c>
      <c r="AK228" s="36"/>
      <c r="AL228" s="36">
        <v>0</v>
      </c>
      <c r="AM228" s="36">
        <v>0</v>
      </c>
      <c r="AN228" s="46">
        <v>500</v>
      </c>
      <c r="AO228" s="100">
        <f t="shared" si="87"/>
        <v>500</v>
      </c>
      <c r="AP228" s="3">
        <f t="shared" si="86"/>
        <v>38890</v>
      </c>
    </row>
    <row r="229" spans="1:42" x14ac:dyDescent="0.2">
      <c r="A229" s="35" t="s">
        <v>309</v>
      </c>
      <c r="B229" s="37" t="s">
        <v>556</v>
      </c>
      <c r="C229" s="37" t="s">
        <v>571</v>
      </c>
      <c r="D229" s="52"/>
      <c r="E229" s="38" t="s">
        <v>774</v>
      </c>
      <c r="F229" s="36" t="s">
        <v>557</v>
      </c>
      <c r="G229" s="36" t="s">
        <v>581</v>
      </c>
      <c r="H229" s="39">
        <v>0</v>
      </c>
      <c r="I229" s="40">
        <v>0</v>
      </c>
      <c r="J229" s="39">
        <v>286</v>
      </c>
      <c r="K229" s="40">
        <v>75512.98</v>
      </c>
      <c r="L229" s="37" t="s">
        <v>571</v>
      </c>
      <c r="M229" s="41">
        <v>296.26426183844012</v>
      </c>
      <c r="N229" s="42">
        <v>0</v>
      </c>
      <c r="O229" s="36">
        <v>359</v>
      </c>
      <c r="P229" s="41">
        <f>(N229+O229)*M229</f>
        <v>106358.87000000001</v>
      </c>
      <c r="Q229" s="36">
        <v>400</v>
      </c>
      <c r="R229" s="43">
        <f>O229-Q229</f>
        <v>-41</v>
      </c>
      <c r="S229" s="43">
        <f>U229-O229</f>
        <v>0</v>
      </c>
      <c r="T229" s="41">
        <f>S229*M229</f>
        <v>0</v>
      </c>
      <c r="U229" s="44">
        <f>O229</f>
        <v>359</v>
      </c>
      <c r="V229" s="45">
        <f>U229*M229</f>
        <v>106358.87000000001</v>
      </c>
      <c r="W229" s="36">
        <v>359</v>
      </c>
      <c r="X229" s="86">
        <v>106358.87</v>
      </c>
      <c r="Y229" s="199">
        <v>310.08</v>
      </c>
      <c r="Z229" s="44">
        <v>100</v>
      </c>
      <c r="AA229" s="41">
        <f t="shared" si="83"/>
        <v>31008</v>
      </c>
      <c r="AB229" s="44">
        <v>0</v>
      </c>
      <c r="AC229" s="44">
        <f t="shared" si="98"/>
        <v>100</v>
      </c>
      <c r="AD229" s="44">
        <f t="shared" si="84"/>
        <v>200</v>
      </c>
      <c r="AE229" s="111">
        <f t="shared" si="85"/>
        <v>62016</v>
      </c>
      <c r="AF229" s="51" t="s">
        <v>571</v>
      </c>
      <c r="AG229" s="115"/>
      <c r="AH229" s="35">
        <v>0</v>
      </c>
      <c r="AI229" s="36">
        <v>0</v>
      </c>
      <c r="AJ229" s="36">
        <v>100</v>
      </c>
      <c r="AK229" s="36"/>
      <c r="AL229" s="36">
        <v>0</v>
      </c>
      <c r="AM229" s="36">
        <v>0</v>
      </c>
      <c r="AN229" s="46">
        <v>0</v>
      </c>
      <c r="AO229" s="100">
        <f t="shared" si="87"/>
        <v>100</v>
      </c>
      <c r="AP229" s="3">
        <f t="shared" si="86"/>
        <v>31008</v>
      </c>
    </row>
    <row r="230" spans="1:42" x14ac:dyDescent="0.2">
      <c r="A230" s="35" t="s">
        <v>174</v>
      </c>
      <c r="B230" s="37" t="s">
        <v>556</v>
      </c>
      <c r="C230" s="37" t="s">
        <v>578</v>
      </c>
      <c r="D230" s="52">
        <v>46022</v>
      </c>
      <c r="E230" s="38" t="s">
        <v>764</v>
      </c>
      <c r="F230" s="36" t="s">
        <v>559</v>
      </c>
      <c r="G230" s="36" t="s">
        <v>607</v>
      </c>
      <c r="H230" s="39">
        <v>2549</v>
      </c>
      <c r="I230" s="40">
        <v>279301.62</v>
      </c>
      <c r="J230" s="39">
        <v>3110</v>
      </c>
      <c r="K230" s="40">
        <v>334205.10000000003</v>
      </c>
      <c r="L230" s="37" t="s">
        <v>578</v>
      </c>
      <c r="M230" s="41">
        <v>139.4</v>
      </c>
      <c r="N230" s="42">
        <v>0</v>
      </c>
      <c r="O230" s="36">
        <v>250</v>
      </c>
      <c r="P230" s="41">
        <f>(N230+O230)*M230</f>
        <v>34850</v>
      </c>
      <c r="Q230" s="36">
        <v>750</v>
      </c>
      <c r="R230" s="43">
        <f>O230-Q230</f>
        <v>-500</v>
      </c>
      <c r="S230" s="43">
        <f>U230-O230</f>
        <v>500</v>
      </c>
      <c r="T230" s="41">
        <f>S230*M230</f>
        <v>69700</v>
      </c>
      <c r="U230" s="44">
        <v>750</v>
      </c>
      <c r="V230" s="45">
        <f>U230*M230</f>
        <v>104550</v>
      </c>
      <c r="W230" s="36">
        <v>250</v>
      </c>
      <c r="X230" s="86">
        <v>34850</v>
      </c>
      <c r="Y230" s="199">
        <f>VLOOKUP(A230,'[1]2026-2028'!$B$3:$X$32,23,FALSE)</f>
        <v>123.77008125</v>
      </c>
      <c r="Z230" s="44">
        <v>0</v>
      </c>
      <c r="AA230" s="41">
        <f t="shared" si="83"/>
        <v>0</v>
      </c>
      <c r="AB230" s="44">
        <v>0</v>
      </c>
      <c r="AC230" s="44">
        <f t="shared" si="98"/>
        <v>500</v>
      </c>
      <c r="AD230" s="44">
        <f t="shared" si="84"/>
        <v>500</v>
      </c>
      <c r="AE230" s="111">
        <f t="shared" si="85"/>
        <v>61885.040625000001</v>
      </c>
      <c r="AF230" s="51" t="s">
        <v>571</v>
      </c>
      <c r="AG230" s="115"/>
      <c r="AH230" s="35">
        <v>0</v>
      </c>
      <c r="AI230" s="36">
        <v>0</v>
      </c>
      <c r="AJ230" s="36">
        <v>0</v>
      </c>
      <c r="AK230" s="50">
        <v>500</v>
      </c>
      <c r="AL230" s="36">
        <v>0</v>
      </c>
      <c r="AM230" s="36">
        <v>0</v>
      </c>
      <c r="AN230" s="46">
        <v>0</v>
      </c>
      <c r="AO230" s="100">
        <f t="shared" si="87"/>
        <v>500</v>
      </c>
      <c r="AP230" s="3">
        <f t="shared" si="86"/>
        <v>61885.040625000001</v>
      </c>
    </row>
    <row r="231" spans="1:42" x14ac:dyDescent="0.2">
      <c r="A231" s="35" t="s">
        <v>168</v>
      </c>
      <c r="B231" s="37" t="s">
        <v>556</v>
      </c>
      <c r="C231" s="37" t="s">
        <v>578</v>
      </c>
      <c r="D231" s="52">
        <v>46387</v>
      </c>
      <c r="E231" s="38" t="s">
        <v>754</v>
      </c>
      <c r="F231" s="36" t="s">
        <v>559</v>
      </c>
      <c r="G231" s="36" t="s">
        <v>646</v>
      </c>
      <c r="H231" s="39">
        <v>600</v>
      </c>
      <c r="I231" s="40">
        <v>43200</v>
      </c>
      <c r="J231" s="39">
        <v>198</v>
      </c>
      <c r="K231" s="40">
        <v>14256</v>
      </c>
      <c r="L231" s="37" t="s">
        <v>578</v>
      </c>
      <c r="M231" s="41">
        <v>72</v>
      </c>
      <c r="N231" s="42">
        <v>0</v>
      </c>
      <c r="O231" s="36">
        <v>702</v>
      </c>
      <c r="P231" s="41">
        <f>(N231+O231)*M231</f>
        <v>50544</v>
      </c>
      <c r="Q231" s="36">
        <v>0</v>
      </c>
      <c r="R231" s="43">
        <f>O231-Q231</f>
        <v>702</v>
      </c>
      <c r="S231" s="43">
        <f>U231-O231</f>
        <v>0</v>
      </c>
      <c r="T231" s="41">
        <f>S231*M231</f>
        <v>0</v>
      </c>
      <c r="U231" s="44">
        <f>O231</f>
        <v>702</v>
      </c>
      <c r="V231" s="45">
        <f>U231*M231</f>
        <v>50544</v>
      </c>
      <c r="W231" s="36">
        <v>702</v>
      </c>
      <c r="X231" s="86">
        <v>50544</v>
      </c>
      <c r="Y231" s="199">
        <v>72</v>
      </c>
      <c r="Z231" s="44">
        <v>800</v>
      </c>
      <c r="AA231" s="41">
        <f t="shared" si="83"/>
        <v>57600</v>
      </c>
      <c r="AB231" s="44">
        <v>0</v>
      </c>
      <c r="AC231" s="44">
        <f t="shared" si="98"/>
        <v>50</v>
      </c>
      <c r="AD231" s="44">
        <f t="shared" si="84"/>
        <v>850</v>
      </c>
      <c r="AE231" s="111">
        <f t="shared" si="85"/>
        <v>61200</v>
      </c>
      <c r="AF231" s="51" t="s">
        <v>578</v>
      </c>
      <c r="AG231" s="115"/>
      <c r="AH231" s="35">
        <v>50</v>
      </c>
      <c r="AI231" s="36">
        <v>0</v>
      </c>
      <c r="AJ231" s="36">
        <v>0</v>
      </c>
      <c r="AK231" s="36"/>
      <c r="AL231" s="36">
        <v>0</v>
      </c>
      <c r="AM231" s="36">
        <v>0</v>
      </c>
      <c r="AN231" s="46">
        <v>0</v>
      </c>
      <c r="AO231" s="100">
        <f t="shared" si="87"/>
        <v>50</v>
      </c>
      <c r="AP231" s="3">
        <f t="shared" si="86"/>
        <v>3600</v>
      </c>
    </row>
    <row r="232" spans="1:42" x14ac:dyDescent="0.2">
      <c r="A232" s="35" t="s">
        <v>469</v>
      </c>
      <c r="B232" s="37" t="s">
        <v>565</v>
      </c>
      <c r="C232" s="37" t="s">
        <v>578</v>
      </c>
      <c r="D232" s="52">
        <v>46387</v>
      </c>
      <c r="E232" s="38" t="s">
        <v>758</v>
      </c>
      <c r="F232" s="36" t="s">
        <v>555</v>
      </c>
      <c r="G232" s="36" t="s">
        <v>591</v>
      </c>
      <c r="H232" s="39">
        <v>0</v>
      </c>
      <c r="I232" s="40">
        <v>0</v>
      </c>
      <c r="J232" s="39">
        <v>0</v>
      </c>
      <c r="K232" s="40">
        <v>0</v>
      </c>
      <c r="L232" s="37" t="s">
        <v>571</v>
      </c>
      <c r="M232" s="41" t="e">
        <v>#DIV/0!</v>
      </c>
      <c r="N232" s="42">
        <v>0</v>
      </c>
      <c r="O232" s="36">
        <v>0</v>
      </c>
      <c r="P232" s="41" t="e">
        <f>(N232+O232)*M232</f>
        <v>#DIV/0!</v>
      </c>
      <c r="Q232" s="36">
        <v>500</v>
      </c>
      <c r="R232" s="43">
        <f>O232-Q232</f>
        <v>-500</v>
      </c>
      <c r="S232" s="43">
        <f>U232-O232</f>
        <v>0</v>
      </c>
      <c r="T232" s="41" t="e">
        <f>S232*M232</f>
        <v>#DIV/0!</v>
      </c>
      <c r="U232" s="44">
        <f>O232/1.25</f>
        <v>0</v>
      </c>
      <c r="V232" s="45" t="e">
        <f>U232*M232</f>
        <v>#DIV/0!</v>
      </c>
      <c r="W232" s="36">
        <v>0</v>
      </c>
      <c r="X232" s="86">
        <v>0</v>
      </c>
      <c r="Y232" s="199">
        <v>1219.1099999999999</v>
      </c>
      <c r="Z232" s="44">
        <v>50</v>
      </c>
      <c r="AA232" s="41">
        <f t="shared" si="83"/>
        <v>60955.499999999993</v>
      </c>
      <c r="AB232" s="44">
        <v>0</v>
      </c>
      <c r="AC232" s="44">
        <f t="shared" si="98"/>
        <v>0</v>
      </c>
      <c r="AD232" s="44">
        <f t="shared" si="84"/>
        <v>50</v>
      </c>
      <c r="AE232" s="111">
        <f t="shared" si="85"/>
        <v>60955.499999999993</v>
      </c>
      <c r="AF232" s="51" t="s">
        <v>578</v>
      </c>
      <c r="AG232" s="115" t="s">
        <v>747</v>
      </c>
      <c r="AH232" s="35">
        <v>0</v>
      </c>
      <c r="AI232" s="36">
        <v>0</v>
      </c>
      <c r="AJ232" s="36">
        <v>0</v>
      </c>
      <c r="AK232" s="36"/>
      <c r="AL232" s="36">
        <v>0</v>
      </c>
      <c r="AM232" s="36">
        <v>0</v>
      </c>
      <c r="AN232" s="46">
        <v>0</v>
      </c>
      <c r="AO232" s="100">
        <f t="shared" si="87"/>
        <v>0</v>
      </c>
      <c r="AP232" s="3">
        <f t="shared" si="86"/>
        <v>0</v>
      </c>
    </row>
    <row r="233" spans="1:42" x14ac:dyDescent="0.2">
      <c r="A233" s="49" t="s">
        <v>846</v>
      </c>
      <c r="B233" s="37" t="s">
        <v>556</v>
      </c>
      <c r="C233" s="37" t="s">
        <v>571</v>
      </c>
      <c r="D233" s="52"/>
      <c r="E233" s="38" t="s">
        <v>1016</v>
      </c>
      <c r="F233" s="36" t="s">
        <v>560</v>
      </c>
      <c r="G233" s="36" t="s">
        <v>970</v>
      </c>
      <c r="H233" s="39"/>
      <c r="I233" s="40"/>
      <c r="J233" s="39">
        <v>51</v>
      </c>
      <c r="K233" s="40">
        <v>58440.9</v>
      </c>
      <c r="L233" s="51"/>
      <c r="M233" s="41">
        <v>1214.6500000000001</v>
      </c>
      <c r="N233" s="41"/>
      <c r="O233" s="36"/>
      <c r="P233" s="41"/>
      <c r="Q233" s="36"/>
      <c r="R233" s="43"/>
      <c r="S233" s="43"/>
      <c r="T233" s="41"/>
      <c r="U233" s="44"/>
      <c r="V233" s="45"/>
      <c r="W233" s="36">
        <v>100</v>
      </c>
      <c r="X233" s="86">
        <v>121465</v>
      </c>
      <c r="Y233" s="199">
        <v>1214.6500000000001</v>
      </c>
      <c r="Z233" s="44">
        <v>0</v>
      </c>
      <c r="AA233" s="41">
        <f t="shared" si="83"/>
        <v>0</v>
      </c>
      <c r="AB233" s="44">
        <v>0</v>
      </c>
      <c r="AC233" s="44">
        <f t="shared" si="98"/>
        <v>50</v>
      </c>
      <c r="AD233" s="44">
        <f t="shared" si="84"/>
        <v>50</v>
      </c>
      <c r="AE233" s="111">
        <f t="shared" si="85"/>
        <v>60732.500000000007</v>
      </c>
      <c r="AF233" s="51" t="s">
        <v>578</v>
      </c>
      <c r="AG233" s="115"/>
      <c r="AH233" s="35">
        <v>0</v>
      </c>
      <c r="AI233" s="36">
        <v>0</v>
      </c>
      <c r="AJ233" s="36">
        <v>50</v>
      </c>
      <c r="AK233" s="36"/>
      <c r="AL233" s="36">
        <v>0</v>
      </c>
      <c r="AM233" s="36">
        <v>0</v>
      </c>
      <c r="AN233" s="46">
        <v>0</v>
      </c>
      <c r="AO233" s="100">
        <f t="shared" si="87"/>
        <v>50</v>
      </c>
      <c r="AP233" s="3">
        <f t="shared" si="86"/>
        <v>60732.500000000007</v>
      </c>
    </row>
    <row r="234" spans="1:42" x14ac:dyDescent="0.2">
      <c r="A234" s="35" t="s">
        <v>486</v>
      </c>
      <c r="B234" s="156" t="s">
        <v>565</v>
      </c>
      <c r="C234" s="37" t="s">
        <v>571</v>
      </c>
      <c r="D234" s="52"/>
      <c r="E234" s="38" t="s">
        <v>682</v>
      </c>
      <c r="F234" s="36" t="s">
        <v>564</v>
      </c>
      <c r="G234" s="36" t="s">
        <v>675</v>
      </c>
      <c r="H234" s="39">
        <v>1178</v>
      </c>
      <c r="I234" s="40">
        <v>101849.88000000002</v>
      </c>
      <c r="J234" s="39">
        <v>0</v>
      </c>
      <c r="K234" s="40">
        <v>0</v>
      </c>
      <c r="L234" s="37" t="s">
        <v>578</v>
      </c>
      <c r="M234" s="47" t="e">
        <v>#DIV/0!</v>
      </c>
      <c r="N234" s="48">
        <v>0</v>
      </c>
      <c r="O234" s="36">
        <v>0</v>
      </c>
      <c r="P234" s="47" t="e">
        <f t="shared" ref="P234:P242" si="99">(N234+O234)*M234</f>
        <v>#DIV/0!</v>
      </c>
      <c r="Q234" s="36">
        <v>950</v>
      </c>
      <c r="R234" s="43">
        <f t="shared" ref="R234:R242" si="100">O234-Q234</f>
        <v>-950</v>
      </c>
      <c r="S234" s="43">
        <f t="shared" ref="S234:S242" si="101">U234-O234</f>
        <v>500</v>
      </c>
      <c r="T234" s="47" t="e">
        <f t="shared" ref="T234:T242" si="102">S234*M234</f>
        <v>#DIV/0!</v>
      </c>
      <c r="U234" s="44">
        <v>500</v>
      </c>
      <c r="V234" s="45" t="e">
        <f t="shared" ref="V234:V242" si="103">U234*M234</f>
        <v>#DIV/0!</v>
      </c>
      <c r="W234" s="36">
        <v>0</v>
      </c>
      <c r="X234" s="86">
        <v>0</v>
      </c>
      <c r="Y234" s="199">
        <v>102.02</v>
      </c>
      <c r="Z234" s="44">
        <v>0</v>
      </c>
      <c r="AA234" s="41">
        <f t="shared" si="83"/>
        <v>0</v>
      </c>
      <c r="AB234" s="44">
        <v>0</v>
      </c>
      <c r="AC234" s="44">
        <f t="shared" si="98"/>
        <v>594</v>
      </c>
      <c r="AD234" s="44">
        <f t="shared" si="84"/>
        <v>594</v>
      </c>
      <c r="AE234" s="111">
        <f t="shared" si="85"/>
        <v>60599.88</v>
      </c>
      <c r="AF234" s="51" t="s">
        <v>578</v>
      </c>
      <c r="AG234" s="115"/>
      <c r="AH234" s="35">
        <v>0</v>
      </c>
      <c r="AI234" s="36">
        <v>0</v>
      </c>
      <c r="AJ234" s="36">
        <v>0</v>
      </c>
      <c r="AK234" s="36"/>
      <c r="AL234" s="36">
        <v>0</v>
      </c>
      <c r="AM234" s="36">
        <v>0</v>
      </c>
      <c r="AN234" s="46">
        <v>594</v>
      </c>
      <c r="AO234" s="100">
        <f t="shared" si="87"/>
        <v>594</v>
      </c>
      <c r="AP234" s="3">
        <f t="shared" si="86"/>
        <v>60599.88</v>
      </c>
    </row>
    <row r="235" spans="1:42" x14ac:dyDescent="0.2">
      <c r="A235" s="35" t="s">
        <v>150</v>
      </c>
      <c r="B235" s="37" t="s">
        <v>565</v>
      </c>
      <c r="C235" s="37" t="s">
        <v>578</v>
      </c>
      <c r="D235" s="52">
        <v>46387</v>
      </c>
      <c r="E235" s="38" t="s">
        <v>754</v>
      </c>
      <c r="F235" s="36" t="s">
        <v>559</v>
      </c>
      <c r="G235" s="36" t="s">
        <v>595</v>
      </c>
      <c r="H235" s="39">
        <v>0</v>
      </c>
      <c r="I235" s="40">
        <v>0</v>
      </c>
      <c r="J235" s="39">
        <v>39</v>
      </c>
      <c r="K235" s="40">
        <v>14966.64</v>
      </c>
      <c r="L235" s="37" t="s">
        <v>578</v>
      </c>
      <c r="M235" s="41">
        <v>398.06</v>
      </c>
      <c r="N235" s="42">
        <v>0</v>
      </c>
      <c r="O235" s="36">
        <v>58</v>
      </c>
      <c r="P235" s="41">
        <f t="shared" si="99"/>
        <v>23087.48</v>
      </c>
      <c r="Q235" s="36">
        <v>58</v>
      </c>
      <c r="R235" s="43">
        <f t="shared" si="100"/>
        <v>0</v>
      </c>
      <c r="S235" s="43">
        <f t="shared" si="101"/>
        <v>0</v>
      </c>
      <c r="T235" s="41">
        <f t="shared" si="102"/>
        <v>0</v>
      </c>
      <c r="U235" s="44">
        <v>58</v>
      </c>
      <c r="V235" s="45">
        <f t="shared" si="103"/>
        <v>23087.48</v>
      </c>
      <c r="W235" s="36">
        <v>58</v>
      </c>
      <c r="X235" s="86">
        <v>23087.48</v>
      </c>
      <c r="Y235" s="199">
        <v>398.06</v>
      </c>
      <c r="Z235" s="44">
        <v>54</v>
      </c>
      <c r="AA235" s="41">
        <f t="shared" si="83"/>
        <v>21495.24</v>
      </c>
      <c r="AB235" s="44">
        <v>0</v>
      </c>
      <c r="AC235" s="44">
        <f t="shared" si="98"/>
        <v>96</v>
      </c>
      <c r="AD235" s="44">
        <f t="shared" si="84"/>
        <v>150</v>
      </c>
      <c r="AE235" s="111">
        <f t="shared" si="85"/>
        <v>59709</v>
      </c>
      <c r="AF235" s="51" t="s">
        <v>578</v>
      </c>
      <c r="AG235" s="115"/>
      <c r="AH235" s="35">
        <v>96</v>
      </c>
      <c r="AI235" s="36">
        <v>0</v>
      </c>
      <c r="AJ235" s="36">
        <v>0</v>
      </c>
      <c r="AK235" s="36"/>
      <c r="AL235" s="36">
        <v>0</v>
      </c>
      <c r="AM235" s="36">
        <v>0</v>
      </c>
      <c r="AN235" s="46">
        <v>0</v>
      </c>
      <c r="AO235" s="100">
        <f t="shared" si="87"/>
        <v>96</v>
      </c>
      <c r="AP235" s="3">
        <f t="shared" si="86"/>
        <v>38213.760000000002</v>
      </c>
    </row>
    <row r="236" spans="1:42" x14ac:dyDescent="0.2">
      <c r="A236" s="35" t="s">
        <v>372</v>
      </c>
      <c r="B236" s="37" t="s">
        <v>556</v>
      </c>
      <c r="C236" s="37" t="s">
        <v>578</v>
      </c>
      <c r="D236" s="52">
        <v>46022</v>
      </c>
      <c r="E236" s="38" t="s">
        <v>755</v>
      </c>
      <c r="F236" s="36" t="s">
        <v>558</v>
      </c>
      <c r="G236" s="36" t="s">
        <v>584</v>
      </c>
      <c r="H236" s="39">
        <v>617</v>
      </c>
      <c r="I236" s="40">
        <v>286207.88</v>
      </c>
      <c r="J236" s="39">
        <v>549</v>
      </c>
      <c r="K236" s="40">
        <v>369076.66</v>
      </c>
      <c r="L236" s="37" t="s">
        <v>578</v>
      </c>
      <c r="M236" s="41">
        <v>850.13106382978719</v>
      </c>
      <c r="N236" s="42">
        <v>8</v>
      </c>
      <c r="O236" s="36">
        <v>0</v>
      </c>
      <c r="P236" s="41">
        <f t="shared" si="99"/>
        <v>6801.0485106382976</v>
      </c>
      <c r="Q236" s="36">
        <v>50</v>
      </c>
      <c r="R236" s="43">
        <f t="shared" si="100"/>
        <v>-50</v>
      </c>
      <c r="S236" s="43">
        <f t="shared" si="101"/>
        <v>500</v>
      </c>
      <c r="T236" s="41">
        <f t="shared" si="102"/>
        <v>425065.5319148936</v>
      </c>
      <c r="U236" s="44">
        <v>500</v>
      </c>
      <c r="V236" s="45">
        <f t="shared" si="103"/>
        <v>425065.5319148936</v>
      </c>
      <c r="W236" s="36">
        <v>47</v>
      </c>
      <c r="X236" s="86">
        <v>39956.159999999996</v>
      </c>
      <c r="Y236" s="199">
        <v>729.87</v>
      </c>
      <c r="Z236" s="44">
        <v>0</v>
      </c>
      <c r="AA236" s="41">
        <f t="shared" si="83"/>
        <v>0</v>
      </c>
      <c r="AB236" s="44">
        <v>0</v>
      </c>
      <c r="AC236" s="44">
        <f t="shared" si="98"/>
        <v>80</v>
      </c>
      <c r="AD236" s="44">
        <f t="shared" si="84"/>
        <v>80</v>
      </c>
      <c r="AE236" s="111">
        <f t="shared" si="85"/>
        <v>58389.599999999999</v>
      </c>
      <c r="AF236" s="51" t="s">
        <v>578</v>
      </c>
      <c r="AG236" s="115" t="s">
        <v>1069</v>
      </c>
      <c r="AH236" s="35">
        <v>0</v>
      </c>
      <c r="AI236" s="36">
        <v>0</v>
      </c>
      <c r="AJ236" s="36">
        <v>0</v>
      </c>
      <c r="AK236" s="36"/>
      <c r="AL236" s="36">
        <v>80</v>
      </c>
      <c r="AM236" s="36">
        <v>0</v>
      </c>
      <c r="AN236" s="46">
        <v>0</v>
      </c>
      <c r="AO236" s="100">
        <f t="shared" si="87"/>
        <v>80</v>
      </c>
      <c r="AP236" s="3">
        <f t="shared" si="86"/>
        <v>58389.599999999999</v>
      </c>
    </row>
    <row r="237" spans="1:42" x14ac:dyDescent="0.2">
      <c r="A237" s="35" t="s">
        <v>74</v>
      </c>
      <c r="B237" s="37" t="s">
        <v>565</v>
      </c>
      <c r="C237" s="37" t="s">
        <v>578</v>
      </c>
      <c r="D237" s="52">
        <v>46387</v>
      </c>
      <c r="E237" s="38" t="s">
        <v>754</v>
      </c>
      <c r="F237" s="36" t="s">
        <v>559</v>
      </c>
      <c r="G237" s="36" t="s">
        <v>587</v>
      </c>
      <c r="H237" s="39">
        <v>252</v>
      </c>
      <c r="I237" s="40">
        <v>36572.76</v>
      </c>
      <c r="J237" s="39">
        <v>285</v>
      </c>
      <c r="K237" s="40">
        <v>41362.050000000003</v>
      </c>
      <c r="L237" s="37" t="s">
        <v>578</v>
      </c>
      <c r="M237" s="41">
        <v>145.13</v>
      </c>
      <c r="N237" s="42">
        <v>32</v>
      </c>
      <c r="O237" s="36">
        <v>430</v>
      </c>
      <c r="P237" s="41">
        <f t="shared" si="99"/>
        <v>67050.06</v>
      </c>
      <c r="Q237" s="36">
        <v>572</v>
      </c>
      <c r="R237" s="43">
        <f t="shared" si="100"/>
        <v>-142</v>
      </c>
      <c r="S237" s="43">
        <f t="shared" si="101"/>
        <v>70</v>
      </c>
      <c r="T237" s="41">
        <f t="shared" si="102"/>
        <v>10159.1</v>
      </c>
      <c r="U237" s="44">
        <v>500</v>
      </c>
      <c r="V237" s="45">
        <f t="shared" si="103"/>
        <v>72565</v>
      </c>
      <c r="W237" s="36">
        <v>462</v>
      </c>
      <c r="X237" s="86">
        <v>67050.06</v>
      </c>
      <c r="Y237" s="199">
        <v>145.13</v>
      </c>
      <c r="Z237" s="44">
        <v>100</v>
      </c>
      <c r="AA237" s="41">
        <f t="shared" si="83"/>
        <v>14513</v>
      </c>
      <c r="AB237" s="44">
        <v>0</v>
      </c>
      <c r="AC237" s="44">
        <f t="shared" si="98"/>
        <v>289</v>
      </c>
      <c r="AD237" s="44">
        <f t="shared" si="84"/>
        <v>389</v>
      </c>
      <c r="AE237" s="111">
        <f t="shared" si="85"/>
        <v>56455.57</v>
      </c>
      <c r="AF237" s="51" t="s">
        <v>578</v>
      </c>
      <c r="AG237" s="115"/>
      <c r="AH237" s="35">
        <v>289</v>
      </c>
      <c r="AI237" s="36">
        <v>0</v>
      </c>
      <c r="AJ237" s="36">
        <v>0</v>
      </c>
      <c r="AK237" s="36"/>
      <c r="AL237" s="36">
        <v>0</v>
      </c>
      <c r="AM237" s="36">
        <v>0</v>
      </c>
      <c r="AN237" s="46">
        <v>0</v>
      </c>
      <c r="AO237" s="100">
        <f t="shared" si="87"/>
        <v>289</v>
      </c>
      <c r="AP237" s="3">
        <f t="shared" si="86"/>
        <v>41942.57</v>
      </c>
    </row>
    <row r="238" spans="1:42" x14ac:dyDescent="0.2">
      <c r="A238" s="35" t="s">
        <v>484</v>
      </c>
      <c r="B238" s="37" t="s">
        <v>556</v>
      </c>
      <c r="C238" s="37" t="s">
        <v>571</v>
      </c>
      <c r="D238" s="52"/>
      <c r="E238" s="38" t="s">
        <v>594</v>
      </c>
      <c r="F238" s="36" t="s">
        <v>555</v>
      </c>
      <c r="G238" s="36" t="s">
        <v>624</v>
      </c>
      <c r="H238" s="39">
        <v>77</v>
      </c>
      <c r="I238" s="40">
        <v>150622</v>
      </c>
      <c r="J238" s="39">
        <v>454</v>
      </c>
      <c r="K238" s="40">
        <v>907006.59</v>
      </c>
      <c r="L238" s="37" t="s">
        <v>571</v>
      </c>
      <c r="M238" s="41">
        <v>2242.5300000000002</v>
      </c>
      <c r="N238" s="42">
        <v>0</v>
      </c>
      <c r="O238" s="36">
        <v>0</v>
      </c>
      <c r="P238" s="41">
        <f t="shared" si="99"/>
        <v>0</v>
      </c>
      <c r="Q238" s="36">
        <v>50</v>
      </c>
      <c r="R238" s="43">
        <f t="shared" si="100"/>
        <v>-50</v>
      </c>
      <c r="S238" s="43">
        <f t="shared" si="101"/>
        <v>63</v>
      </c>
      <c r="T238" s="41">
        <f t="shared" si="102"/>
        <v>141279.39000000001</v>
      </c>
      <c r="U238" s="44">
        <v>63</v>
      </c>
      <c r="V238" s="45">
        <f t="shared" si="103"/>
        <v>141279.39000000001</v>
      </c>
      <c r="W238" s="36">
        <v>8</v>
      </c>
      <c r="X238" s="86">
        <v>17940.240000000002</v>
      </c>
      <c r="Y238" s="199">
        <v>2242.5300000000002</v>
      </c>
      <c r="Z238" s="44">
        <v>0</v>
      </c>
      <c r="AA238" s="41">
        <f t="shared" si="83"/>
        <v>0</v>
      </c>
      <c r="AB238" s="44">
        <v>0</v>
      </c>
      <c r="AC238" s="44">
        <f t="shared" si="98"/>
        <v>25</v>
      </c>
      <c r="AD238" s="44">
        <f t="shared" si="84"/>
        <v>25</v>
      </c>
      <c r="AE238" s="111">
        <f t="shared" si="85"/>
        <v>56063.250000000007</v>
      </c>
      <c r="AF238" s="51" t="s">
        <v>571</v>
      </c>
      <c r="AG238" s="115"/>
      <c r="AH238" s="35">
        <v>0</v>
      </c>
      <c r="AI238" s="36">
        <v>25</v>
      </c>
      <c r="AJ238" s="36">
        <v>0</v>
      </c>
      <c r="AK238" s="36"/>
      <c r="AL238" s="36">
        <v>0</v>
      </c>
      <c r="AM238" s="36">
        <v>0</v>
      </c>
      <c r="AN238" s="46">
        <v>0</v>
      </c>
      <c r="AO238" s="100">
        <f t="shared" si="87"/>
        <v>25</v>
      </c>
      <c r="AP238" s="3">
        <f t="shared" si="86"/>
        <v>56063.250000000007</v>
      </c>
    </row>
    <row r="239" spans="1:42" x14ac:dyDescent="0.2">
      <c r="A239" s="35" t="s">
        <v>66</v>
      </c>
      <c r="B239" s="37" t="s">
        <v>556</v>
      </c>
      <c r="C239" s="37" t="s">
        <v>578</v>
      </c>
      <c r="D239" s="52">
        <v>46387</v>
      </c>
      <c r="E239" s="38" t="s">
        <v>754</v>
      </c>
      <c r="F239" s="36" t="s">
        <v>559</v>
      </c>
      <c r="G239" s="36" t="s">
        <v>587</v>
      </c>
      <c r="H239" s="39">
        <v>147</v>
      </c>
      <c r="I239" s="40">
        <v>21515</v>
      </c>
      <c r="J239" s="39">
        <v>242</v>
      </c>
      <c r="K239" s="40">
        <v>84376.999999999985</v>
      </c>
      <c r="L239" s="37" t="s">
        <v>578</v>
      </c>
      <c r="M239" s="41">
        <v>391.34285714285716</v>
      </c>
      <c r="N239" s="42">
        <v>76</v>
      </c>
      <c r="O239" s="36">
        <v>178</v>
      </c>
      <c r="P239" s="41">
        <f t="shared" si="99"/>
        <v>99401.085714285713</v>
      </c>
      <c r="Q239" s="36">
        <v>44</v>
      </c>
      <c r="R239" s="43">
        <f t="shared" si="100"/>
        <v>134</v>
      </c>
      <c r="S239" s="43">
        <f t="shared" si="101"/>
        <v>72</v>
      </c>
      <c r="T239" s="41">
        <f t="shared" si="102"/>
        <v>28176.685714285715</v>
      </c>
      <c r="U239" s="44">
        <v>250</v>
      </c>
      <c r="V239" s="45">
        <f t="shared" si="103"/>
        <v>97835.71428571429</v>
      </c>
      <c r="W239" s="36">
        <v>329</v>
      </c>
      <c r="X239" s="86">
        <v>128751.8</v>
      </c>
      <c r="Y239" s="199">
        <v>425</v>
      </c>
      <c r="Z239" s="44">
        <v>20</v>
      </c>
      <c r="AA239" s="41">
        <f t="shared" si="83"/>
        <v>8500</v>
      </c>
      <c r="AB239" s="44">
        <v>0</v>
      </c>
      <c r="AC239" s="44">
        <f t="shared" si="98"/>
        <v>111</v>
      </c>
      <c r="AD239" s="44">
        <f t="shared" si="84"/>
        <v>131</v>
      </c>
      <c r="AE239" s="111">
        <f t="shared" si="85"/>
        <v>55675</v>
      </c>
      <c r="AF239" s="51" t="s">
        <v>578</v>
      </c>
      <c r="AG239" s="115"/>
      <c r="AH239" s="35">
        <v>36</v>
      </c>
      <c r="AI239" s="36">
        <v>0</v>
      </c>
      <c r="AJ239" s="36">
        <v>75</v>
      </c>
      <c r="AK239" s="36"/>
      <c r="AL239" s="36">
        <v>0</v>
      </c>
      <c r="AM239" s="36">
        <v>0</v>
      </c>
      <c r="AN239" s="46">
        <v>0</v>
      </c>
      <c r="AO239" s="100">
        <f t="shared" si="87"/>
        <v>111</v>
      </c>
      <c r="AP239" s="3">
        <f t="shared" si="86"/>
        <v>47175</v>
      </c>
    </row>
    <row r="240" spans="1:42" x14ac:dyDescent="0.2">
      <c r="A240" s="35" t="s">
        <v>492</v>
      </c>
      <c r="B240" s="37" t="s">
        <v>565</v>
      </c>
      <c r="C240" s="37" t="s">
        <v>571</v>
      </c>
      <c r="D240" s="52"/>
      <c r="E240" s="38" t="s">
        <v>682</v>
      </c>
      <c r="F240" s="36" t="s">
        <v>564</v>
      </c>
      <c r="G240" s="36" t="s">
        <v>675</v>
      </c>
      <c r="H240" s="39">
        <v>1102</v>
      </c>
      <c r="I240" s="40">
        <v>81184.34</v>
      </c>
      <c r="J240" s="39">
        <v>0</v>
      </c>
      <c r="K240" s="40">
        <v>0</v>
      </c>
      <c r="L240" s="37" t="s">
        <v>571</v>
      </c>
      <c r="M240" s="47" t="e">
        <v>#DIV/0!</v>
      </c>
      <c r="N240" s="48">
        <v>0</v>
      </c>
      <c r="O240" s="36">
        <v>0</v>
      </c>
      <c r="P240" s="47" t="e">
        <f t="shared" si="99"/>
        <v>#DIV/0!</v>
      </c>
      <c r="Q240" s="36">
        <v>850</v>
      </c>
      <c r="R240" s="43">
        <f t="shared" si="100"/>
        <v>-850</v>
      </c>
      <c r="S240" s="43">
        <f t="shared" si="101"/>
        <v>507</v>
      </c>
      <c r="T240" s="47" t="e">
        <f t="shared" si="102"/>
        <v>#DIV/0!</v>
      </c>
      <c r="U240" s="44">
        <v>507</v>
      </c>
      <c r="V240" s="45" t="e">
        <f t="shared" si="103"/>
        <v>#DIV/0!</v>
      </c>
      <c r="W240" s="36">
        <v>0</v>
      </c>
      <c r="X240" s="86">
        <v>0</v>
      </c>
      <c r="Y240" s="199">
        <v>86.93</v>
      </c>
      <c r="Z240" s="44">
        <v>0</v>
      </c>
      <c r="AA240" s="41">
        <f t="shared" si="83"/>
        <v>0</v>
      </c>
      <c r="AB240" s="44">
        <v>0</v>
      </c>
      <c r="AC240" s="44">
        <f t="shared" si="98"/>
        <v>636</v>
      </c>
      <c r="AD240" s="44">
        <f t="shared" si="84"/>
        <v>636</v>
      </c>
      <c r="AE240" s="111">
        <f t="shared" si="85"/>
        <v>55287.48</v>
      </c>
      <c r="AF240" s="51" t="s">
        <v>578</v>
      </c>
      <c r="AG240" s="115"/>
      <c r="AH240" s="35">
        <v>0</v>
      </c>
      <c r="AI240" s="36">
        <v>0</v>
      </c>
      <c r="AJ240" s="36">
        <v>0</v>
      </c>
      <c r="AK240" s="36"/>
      <c r="AL240" s="36">
        <v>0</v>
      </c>
      <c r="AM240" s="36">
        <v>0</v>
      </c>
      <c r="AN240" s="46">
        <v>636</v>
      </c>
      <c r="AO240" s="100">
        <f t="shared" si="87"/>
        <v>636</v>
      </c>
      <c r="AP240" s="3">
        <f t="shared" si="86"/>
        <v>55287.48</v>
      </c>
    </row>
    <row r="241" spans="1:42" x14ac:dyDescent="0.2">
      <c r="A241" s="35" t="s">
        <v>116</v>
      </c>
      <c r="B241" s="37" t="s">
        <v>556</v>
      </c>
      <c r="C241" s="37" t="s">
        <v>578</v>
      </c>
      <c r="D241" s="52">
        <v>46752</v>
      </c>
      <c r="E241" s="38" t="s">
        <v>772</v>
      </c>
      <c r="F241" s="36" t="s">
        <v>559</v>
      </c>
      <c r="G241" s="36" t="s">
        <v>637</v>
      </c>
      <c r="H241" s="39">
        <v>554</v>
      </c>
      <c r="I241" s="40">
        <v>41891.4</v>
      </c>
      <c r="J241" s="39">
        <v>596</v>
      </c>
      <c r="K241" s="40">
        <v>46236.800000000003</v>
      </c>
      <c r="L241" s="37" t="s">
        <v>578</v>
      </c>
      <c r="M241" s="41">
        <v>78.959999999999994</v>
      </c>
      <c r="N241" s="42">
        <v>0</v>
      </c>
      <c r="O241" s="36">
        <v>450</v>
      </c>
      <c r="P241" s="41">
        <f t="shared" si="99"/>
        <v>35532</v>
      </c>
      <c r="Q241" s="36">
        <v>750</v>
      </c>
      <c r="R241" s="43">
        <f t="shared" si="100"/>
        <v>-300</v>
      </c>
      <c r="S241" s="43">
        <f t="shared" si="101"/>
        <v>0</v>
      </c>
      <c r="T241" s="41">
        <f t="shared" si="102"/>
        <v>0</v>
      </c>
      <c r="U241" s="44">
        <f>O241</f>
        <v>450</v>
      </c>
      <c r="V241" s="45">
        <f t="shared" si="103"/>
        <v>35532</v>
      </c>
      <c r="W241" s="36">
        <v>558</v>
      </c>
      <c r="X241" s="86">
        <v>44059.68</v>
      </c>
      <c r="Y241" s="199">
        <v>78.959999999999994</v>
      </c>
      <c r="Z241" s="44">
        <v>551</v>
      </c>
      <c r="AA241" s="41">
        <f t="shared" si="83"/>
        <v>43506.96</v>
      </c>
      <c r="AB241" s="44">
        <v>0</v>
      </c>
      <c r="AC241" s="44">
        <f t="shared" si="98"/>
        <v>149</v>
      </c>
      <c r="AD241" s="44">
        <f t="shared" si="84"/>
        <v>700</v>
      </c>
      <c r="AE241" s="111">
        <f t="shared" si="85"/>
        <v>55271.999999999993</v>
      </c>
      <c r="AF241" s="51" t="s">
        <v>578</v>
      </c>
      <c r="AG241" s="115"/>
      <c r="AH241" s="35">
        <v>149</v>
      </c>
      <c r="AI241" s="36">
        <v>0</v>
      </c>
      <c r="AJ241" s="36">
        <v>0</v>
      </c>
      <c r="AK241" s="36"/>
      <c r="AL241" s="36">
        <v>0</v>
      </c>
      <c r="AM241" s="36">
        <v>0</v>
      </c>
      <c r="AN241" s="46">
        <v>0</v>
      </c>
      <c r="AO241" s="100">
        <f t="shared" si="87"/>
        <v>149</v>
      </c>
      <c r="AP241" s="3">
        <f t="shared" si="86"/>
        <v>11765.039999999999</v>
      </c>
    </row>
    <row r="242" spans="1:42" x14ac:dyDescent="0.2">
      <c r="A242" s="35" t="s">
        <v>212</v>
      </c>
      <c r="B242" s="37" t="s">
        <v>556</v>
      </c>
      <c r="C242" s="37" t="s">
        <v>578</v>
      </c>
      <c r="D242" s="52">
        <v>46022</v>
      </c>
      <c r="E242" s="38" t="s">
        <v>764</v>
      </c>
      <c r="F242" s="36" t="s">
        <v>559</v>
      </c>
      <c r="G242" s="36" t="s">
        <v>651</v>
      </c>
      <c r="H242" s="39">
        <v>1500</v>
      </c>
      <c r="I242" s="40">
        <v>30225</v>
      </c>
      <c r="J242" s="39">
        <v>3000</v>
      </c>
      <c r="K242" s="40">
        <v>60450</v>
      </c>
      <c r="L242" s="37" t="s">
        <v>571</v>
      </c>
      <c r="M242" s="41">
        <v>20.149999999999999</v>
      </c>
      <c r="N242" s="42">
        <v>0</v>
      </c>
      <c r="O242" s="36">
        <v>1500</v>
      </c>
      <c r="P242" s="41">
        <f t="shared" si="99"/>
        <v>30224.999999999996</v>
      </c>
      <c r="Q242" s="36">
        <v>0</v>
      </c>
      <c r="R242" s="43">
        <f t="shared" si="100"/>
        <v>1500</v>
      </c>
      <c r="S242" s="43">
        <f t="shared" si="101"/>
        <v>0</v>
      </c>
      <c r="T242" s="41">
        <f t="shared" si="102"/>
        <v>0</v>
      </c>
      <c r="U242" s="44">
        <v>1500</v>
      </c>
      <c r="V242" s="45">
        <f t="shared" si="103"/>
        <v>30224.999999999996</v>
      </c>
      <c r="W242" s="36">
        <v>1500</v>
      </c>
      <c r="X242" s="86">
        <v>30225</v>
      </c>
      <c r="Y242" s="199">
        <f>VLOOKUP(A242,'[1]2026-2028'!$B$3:$X$32,23,FALSE)</f>
        <v>54.94</v>
      </c>
      <c r="Z242" s="44">
        <v>0</v>
      </c>
      <c r="AA242" s="41">
        <f t="shared" si="83"/>
        <v>0</v>
      </c>
      <c r="AB242" s="44">
        <v>0</v>
      </c>
      <c r="AC242" s="44">
        <f t="shared" si="98"/>
        <v>1000</v>
      </c>
      <c r="AD242" s="44">
        <f t="shared" si="84"/>
        <v>1000</v>
      </c>
      <c r="AE242" s="111">
        <f t="shared" si="85"/>
        <v>54940</v>
      </c>
      <c r="AF242" s="51" t="s">
        <v>571</v>
      </c>
      <c r="AG242" s="115"/>
      <c r="AH242" s="35">
        <v>0</v>
      </c>
      <c r="AI242" s="36">
        <v>0</v>
      </c>
      <c r="AJ242" s="36">
        <v>0</v>
      </c>
      <c r="AK242" s="50">
        <v>1000</v>
      </c>
      <c r="AL242" s="36">
        <v>0</v>
      </c>
      <c r="AM242" s="36">
        <v>0</v>
      </c>
      <c r="AN242" s="46">
        <v>0</v>
      </c>
      <c r="AO242" s="100">
        <f t="shared" si="87"/>
        <v>1000</v>
      </c>
      <c r="AP242" s="3">
        <f t="shared" si="86"/>
        <v>54940</v>
      </c>
    </row>
    <row r="243" spans="1:42" x14ac:dyDescent="0.2">
      <c r="A243" s="49" t="s">
        <v>863</v>
      </c>
      <c r="B243" s="37" t="s">
        <v>556</v>
      </c>
      <c r="C243" s="37" t="s">
        <v>571</v>
      </c>
      <c r="D243" s="52"/>
      <c r="E243" s="38" t="s">
        <v>773</v>
      </c>
      <c r="F243" s="36" t="s">
        <v>555</v>
      </c>
      <c r="G243" s="36" t="s">
        <v>620</v>
      </c>
      <c r="H243" s="39"/>
      <c r="I243" s="40"/>
      <c r="J243" s="39">
        <v>5</v>
      </c>
      <c r="K243" s="40">
        <v>6835.75</v>
      </c>
      <c r="L243" s="51"/>
      <c r="M243" s="41">
        <v>1245.4000000000001</v>
      </c>
      <c r="N243" s="41"/>
      <c r="O243" s="36"/>
      <c r="P243" s="41"/>
      <c r="Q243" s="36"/>
      <c r="R243" s="43"/>
      <c r="S243" s="43"/>
      <c r="T243" s="41"/>
      <c r="U243" s="44"/>
      <c r="V243" s="45"/>
      <c r="W243" s="36">
        <v>31</v>
      </c>
      <c r="X243" s="86">
        <v>38607.4</v>
      </c>
      <c r="Y243" s="199">
        <v>1245.4000000000001</v>
      </c>
      <c r="Z243" s="44">
        <v>19</v>
      </c>
      <c r="AA243" s="41">
        <f t="shared" si="83"/>
        <v>23662.600000000002</v>
      </c>
      <c r="AB243" s="44">
        <v>0</v>
      </c>
      <c r="AC243" s="44">
        <f t="shared" si="98"/>
        <v>25</v>
      </c>
      <c r="AD243" s="44">
        <f t="shared" si="84"/>
        <v>44</v>
      </c>
      <c r="AE243" s="111">
        <f t="shared" si="85"/>
        <v>54797.600000000006</v>
      </c>
      <c r="AF243" s="51" t="s">
        <v>571</v>
      </c>
      <c r="AG243" s="115"/>
      <c r="AH243" s="35">
        <v>0</v>
      </c>
      <c r="AI243" s="36">
        <v>25</v>
      </c>
      <c r="AJ243" s="36">
        <v>0</v>
      </c>
      <c r="AK243" s="36"/>
      <c r="AL243" s="36">
        <v>0</v>
      </c>
      <c r="AM243" s="36">
        <v>0</v>
      </c>
      <c r="AN243" s="46">
        <v>0</v>
      </c>
      <c r="AO243" s="100">
        <f t="shared" si="87"/>
        <v>25</v>
      </c>
      <c r="AP243" s="3">
        <f t="shared" si="86"/>
        <v>31135.000000000004</v>
      </c>
    </row>
    <row r="244" spans="1:42" x14ac:dyDescent="0.2">
      <c r="A244" s="49" t="s">
        <v>874</v>
      </c>
      <c r="B244" s="157" t="s">
        <v>562</v>
      </c>
      <c r="C244" s="37" t="s">
        <v>571</v>
      </c>
      <c r="D244" s="52"/>
      <c r="E244" s="38" t="s">
        <v>594</v>
      </c>
      <c r="F244" s="36" t="s">
        <v>555</v>
      </c>
      <c r="G244" s="36" t="s">
        <v>975</v>
      </c>
      <c r="H244" s="39"/>
      <c r="I244" s="40"/>
      <c r="J244" s="39"/>
      <c r="K244" s="40"/>
      <c r="L244" s="51"/>
      <c r="M244" s="41">
        <v>546.14</v>
      </c>
      <c r="N244" s="41"/>
      <c r="O244" s="36"/>
      <c r="P244" s="41"/>
      <c r="Q244" s="36"/>
      <c r="R244" s="43"/>
      <c r="S244" s="43"/>
      <c r="T244" s="41"/>
      <c r="U244" s="44"/>
      <c r="V244" s="45"/>
      <c r="W244" s="36">
        <v>98</v>
      </c>
      <c r="X244" s="86">
        <v>53521.72</v>
      </c>
      <c r="Y244" s="199">
        <v>546.14</v>
      </c>
      <c r="Z244" s="44">
        <v>0</v>
      </c>
      <c r="AA244" s="41">
        <f t="shared" si="83"/>
        <v>0</v>
      </c>
      <c r="AB244" s="44">
        <v>0</v>
      </c>
      <c r="AC244" s="44">
        <f t="shared" si="98"/>
        <v>100</v>
      </c>
      <c r="AD244" s="44">
        <f t="shared" si="84"/>
        <v>100</v>
      </c>
      <c r="AE244" s="111">
        <f t="shared" si="85"/>
        <v>54614</v>
      </c>
      <c r="AF244" s="51" t="s">
        <v>571</v>
      </c>
      <c r="AG244" s="115"/>
      <c r="AH244" s="35">
        <v>0</v>
      </c>
      <c r="AI244" s="36">
        <v>100</v>
      </c>
      <c r="AJ244" s="36">
        <v>0</v>
      </c>
      <c r="AK244" s="36"/>
      <c r="AL244" s="36">
        <v>0</v>
      </c>
      <c r="AM244" s="36">
        <v>0</v>
      </c>
      <c r="AN244" s="46">
        <v>0</v>
      </c>
      <c r="AO244" s="100">
        <f t="shared" si="87"/>
        <v>100</v>
      </c>
      <c r="AP244" s="3">
        <f t="shared" si="86"/>
        <v>54614</v>
      </c>
    </row>
    <row r="245" spans="1:42" x14ac:dyDescent="0.2">
      <c r="A245" s="49" t="s">
        <v>850</v>
      </c>
      <c r="B245" s="37" t="s">
        <v>556</v>
      </c>
      <c r="C245" s="37" t="s">
        <v>571</v>
      </c>
      <c r="D245" s="52"/>
      <c r="E245" s="38" t="s">
        <v>1019</v>
      </c>
      <c r="F245" s="36" t="s">
        <v>559</v>
      </c>
      <c r="G245" s="36" t="s">
        <v>607</v>
      </c>
      <c r="H245" s="39"/>
      <c r="I245" s="40"/>
      <c r="J245" s="39">
        <v>350</v>
      </c>
      <c r="K245" s="40">
        <v>46889.5</v>
      </c>
      <c r="L245" s="51"/>
      <c r="M245" s="41">
        <v>143.96</v>
      </c>
      <c r="N245" s="41"/>
      <c r="O245" s="36"/>
      <c r="P245" s="41"/>
      <c r="Q245" s="36"/>
      <c r="R245" s="43"/>
      <c r="S245" s="43"/>
      <c r="T245" s="41"/>
      <c r="U245" s="44"/>
      <c r="V245" s="45"/>
      <c r="W245" s="36">
        <v>600</v>
      </c>
      <c r="X245" s="86">
        <v>86376</v>
      </c>
      <c r="Y245" s="199">
        <v>194.32</v>
      </c>
      <c r="Z245" s="44">
        <v>280</v>
      </c>
      <c r="AA245" s="41">
        <f t="shared" si="83"/>
        <v>54409.599999999999</v>
      </c>
      <c r="AB245" s="44">
        <v>0</v>
      </c>
      <c r="AC245" s="44">
        <f t="shared" si="98"/>
        <v>0</v>
      </c>
      <c r="AD245" s="44">
        <f t="shared" si="84"/>
        <v>280</v>
      </c>
      <c r="AE245" s="111">
        <f t="shared" si="85"/>
        <v>54409.599999999999</v>
      </c>
      <c r="AF245" s="51" t="s">
        <v>571</v>
      </c>
      <c r="AG245" s="115"/>
      <c r="AH245" s="35">
        <v>0</v>
      </c>
      <c r="AI245" s="36">
        <v>0</v>
      </c>
      <c r="AJ245" s="36">
        <v>0</v>
      </c>
      <c r="AK245" s="36"/>
      <c r="AL245" s="36">
        <v>0</v>
      </c>
      <c r="AM245" s="36">
        <v>0</v>
      </c>
      <c r="AN245" s="46">
        <v>0</v>
      </c>
      <c r="AO245" s="100">
        <f t="shared" si="87"/>
        <v>0</v>
      </c>
      <c r="AP245" s="3">
        <f t="shared" si="86"/>
        <v>0</v>
      </c>
    </row>
    <row r="246" spans="1:42" x14ac:dyDescent="0.2">
      <c r="A246" s="35" t="s">
        <v>206</v>
      </c>
      <c r="B246" s="37" t="s">
        <v>556</v>
      </c>
      <c r="C246" s="37" t="s">
        <v>578</v>
      </c>
      <c r="D246" s="52">
        <v>46752</v>
      </c>
      <c r="E246" s="38" t="s">
        <v>772</v>
      </c>
      <c r="F246" s="36" t="s">
        <v>559</v>
      </c>
      <c r="G246" s="36" t="s">
        <v>637</v>
      </c>
      <c r="H246" s="39">
        <v>2700</v>
      </c>
      <c r="I246" s="40">
        <v>96381</v>
      </c>
      <c r="J246" s="39">
        <v>3285</v>
      </c>
      <c r="K246" s="40">
        <v>121181.35</v>
      </c>
      <c r="L246" s="37" t="s">
        <v>578</v>
      </c>
      <c r="M246" s="41">
        <v>37.629999999999995</v>
      </c>
      <c r="N246" s="42">
        <v>0</v>
      </c>
      <c r="O246" s="36">
        <v>1745</v>
      </c>
      <c r="P246" s="41">
        <f>(N246+O246)*M246</f>
        <v>65664.349999999991</v>
      </c>
      <c r="Q246" s="36">
        <v>2016</v>
      </c>
      <c r="R246" s="43">
        <f>O246-Q246</f>
        <v>-271</v>
      </c>
      <c r="S246" s="43">
        <f>U246-O246</f>
        <v>271</v>
      </c>
      <c r="T246" s="41">
        <f>S246*M246</f>
        <v>10197.73</v>
      </c>
      <c r="U246" s="44">
        <v>2016</v>
      </c>
      <c r="V246" s="45">
        <f>U246*M246</f>
        <v>75862.079999999987</v>
      </c>
      <c r="W246" s="36">
        <v>3195</v>
      </c>
      <c r="X246" s="86">
        <v>120227.84999999999</v>
      </c>
      <c r="Y246" s="199">
        <v>37.630000000000003</v>
      </c>
      <c r="Z246" s="44">
        <v>1064</v>
      </c>
      <c r="AA246" s="41">
        <f t="shared" si="83"/>
        <v>40038.32</v>
      </c>
      <c r="AB246" s="44">
        <v>0</v>
      </c>
      <c r="AC246" s="44">
        <f t="shared" si="98"/>
        <v>333</v>
      </c>
      <c r="AD246" s="44">
        <f t="shared" si="84"/>
        <v>1397</v>
      </c>
      <c r="AE246" s="111">
        <f t="shared" si="85"/>
        <v>52569.11</v>
      </c>
      <c r="AF246" s="51" t="s">
        <v>578</v>
      </c>
      <c r="AG246" s="115"/>
      <c r="AH246" s="35">
        <v>333</v>
      </c>
      <c r="AI246" s="36">
        <v>0</v>
      </c>
      <c r="AJ246" s="36">
        <v>0</v>
      </c>
      <c r="AK246" s="36"/>
      <c r="AL246" s="36">
        <v>0</v>
      </c>
      <c r="AM246" s="36">
        <v>0</v>
      </c>
      <c r="AN246" s="46">
        <v>0</v>
      </c>
      <c r="AO246" s="100">
        <f t="shared" si="87"/>
        <v>333</v>
      </c>
      <c r="AP246" s="3">
        <f t="shared" si="86"/>
        <v>12530.79</v>
      </c>
    </row>
    <row r="247" spans="1:42" x14ac:dyDescent="0.2">
      <c r="A247" s="35" t="s">
        <v>324</v>
      </c>
      <c r="B247" s="37" t="s">
        <v>556</v>
      </c>
      <c r="C247" s="37" t="s">
        <v>578</v>
      </c>
      <c r="D247" s="52">
        <v>46387</v>
      </c>
      <c r="E247" s="38" t="s">
        <v>754</v>
      </c>
      <c r="F247" s="36" t="s">
        <v>557</v>
      </c>
      <c r="G247" s="36" t="s">
        <v>610</v>
      </c>
      <c r="H247" s="39">
        <v>168</v>
      </c>
      <c r="I247" s="40">
        <v>8603.2800000000007</v>
      </c>
      <c r="J247" s="39">
        <v>521</v>
      </c>
      <c r="K247" s="40">
        <v>26680.41</v>
      </c>
      <c r="L247" s="37" t="s">
        <v>571</v>
      </c>
      <c r="M247" s="41">
        <v>51.284999999999997</v>
      </c>
      <c r="N247" s="42">
        <v>15</v>
      </c>
      <c r="O247" s="36">
        <v>60</v>
      </c>
      <c r="P247" s="41">
        <f>(N247+O247)*M247</f>
        <v>3846.3749999999995</v>
      </c>
      <c r="Q247" s="36">
        <v>60</v>
      </c>
      <c r="R247" s="43">
        <f>O247-Q247</f>
        <v>0</v>
      </c>
      <c r="S247" s="43">
        <f>U247-O247</f>
        <v>90</v>
      </c>
      <c r="T247" s="41">
        <f>S247*M247</f>
        <v>4615.6499999999996</v>
      </c>
      <c r="U247" s="44">
        <v>150</v>
      </c>
      <c r="V247" s="45">
        <f>U247*M247</f>
        <v>7692.7499999999991</v>
      </c>
      <c r="W247" s="36">
        <v>90</v>
      </c>
      <c r="X247" s="86">
        <v>4615.6499999999996</v>
      </c>
      <c r="Y247" s="199">
        <v>58.25</v>
      </c>
      <c r="Z247" s="44">
        <v>445</v>
      </c>
      <c r="AA247" s="41">
        <f t="shared" si="83"/>
        <v>25921.25</v>
      </c>
      <c r="AB247" s="44">
        <v>0</v>
      </c>
      <c r="AC247" s="44">
        <f t="shared" si="98"/>
        <v>448</v>
      </c>
      <c r="AD247" s="44">
        <f t="shared" si="84"/>
        <v>893</v>
      </c>
      <c r="AE247" s="111">
        <f t="shared" si="85"/>
        <v>52017.25</v>
      </c>
      <c r="AF247" s="51" t="s">
        <v>571</v>
      </c>
      <c r="AG247" s="115"/>
      <c r="AH247" s="35">
        <v>448</v>
      </c>
      <c r="AI247" s="36">
        <v>0</v>
      </c>
      <c r="AJ247" s="36">
        <v>0</v>
      </c>
      <c r="AK247" s="36"/>
      <c r="AL247" s="36">
        <v>0</v>
      </c>
      <c r="AM247" s="36">
        <v>0</v>
      </c>
      <c r="AN247" s="46">
        <v>0</v>
      </c>
      <c r="AO247" s="100">
        <f t="shared" si="87"/>
        <v>448</v>
      </c>
      <c r="AP247" s="3">
        <f t="shared" si="86"/>
        <v>26096</v>
      </c>
    </row>
    <row r="248" spans="1:42" x14ac:dyDescent="0.2">
      <c r="A248" s="49" t="s">
        <v>909</v>
      </c>
      <c r="B248" s="37" t="s">
        <v>565</v>
      </c>
      <c r="C248" s="37" t="s">
        <v>571</v>
      </c>
      <c r="D248" s="52"/>
      <c r="E248" s="38" t="s">
        <v>1005</v>
      </c>
      <c r="F248" s="36" t="s">
        <v>557</v>
      </c>
      <c r="G248" s="36" t="s">
        <v>581</v>
      </c>
      <c r="H248" s="39"/>
      <c r="I248" s="40"/>
      <c r="J248" s="39"/>
      <c r="K248" s="40"/>
      <c r="L248" s="51"/>
      <c r="M248" s="41">
        <v>122.65</v>
      </c>
      <c r="N248" s="41"/>
      <c r="O248" s="36"/>
      <c r="P248" s="41"/>
      <c r="Q248" s="36"/>
      <c r="R248" s="43"/>
      <c r="S248" s="43"/>
      <c r="T248" s="41"/>
      <c r="U248" s="44"/>
      <c r="V248" s="45"/>
      <c r="W248" s="36">
        <v>49</v>
      </c>
      <c r="X248" s="86">
        <v>6009.85</v>
      </c>
      <c r="Y248" s="199">
        <v>500</v>
      </c>
      <c r="Z248" s="44">
        <v>100</v>
      </c>
      <c r="AA248" s="41">
        <f t="shared" si="83"/>
        <v>50000</v>
      </c>
      <c r="AB248" s="44">
        <v>0</v>
      </c>
      <c r="AC248" s="44">
        <f t="shared" si="98"/>
        <v>0</v>
      </c>
      <c r="AD248" s="44">
        <f t="shared" si="84"/>
        <v>100</v>
      </c>
      <c r="AE248" s="111">
        <f t="shared" si="85"/>
        <v>50000</v>
      </c>
      <c r="AF248" s="51" t="s">
        <v>571</v>
      </c>
      <c r="AG248" s="115"/>
      <c r="AH248" s="35">
        <v>0</v>
      </c>
      <c r="AI248" s="36">
        <v>0</v>
      </c>
      <c r="AJ248" s="36">
        <v>0</v>
      </c>
      <c r="AK248" s="36"/>
      <c r="AL248" s="36">
        <v>0</v>
      </c>
      <c r="AM248" s="36">
        <v>0</v>
      </c>
      <c r="AN248" s="46">
        <v>0</v>
      </c>
      <c r="AO248" s="100">
        <f t="shared" si="87"/>
        <v>0</v>
      </c>
      <c r="AP248" s="3">
        <f t="shared" si="86"/>
        <v>0</v>
      </c>
    </row>
    <row r="249" spans="1:42" x14ac:dyDescent="0.2">
      <c r="A249" s="35" t="s">
        <v>1021</v>
      </c>
      <c r="B249" s="37" t="s">
        <v>562</v>
      </c>
      <c r="C249" s="37" t="s">
        <v>571</v>
      </c>
      <c r="D249" s="52"/>
      <c r="E249" s="38" t="s">
        <v>594</v>
      </c>
      <c r="F249" s="36" t="s">
        <v>555</v>
      </c>
      <c r="G249" s="36"/>
      <c r="H249" s="39"/>
      <c r="I249" s="40"/>
      <c r="J249" s="39"/>
      <c r="K249" s="40"/>
      <c r="L249" s="37"/>
      <c r="M249" s="41"/>
      <c r="N249" s="42"/>
      <c r="O249" s="36"/>
      <c r="P249" s="41"/>
      <c r="Q249" s="36"/>
      <c r="R249" s="43"/>
      <c r="S249" s="43"/>
      <c r="T249" s="41"/>
      <c r="U249" s="44"/>
      <c r="V249" s="45"/>
      <c r="W249" s="36"/>
      <c r="X249" s="86"/>
      <c r="Y249" s="199">
        <v>2000</v>
      </c>
      <c r="Z249" s="44">
        <v>25</v>
      </c>
      <c r="AA249" s="41">
        <f t="shared" si="83"/>
        <v>50000</v>
      </c>
      <c r="AB249" s="44">
        <v>0</v>
      </c>
      <c r="AC249" s="44">
        <v>0</v>
      </c>
      <c r="AD249" s="44">
        <f t="shared" si="84"/>
        <v>25</v>
      </c>
      <c r="AE249" s="111">
        <f t="shared" si="85"/>
        <v>50000</v>
      </c>
      <c r="AF249" s="51" t="s">
        <v>571</v>
      </c>
      <c r="AG249" s="115"/>
      <c r="AH249" s="35">
        <v>0</v>
      </c>
      <c r="AI249" s="36">
        <v>0</v>
      </c>
      <c r="AJ249" s="36">
        <v>0</v>
      </c>
      <c r="AK249" s="36"/>
      <c r="AL249" s="36">
        <v>0</v>
      </c>
      <c r="AM249" s="36">
        <v>0</v>
      </c>
      <c r="AN249" s="46">
        <v>0</v>
      </c>
      <c r="AO249" s="100"/>
      <c r="AP249" s="3">
        <f t="shared" si="86"/>
        <v>0</v>
      </c>
    </row>
    <row r="250" spans="1:42" x14ac:dyDescent="0.2">
      <c r="A250" s="35" t="s">
        <v>305</v>
      </c>
      <c r="B250" s="37" t="s">
        <v>556</v>
      </c>
      <c r="C250" s="37" t="s">
        <v>578</v>
      </c>
      <c r="D250" s="52">
        <v>46387</v>
      </c>
      <c r="E250" s="38" t="s">
        <v>754</v>
      </c>
      <c r="F250" s="36" t="s">
        <v>557</v>
      </c>
      <c r="G250" s="36" t="s">
        <v>650</v>
      </c>
      <c r="H250" s="39">
        <v>988</v>
      </c>
      <c r="I250" s="40">
        <v>48128.24</v>
      </c>
      <c r="J250" s="39">
        <v>871</v>
      </c>
      <c r="K250" s="40">
        <v>42513.579999999994</v>
      </c>
      <c r="L250" s="37" t="s">
        <v>578</v>
      </c>
      <c r="M250" s="41">
        <v>36.979999999999997</v>
      </c>
      <c r="N250" s="42">
        <v>0</v>
      </c>
      <c r="O250" s="36">
        <v>1172</v>
      </c>
      <c r="P250" s="41">
        <f>(N250+O250)*M250</f>
        <v>43340.56</v>
      </c>
      <c r="Q250" s="36">
        <v>290</v>
      </c>
      <c r="R250" s="43">
        <f>O250-Q250</f>
        <v>882</v>
      </c>
      <c r="S250" s="43">
        <f>U250-O250</f>
        <v>0</v>
      </c>
      <c r="T250" s="41">
        <f>S250*M250</f>
        <v>0</v>
      </c>
      <c r="U250" s="44">
        <f>O250</f>
        <v>1172</v>
      </c>
      <c r="V250" s="45">
        <f>U250*M250</f>
        <v>43340.56</v>
      </c>
      <c r="W250" s="36">
        <v>1331</v>
      </c>
      <c r="X250" s="86">
        <v>49220.38</v>
      </c>
      <c r="Y250" s="199">
        <v>36.979999999999997</v>
      </c>
      <c r="Z250" s="44">
        <v>631</v>
      </c>
      <c r="AA250" s="41">
        <f t="shared" si="83"/>
        <v>23334.379999999997</v>
      </c>
      <c r="AB250" s="44">
        <v>0</v>
      </c>
      <c r="AC250" s="44">
        <f t="shared" ref="AC250:AC281" si="104">AB250+AO250</f>
        <v>684</v>
      </c>
      <c r="AD250" s="44">
        <f t="shared" si="84"/>
        <v>1315</v>
      </c>
      <c r="AE250" s="111">
        <f t="shared" si="85"/>
        <v>48628.7</v>
      </c>
      <c r="AF250" s="51" t="s">
        <v>578</v>
      </c>
      <c r="AG250" s="115"/>
      <c r="AH250" s="35">
        <v>684</v>
      </c>
      <c r="AI250" s="36">
        <v>0</v>
      </c>
      <c r="AJ250" s="36">
        <v>0</v>
      </c>
      <c r="AK250" s="36"/>
      <c r="AL250" s="36">
        <v>0</v>
      </c>
      <c r="AM250" s="36">
        <v>0</v>
      </c>
      <c r="AN250" s="46">
        <v>0</v>
      </c>
      <c r="AO250" s="100">
        <f t="shared" ref="AO250:AO275" si="105">SUM(AH250:AN250)</f>
        <v>684</v>
      </c>
      <c r="AP250" s="3">
        <f t="shared" si="86"/>
        <v>25294.319999999996</v>
      </c>
    </row>
    <row r="251" spans="1:42" x14ac:dyDescent="0.2">
      <c r="A251" s="35" t="s">
        <v>170</v>
      </c>
      <c r="B251" s="37" t="s">
        <v>565</v>
      </c>
      <c r="C251" s="37" t="s">
        <v>578</v>
      </c>
      <c r="D251" s="52">
        <v>46387</v>
      </c>
      <c r="E251" s="38" t="s">
        <v>754</v>
      </c>
      <c r="F251" s="36" t="s">
        <v>559</v>
      </c>
      <c r="G251" s="36" t="s">
        <v>646</v>
      </c>
      <c r="H251" s="39">
        <v>23</v>
      </c>
      <c r="I251" s="40">
        <v>8339.57</v>
      </c>
      <c r="J251" s="39">
        <v>73</v>
      </c>
      <c r="K251" s="40">
        <v>26469.07</v>
      </c>
      <c r="L251" s="37" t="s">
        <v>571</v>
      </c>
      <c r="M251" s="41">
        <v>362.59000000000009</v>
      </c>
      <c r="N251" s="42">
        <v>0</v>
      </c>
      <c r="O251" s="36">
        <v>48</v>
      </c>
      <c r="P251" s="41">
        <f>(N251+O251)*M251</f>
        <v>17404.320000000003</v>
      </c>
      <c r="Q251" s="36">
        <v>7</v>
      </c>
      <c r="R251" s="43">
        <f>O251-Q251</f>
        <v>41</v>
      </c>
      <c r="S251" s="43">
        <f>U251-O251</f>
        <v>0</v>
      </c>
      <c r="T251" s="41">
        <f>S251*M251</f>
        <v>0</v>
      </c>
      <c r="U251" s="44">
        <f>O251</f>
        <v>48</v>
      </c>
      <c r="V251" s="45">
        <f>U251*M251</f>
        <v>17404.320000000003</v>
      </c>
      <c r="W251" s="36">
        <v>48</v>
      </c>
      <c r="X251" s="86">
        <v>17404.320000000003</v>
      </c>
      <c r="Y251" s="199">
        <v>362.59</v>
      </c>
      <c r="Z251" s="44">
        <v>105</v>
      </c>
      <c r="AA251" s="41">
        <f t="shared" si="83"/>
        <v>38071.949999999997</v>
      </c>
      <c r="AB251" s="44">
        <v>0</v>
      </c>
      <c r="AC251" s="44">
        <f t="shared" si="104"/>
        <v>28</v>
      </c>
      <c r="AD251" s="44">
        <f t="shared" si="84"/>
        <v>133</v>
      </c>
      <c r="AE251" s="111">
        <f t="shared" si="85"/>
        <v>48224.469999999994</v>
      </c>
      <c r="AF251" s="51" t="s">
        <v>571</v>
      </c>
      <c r="AG251" s="115"/>
      <c r="AH251" s="35">
        <v>28</v>
      </c>
      <c r="AI251" s="36">
        <v>0</v>
      </c>
      <c r="AJ251" s="36">
        <v>0</v>
      </c>
      <c r="AK251" s="36"/>
      <c r="AL251" s="36">
        <v>0</v>
      </c>
      <c r="AM251" s="36">
        <v>0</v>
      </c>
      <c r="AN251" s="46">
        <v>0</v>
      </c>
      <c r="AO251" s="100">
        <f t="shared" si="105"/>
        <v>28</v>
      </c>
      <c r="AP251" s="3">
        <f t="shared" si="86"/>
        <v>10152.519999999999</v>
      </c>
    </row>
    <row r="252" spans="1:42" x14ac:dyDescent="0.2">
      <c r="A252" s="35" t="s">
        <v>22</v>
      </c>
      <c r="B252" s="37" t="s">
        <v>565</v>
      </c>
      <c r="C252" s="37" t="s">
        <v>578</v>
      </c>
      <c r="D252" s="52">
        <v>46387</v>
      </c>
      <c r="E252" s="38" t="s">
        <v>754</v>
      </c>
      <c r="F252" s="36" t="s">
        <v>564</v>
      </c>
      <c r="G252" s="36" t="s">
        <v>674</v>
      </c>
      <c r="H252" s="39">
        <v>901</v>
      </c>
      <c r="I252" s="40">
        <v>60213.83</v>
      </c>
      <c r="J252" s="39">
        <v>502</v>
      </c>
      <c r="K252" s="40">
        <v>39563.660000000003</v>
      </c>
      <c r="L252" s="37" t="s">
        <v>571</v>
      </c>
      <c r="M252" s="41">
        <v>89.88</v>
      </c>
      <c r="N252" s="42">
        <v>0</v>
      </c>
      <c r="O252" s="36">
        <v>16</v>
      </c>
      <c r="P252" s="41">
        <f>(N252+O252)*M252</f>
        <v>1438.08</v>
      </c>
      <c r="Q252" s="36">
        <v>16</v>
      </c>
      <c r="R252" s="43">
        <f>O252-Q252</f>
        <v>0</v>
      </c>
      <c r="S252" s="43">
        <f>U252-O252</f>
        <v>84</v>
      </c>
      <c r="T252" s="41">
        <f>S252*M252</f>
        <v>7549.92</v>
      </c>
      <c r="U252" s="44">
        <v>100</v>
      </c>
      <c r="V252" s="45">
        <f>U252*M252</f>
        <v>8988</v>
      </c>
      <c r="W252" s="36">
        <v>136</v>
      </c>
      <c r="X252" s="86">
        <v>12223.68</v>
      </c>
      <c r="Y252" s="199">
        <v>66.83</v>
      </c>
      <c r="Z252" s="44">
        <v>565</v>
      </c>
      <c r="AA252" s="41">
        <f t="shared" si="83"/>
        <v>37758.949999999997</v>
      </c>
      <c r="AB252" s="44">
        <v>0</v>
      </c>
      <c r="AC252" s="44">
        <f t="shared" si="104"/>
        <v>156</v>
      </c>
      <c r="AD252" s="44">
        <f t="shared" si="84"/>
        <v>721</v>
      </c>
      <c r="AE252" s="111">
        <f t="shared" si="85"/>
        <v>48184.43</v>
      </c>
      <c r="AF252" s="51" t="s">
        <v>571</v>
      </c>
      <c r="AG252" s="115"/>
      <c r="AH252" s="35">
        <v>156</v>
      </c>
      <c r="AI252" s="36">
        <v>0</v>
      </c>
      <c r="AJ252" s="36">
        <v>0</v>
      </c>
      <c r="AK252" s="36"/>
      <c r="AL252" s="36">
        <v>0</v>
      </c>
      <c r="AM252" s="36">
        <v>0</v>
      </c>
      <c r="AN252" s="46">
        <v>0</v>
      </c>
      <c r="AO252" s="100">
        <f t="shared" si="105"/>
        <v>156</v>
      </c>
      <c r="AP252" s="3">
        <f t="shared" si="86"/>
        <v>10425.48</v>
      </c>
    </row>
    <row r="253" spans="1:42" x14ac:dyDescent="0.2">
      <c r="A253" s="49" t="s">
        <v>949</v>
      </c>
      <c r="B253" s="37" t="s">
        <v>554</v>
      </c>
      <c r="C253" s="37" t="s">
        <v>571</v>
      </c>
      <c r="D253" s="52"/>
      <c r="E253" s="38" t="s">
        <v>753</v>
      </c>
      <c r="F253" s="36" t="s">
        <v>557</v>
      </c>
      <c r="G253" s="36" t="s">
        <v>663</v>
      </c>
      <c r="H253" s="39"/>
      <c r="I253" s="40"/>
      <c r="J253" s="39"/>
      <c r="K253" s="40"/>
      <c r="L253" s="37"/>
      <c r="M253" s="41"/>
      <c r="N253" s="36"/>
      <c r="O253" s="41"/>
      <c r="P253" s="36"/>
      <c r="Q253" s="43"/>
      <c r="R253" s="43"/>
      <c r="S253" s="41"/>
      <c r="T253" s="44"/>
      <c r="U253" s="45"/>
      <c r="V253" s="36"/>
      <c r="W253" s="45"/>
      <c r="X253" s="46"/>
      <c r="Y253" s="199">
        <v>3000</v>
      </c>
      <c r="Z253" s="44">
        <v>16</v>
      </c>
      <c r="AA253" s="41">
        <f t="shared" si="83"/>
        <v>48000</v>
      </c>
      <c r="AB253" s="44">
        <v>0</v>
      </c>
      <c r="AC253" s="44">
        <f t="shared" si="104"/>
        <v>0</v>
      </c>
      <c r="AD253" s="44">
        <f t="shared" si="84"/>
        <v>16</v>
      </c>
      <c r="AE253" s="111">
        <f t="shared" si="85"/>
        <v>48000</v>
      </c>
      <c r="AF253" s="51" t="s">
        <v>571</v>
      </c>
      <c r="AG253" s="115"/>
      <c r="AH253" s="35">
        <v>0</v>
      </c>
      <c r="AI253" s="36">
        <v>0</v>
      </c>
      <c r="AJ253" s="36">
        <v>0</v>
      </c>
      <c r="AK253" s="36"/>
      <c r="AL253" s="36">
        <v>0</v>
      </c>
      <c r="AM253" s="36">
        <v>0</v>
      </c>
      <c r="AN253" s="46">
        <v>0</v>
      </c>
      <c r="AO253" s="100">
        <f t="shared" si="105"/>
        <v>0</v>
      </c>
      <c r="AP253" s="3">
        <f t="shared" si="86"/>
        <v>0</v>
      </c>
    </row>
    <row r="254" spans="1:42" x14ac:dyDescent="0.2">
      <c r="A254" s="49" t="s">
        <v>896</v>
      </c>
      <c r="B254" s="37" t="s">
        <v>565</v>
      </c>
      <c r="C254" s="37" t="s">
        <v>571</v>
      </c>
      <c r="D254" s="52"/>
      <c r="E254" s="38" t="s">
        <v>773</v>
      </c>
      <c r="F254" s="36" t="s">
        <v>555</v>
      </c>
      <c r="G254" s="36" t="s">
        <v>620</v>
      </c>
      <c r="H254" s="39"/>
      <c r="I254" s="40"/>
      <c r="J254" s="39"/>
      <c r="K254" s="40"/>
      <c r="L254" s="51"/>
      <c r="M254" s="41">
        <v>1245.3999999999999</v>
      </c>
      <c r="N254" s="41"/>
      <c r="O254" s="36"/>
      <c r="P254" s="41"/>
      <c r="Q254" s="36"/>
      <c r="R254" s="43"/>
      <c r="S254" s="43"/>
      <c r="T254" s="41"/>
      <c r="U254" s="44"/>
      <c r="V254" s="45"/>
      <c r="W254" s="36">
        <v>12</v>
      </c>
      <c r="X254" s="86">
        <v>14944.8</v>
      </c>
      <c r="Y254" s="199">
        <v>1245.4000000000001</v>
      </c>
      <c r="Z254" s="44">
        <v>38</v>
      </c>
      <c r="AA254" s="41">
        <f t="shared" si="83"/>
        <v>47325.200000000004</v>
      </c>
      <c r="AB254" s="44">
        <v>0</v>
      </c>
      <c r="AC254" s="44">
        <f t="shared" si="104"/>
        <v>0</v>
      </c>
      <c r="AD254" s="44">
        <f t="shared" si="84"/>
        <v>38</v>
      </c>
      <c r="AE254" s="111">
        <f t="shared" si="85"/>
        <v>47325.200000000004</v>
      </c>
      <c r="AF254" s="51" t="s">
        <v>571</v>
      </c>
      <c r="AG254" s="115"/>
      <c r="AH254" s="35">
        <v>0</v>
      </c>
      <c r="AI254" s="36">
        <v>0</v>
      </c>
      <c r="AJ254" s="36">
        <v>0</v>
      </c>
      <c r="AK254" s="36"/>
      <c r="AL254" s="36">
        <v>0</v>
      </c>
      <c r="AM254" s="36">
        <v>0</v>
      </c>
      <c r="AN254" s="46">
        <v>0</v>
      </c>
      <c r="AO254" s="100">
        <f t="shared" si="105"/>
        <v>0</v>
      </c>
      <c r="AP254" s="3">
        <f t="shared" si="86"/>
        <v>0</v>
      </c>
    </row>
    <row r="255" spans="1:42" x14ac:dyDescent="0.2">
      <c r="A255" s="35" t="s">
        <v>515</v>
      </c>
      <c r="B255" s="37" t="s">
        <v>565</v>
      </c>
      <c r="C255" s="37" t="s">
        <v>571</v>
      </c>
      <c r="D255" s="52"/>
      <c r="E255" s="38" t="s">
        <v>785</v>
      </c>
      <c r="F255" s="36" t="s">
        <v>557</v>
      </c>
      <c r="G255" s="36" t="s">
        <v>581</v>
      </c>
      <c r="H255" s="39">
        <v>176</v>
      </c>
      <c r="I255" s="40">
        <v>65167.520000000004</v>
      </c>
      <c r="J255" s="39">
        <v>250</v>
      </c>
      <c r="K255" s="40">
        <v>106802.5</v>
      </c>
      <c r="L255" s="37" t="s">
        <v>578</v>
      </c>
      <c r="M255" s="41">
        <v>491.9</v>
      </c>
      <c r="N255" s="42">
        <v>0</v>
      </c>
      <c r="O255" s="36">
        <v>0</v>
      </c>
      <c r="P255" s="41">
        <f t="shared" ref="P255:P264" si="106">(N255+O255)*M255</f>
        <v>0</v>
      </c>
      <c r="Q255" s="36">
        <v>100</v>
      </c>
      <c r="R255" s="43">
        <f t="shared" ref="R255:R260" si="107">O255-Q255</f>
        <v>-100</v>
      </c>
      <c r="S255" s="43">
        <f t="shared" ref="S255:S264" si="108">U255-O255</f>
        <v>200</v>
      </c>
      <c r="T255" s="41">
        <f t="shared" ref="T255:T264" si="109">S255*M255</f>
        <v>98380</v>
      </c>
      <c r="U255" s="44">
        <v>200</v>
      </c>
      <c r="V255" s="45">
        <f t="shared" ref="V255:V264" si="110">U255*M255</f>
        <v>98380</v>
      </c>
      <c r="W255" s="36">
        <v>85</v>
      </c>
      <c r="X255" s="86">
        <v>41811.5</v>
      </c>
      <c r="Y255" s="199">
        <v>464.5</v>
      </c>
      <c r="Z255" s="44">
        <v>100</v>
      </c>
      <c r="AA255" s="41">
        <f t="shared" si="83"/>
        <v>46450</v>
      </c>
      <c r="AB255" s="44">
        <v>0</v>
      </c>
      <c r="AC255" s="44">
        <f t="shared" si="104"/>
        <v>0</v>
      </c>
      <c r="AD255" s="44">
        <f t="shared" si="84"/>
        <v>100</v>
      </c>
      <c r="AE255" s="111">
        <f t="shared" si="85"/>
        <v>46450</v>
      </c>
      <c r="AF255" s="51" t="s">
        <v>578</v>
      </c>
      <c r="AG255" s="115"/>
      <c r="AH255" s="35">
        <v>0</v>
      </c>
      <c r="AI255" s="36">
        <v>0</v>
      </c>
      <c r="AJ255" s="36">
        <v>0</v>
      </c>
      <c r="AK255" s="36"/>
      <c r="AL255" s="36">
        <v>0</v>
      </c>
      <c r="AM255" s="36">
        <v>0</v>
      </c>
      <c r="AN255" s="46">
        <v>0</v>
      </c>
      <c r="AO255" s="100">
        <f t="shared" si="105"/>
        <v>0</v>
      </c>
      <c r="AP255" s="3">
        <f t="shared" si="86"/>
        <v>0</v>
      </c>
    </row>
    <row r="256" spans="1:42" x14ac:dyDescent="0.2">
      <c r="A256" s="35" t="s">
        <v>241</v>
      </c>
      <c r="B256" s="37" t="s">
        <v>565</v>
      </c>
      <c r="C256" s="37" t="s">
        <v>578</v>
      </c>
      <c r="D256" s="52">
        <v>46387</v>
      </c>
      <c r="E256" s="38" t="s">
        <v>754</v>
      </c>
      <c r="F256" s="36" t="s">
        <v>559</v>
      </c>
      <c r="G256" s="36" t="s">
        <v>613</v>
      </c>
      <c r="H256" s="39">
        <v>80</v>
      </c>
      <c r="I256" s="40">
        <v>37815.679999999993</v>
      </c>
      <c r="J256" s="39">
        <v>57</v>
      </c>
      <c r="K256" s="40">
        <v>27609.84</v>
      </c>
      <c r="L256" s="37" t="s">
        <v>578</v>
      </c>
      <c r="M256" s="41">
        <v>539.76</v>
      </c>
      <c r="N256" s="42">
        <v>0</v>
      </c>
      <c r="O256" s="36">
        <v>45</v>
      </c>
      <c r="P256" s="41">
        <f t="shared" si="106"/>
        <v>24289.200000000001</v>
      </c>
      <c r="Q256" s="36">
        <v>8</v>
      </c>
      <c r="R256" s="43">
        <f t="shared" si="107"/>
        <v>37</v>
      </c>
      <c r="S256" s="43">
        <f t="shared" si="108"/>
        <v>5</v>
      </c>
      <c r="T256" s="41">
        <f t="shared" si="109"/>
        <v>2698.8</v>
      </c>
      <c r="U256" s="44">
        <v>50</v>
      </c>
      <c r="V256" s="45">
        <f t="shared" si="110"/>
        <v>26988</v>
      </c>
      <c r="W256" s="36">
        <v>124</v>
      </c>
      <c r="X256" s="86">
        <v>66930.240000000005</v>
      </c>
      <c r="Y256" s="199">
        <v>539.7600000000001</v>
      </c>
      <c r="Z256" s="44">
        <v>50</v>
      </c>
      <c r="AA256" s="41">
        <f t="shared" si="83"/>
        <v>26988.000000000004</v>
      </c>
      <c r="AB256" s="44">
        <v>0</v>
      </c>
      <c r="AC256" s="44">
        <f t="shared" si="104"/>
        <v>36</v>
      </c>
      <c r="AD256" s="44">
        <f t="shared" si="84"/>
        <v>86</v>
      </c>
      <c r="AE256" s="111">
        <f t="shared" si="85"/>
        <v>46419.360000000008</v>
      </c>
      <c r="AF256" s="51" t="s">
        <v>578</v>
      </c>
      <c r="AG256" s="115"/>
      <c r="AH256" s="35">
        <v>36</v>
      </c>
      <c r="AI256" s="36">
        <v>0</v>
      </c>
      <c r="AJ256" s="36">
        <v>0</v>
      </c>
      <c r="AK256" s="36"/>
      <c r="AL256" s="36">
        <v>0</v>
      </c>
      <c r="AM256" s="36">
        <v>0</v>
      </c>
      <c r="AN256" s="46">
        <v>0</v>
      </c>
      <c r="AO256" s="100">
        <f t="shared" si="105"/>
        <v>36</v>
      </c>
      <c r="AP256" s="3">
        <f t="shared" si="86"/>
        <v>19431.360000000004</v>
      </c>
    </row>
    <row r="257" spans="1:42" x14ac:dyDescent="0.2">
      <c r="A257" s="35" t="s">
        <v>164</v>
      </c>
      <c r="B257" s="37" t="s">
        <v>565</v>
      </c>
      <c r="C257" s="37" t="s">
        <v>578</v>
      </c>
      <c r="D257" s="52">
        <v>46387</v>
      </c>
      <c r="E257" s="38" t="s">
        <v>754</v>
      </c>
      <c r="F257" s="36" t="s">
        <v>559</v>
      </c>
      <c r="G257" s="36" t="s">
        <v>962</v>
      </c>
      <c r="H257" s="39">
        <v>632</v>
      </c>
      <c r="I257" s="40">
        <v>13936</v>
      </c>
      <c r="J257" s="39">
        <v>156</v>
      </c>
      <c r="K257" s="40">
        <v>3588</v>
      </c>
      <c r="L257" s="37" t="s">
        <v>571</v>
      </c>
      <c r="M257" s="41">
        <v>23</v>
      </c>
      <c r="N257" s="42">
        <v>0</v>
      </c>
      <c r="O257" s="36">
        <v>171</v>
      </c>
      <c r="P257" s="41">
        <f t="shared" si="106"/>
        <v>3933</v>
      </c>
      <c r="Q257" s="36">
        <v>93</v>
      </c>
      <c r="R257" s="43">
        <f t="shared" si="107"/>
        <v>78</v>
      </c>
      <c r="S257" s="43">
        <f t="shared" si="108"/>
        <v>0</v>
      </c>
      <c r="T257" s="41">
        <f t="shared" si="109"/>
        <v>0</v>
      </c>
      <c r="U257" s="44">
        <f>O257</f>
        <v>171</v>
      </c>
      <c r="V257" s="45">
        <f t="shared" si="110"/>
        <v>3933</v>
      </c>
      <c r="W257" s="36">
        <v>2774</v>
      </c>
      <c r="X257" s="86">
        <v>63802</v>
      </c>
      <c r="Y257" s="199">
        <v>23</v>
      </c>
      <c r="Z257" s="44">
        <v>1722</v>
      </c>
      <c r="AA257" s="41">
        <f t="shared" si="83"/>
        <v>39606</v>
      </c>
      <c r="AB257" s="44">
        <v>0</v>
      </c>
      <c r="AC257" s="44">
        <f t="shared" si="104"/>
        <v>288</v>
      </c>
      <c r="AD257" s="44">
        <f t="shared" si="84"/>
        <v>2010</v>
      </c>
      <c r="AE257" s="111">
        <f t="shared" si="85"/>
        <v>46230</v>
      </c>
      <c r="AF257" s="51" t="s">
        <v>571</v>
      </c>
      <c r="AG257" s="115"/>
      <c r="AH257" s="35">
        <v>288</v>
      </c>
      <c r="AI257" s="36">
        <v>0</v>
      </c>
      <c r="AJ257" s="36">
        <v>0</v>
      </c>
      <c r="AK257" s="36"/>
      <c r="AL257" s="36">
        <v>0</v>
      </c>
      <c r="AM257" s="36">
        <v>0</v>
      </c>
      <c r="AN257" s="46">
        <v>0</v>
      </c>
      <c r="AO257" s="100">
        <f t="shared" si="105"/>
        <v>288</v>
      </c>
      <c r="AP257" s="3">
        <f t="shared" si="86"/>
        <v>6624</v>
      </c>
    </row>
    <row r="258" spans="1:42" x14ac:dyDescent="0.2">
      <c r="A258" s="35" t="s">
        <v>172</v>
      </c>
      <c r="B258" s="37" t="s">
        <v>556</v>
      </c>
      <c r="C258" s="37" t="s">
        <v>578</v>
      </c>
      <c r="D258" s="52">
        <v>46387</v>
      </c>
      <c r="E258" s="38" t="s">
        <v>754</v>
      </c>
      <c r="F258" s="36" t="s">
        <v>559</v>
      </c>
      <c r="G258" s="36" t="s">
        <v>646</v>
      </c>
      <c r="H258" s="39">
        <v>114</v>
      </c>
      <c r="I258" s="40">
        <v>15008.100000000002</v>
      </c>
      <c r="J258" s="39">
        <v>323</v>
      </c>
      <c r="K258" s="40">
        <v>42522.95</v>
      </c>
      <c r="L258" s="37" t="s">
        <v>571</v>
      </c>
      <c r="M258" s="41">
        <v>131.65</v>
      </c>
      <c r="N258" s="42">
        <v>0</v>
      </c>
      <c r="O258" s="36">
        <v>126</v>
      </c>
      <c r="P258" s="41">
        <f t="shared" si="106"/>
        <v>16587.900000000001</v>
      </c>
      <c r="Q258" s="36">
        <v>100</v>
      </c>
      <c r="R258" s="43">
        <f t="shared" si="107"/>
        <v>26</v>
      </c>
      <c r="S258" s="43">
        <f t="shared" si="108"/>
        <v>172</v>
      </c>
      <c r="T258" s="41">
        <f t="shared" si="109"/>
        <v>22643.8</v>
      </c>
      <c r="U258" s="44">
        <v>298</v>
      </c>
      <c r="V258" s="45">
        <f t="shared" si="110"/>
        <v>39231.700000000004</v>
      </c>
      <c r="W258" s="36">
        <v>50</v>
      </c>
      <c r="X258" s="86">
        <v>6582.5</v>
      </c>
      <c r="Y258" s="199">
        <v>131.65</v>
      </c>
      <c r="Z258" s="44">
        <v>300</v>
      </c>
      <c r="AA258" s="41">
        <f t="shared" ref="AA258:AA321" si="111">Z258*Y258</f>
        <v>39495</v>
      </c>
      <c r="AB258" s="44">
        <v>0</v>
      </c>
      <c r="AC258" s="44">
        <f t="shared" si="104"/>
        <v>50</v>
      </c>
      <c r="AD258" s="44">
        <f t="shared" ref="AD258:AD321" si="112">AC258+Z258</f>
        <v>350</v>
      </c>
      <c r="AE258" s="111">
        <f t="shared" ref="AE258:AE321" si="113">AD258*Y258</f>
        <v>46077.5</v>
      </c>
      <c r="AF258" s="51" t="s">
        <v>571</v>
      </c>
      <c r="AG258" s="115"/>
      <c r="AH258" s="35">
        <v>50</v>
      </c>
      <c r="AI258" s="36">
        <v>0</v>
      </c>
      <c r="AJ258" s="36">
        <v>0</v>
      </c>
      <c r="AK258" s="36"/>
      <c r="AL258" s="36">
        <v>0</v>
      </c>
      <c r="AM258" s="36">
        <v>0</v>
      </c>
      <c r="AN258" s="46">
        <v>0</v>
      </c>
      <c r="AO258" s="100">
        <f t="shared" si="105"/>
        <v>50</v>
      </c>
      <c r="AP258" s="3">
        <f t="shared" ref="AP258:AP314" si="114">AC258*Y258</f>
        <v>6582.5</v>
      </c>
    </row>
    <row r="259" spans="1:42" x14ac:dyDescent="0.2">
      <c r="A259" s="35" t="s">
        <v>264</v>
      </c>
      <c r="B259" s="37" t="s">
        <v>562</v>
      </c>
      <c r="C259" s="37" t="s">
        <v>571</v>
      </c>
      <c r="D259" s="52"/>
      <c r="E259" s="38" t="s">
        <v>771</v>
      </c>
      <c r="F259" s="36" t="s">
        <v>563</v>
      </c>
      <c r="G259" s="36" t="s">
        <v>640</v>
      </c>
      <c r="H259" s="39">
        <v>0</v>
      </c>
      <c r="I259" s="40">
        <v>0</v>
      </c>
      <c r="J259" s="39">
        <v>209</v>
      </c>
      <c r="K259" s="40">
        <v>49404.79</v>
      </c>
      <c r="L259" s="37" t="s">
        <v>571</v>
      </c>
      <c r="M259" s="41">
        <v>260.81</v>
      </c>
      <c r="N259" s="42">
        <v>0</v>
      </c>
      <c r="O259" s="36">
        <v>141</v>
      </c>
      <c r="P259" s="41">
        <f t="shared" si="106"/>
        <v>36774.21</v>
      </c>
      <c r="Q259" s="36">
        <v>125</v>
      </c>
      <c r="R259" s="43">
        <f t="shared" si="107"/>
        <v>16</v>
      </c>
      <c r="S259" s="43">
        <f t="shared" si="108"/>
        <v>0</v>
      </c>
      <c r="T259" s="41">
        <f t="shared" si="109"/>
        <v>0</v>
      </c>
      <c r="U259" s="44">
        <f>O259</f>
        <v>141</v>
      </c>
      <c r="V259" s="45">
        <f t="shared" si="110"/>
        <v>36774.21</v>
      </c>
      <c r="W259" s="36">
        <v>141</v>
      </c>
      <c r="X259" s="86">
        <v>36774.21</v>
      </c>
      <c r="Y259" s="199">
        <v>260.81</v>
      </c>
      <c r="Z259" s="44">
        <v>0</v>
      </c>
      <c r="AA259" s="41">
        <f t="shared" si="111"/>
        <v>0</v>
      </c>
      <c r="AB259" s="44">
        <v>0</v>
      </c>
      <c r="AC259" s="44">
        <f t="shared" si="104"/>
        <v>175</v>
      </c>
      <c r="AD259" s="44">
        <f t="shared" si="112"/>
        <v>175</v>
      </c>
      <c r="AE259" s="111">
        <f t="shared" si="113"/>
        <v>45641.75</v>
      </c>
      <c r="AF259" s="51" t="s">
        <v>571</v>
      </c>
      <c r="AG259" s="115"/>
      <c r="AH259" s="35">
        <v>0</v>
      </c>
      <c r="AI259" s="36">
        <v>0</v>
      </c>
      <c r="AJ259" s="36">
        <v>0</v>
      </c>
      <c r="AK259" s="36"/>
      <c r="AL259" s="36">
        <v>0</v>
      </c>
      <c r="AM259" s="36">
        <v>0</v>
      </c>
      <c r="AN259" s="46">
        <v>175</v>
      </c>
      <c r="AO259" s="100">
        <f t="shared" si="105"/>
        <v>175</v>
      </c>
      <c r="AP259" s="3">
        <f t="shared" si="114"/>
        <v>45641.75</v>
      </c>
    </row>
    <row r="260" spans="1:42" x14ac:dyDescent="0.2">
      <c r="A260" s="35" t="s">
        <v>32</v>
      </c>
      <c r="B260" s="37" t="s">
        <v>562</v>
      </c>
      <c r="C260" s="37" t="s">
        <v>571</v>
      </c>
      <c r="D260" s="52"/>
      <c r="E260" s="38" t="s">
        <v>814</v>
      </c>
      <c r="F260" s="36" t="s">
        <v>561</v>
      </c>
      <c r="G260" s="36" t="s">
        <v>569</v>
      </c>
      <c r="H260" s="39">
        <v>0</v>
      </c>
      <c r="I260" s="40">
        <v>0</v>
      </c>
      <c r="J260" s="39">
        <v>0</v>
      </c>
      <c r="K260" s="40">
        <v>0</v>
      </c>
      <c r="L260" s="37" t="s">
        <v>571</v>
      </c>
      <c r="M260" s="41">
        <v>272.66000000000003</v>
      </c>
      <c r="N260" s="42">
        <v>0</v>
      </c>
      <c r="O260" s="36">
        <v>150</v>
      </c>
      <c r="P260" s="41">
        <f t="shared" si="106"/>
        <v>40899.000000000007</v>
      </c>
      <c r="Q260" s="36">
        <v>0</v>
      </c>
      <c r="R260" s="43">
        <f t="shared" si="107"/>
        <v>150</v>
      </c>
      <c r="S260" s="43">
        <f t="shared" si="108"/>
        <v>0</v>
      </c>
      <c r="T260" s="41">
        <f t="shared" si="109"/>
        <v>0</v>
      </c>
      <c r="U260" s="44">
        <v>150</v>
      </c>
      <c r="V260" s="45">
        <f t="shared" si="110"/>
        <v>40899.000000000007</v>
      </c>
      <c r="W260" s="36">
        <v>150</v>
      </c>
      <c r="X260" s="86">
        <v>40899</v>
      </c>
      <c r="Y260" s="199">
        <v>299.92</v>
      </c>
      <c r="Z260" s="44">
        <v>150</v>
      </c>
      <c r="AA260" s="41">
        <f t="shared" si="111"/>
        <v>44988</v>
      </c>
      <c r="AB260" s="44">
        <v>0</v>
      </c>
      <c r="AC260" s="44">
        <f t="shared" si="104"/>
        <v>0</v>
      </c>
      <c r="AD260" s="44">
        <f t="shared" si="112"/>
        <v>150</v>
      </c>
      <c r="AE260" s="111">
        <f t="shared" si="113"/>
        <v>44988</v>
      </c>
      <c r="AF260" s="51" t="s">
        <v>571</v>
      </c>
      <c r="AG260" s="115"/>
      <c r="AH260" s="35">
        <v>0</v>
      </c>
      <c r="AI260" s="36">
        <v>0</v>
      </c>
      <c r="AJ260" s="36">
        <v>0</v>
      </c>
      <c r="AK260" s="36"/>
      <c r="AL260" s="36">
        <v>0</v>
      </c>
      <c r="AM260" s="36">
        <v>0</v>
      </c>
      <c r="AN260" s="46">
        <v>0</v>
      </c>
      <c r="AO260" s="100">
        <f t="shared" si="105"/>
        <v>0</v>
      </c>
      <c r="AP260" s="3">
        <f t="shared" si="114"/>
        <v>0</v>
      </c>
    </row>
    <row r="261" spans="1:42" x14ac:dyDescent="0.2">
      <c r="A261" s="35" t="s">
        <v>737</v>
      </c>
      <c r="B261" s="37" t="s">
        <v>556</v>
      </c>
      <c r="C261" s="37" t="s">
        <v>578</v>
      </c>
      <c r="D261" s="52">
        <v>46387</v>
      </c>
      <c r="E261" s="38" t="s">
        <v>754</v>
      </c>
      <c r="F261" s="36" t="s">
        <v>557</v>
      </c>
      <c r="G261" s="36" t="s">
        <v>743</v>
      </c>
      <c r="H261" s="39">
        <v>676</v>
      </c>
      <c r="I261" s="40">
        <v>45283.58</v>
      </c>
      <c r="J261" s="39">
        <v>884</v>
      </c>
      <c r="K261" s="40">
        <v>57460</v>
      </c>
      <c r="L261" s="37" t="s">
        <v>578</v>
      </c>
      <c r="M261" s="41">
        <v>65</v>
      </c>
      <c r="N261" s="42" t="s">
        <v>741</v>
      </c>
      <c r="O261" s="36">
        <v>441</v>
      </c>
      <c r="P261" s="41">
        <f t="shared" si="106"/>
        <v>28665</v>
      </c>
      <c r="Q261" s="36"/>
      <c r="R261" s="43"/>
      <c r="S261" s="43">
        <f t="shared" si="108"/>
        <v>0</v>
      </c>
      <c r="T261" s="41">
        <f t="shared" si="109"/>
        <v>0</v>
      </c>
      <c r="U261" s="44">
        <f>O261</f>
        <v>441</v>
      </c>
      <c r="V261" s="45">
        <f t="shared" si="110"/>
        <v>28665</v>
      </c>
      <c r="W261" s="36">
        <v>781</v>
      </c>
      <c r="X261" s="86">
        <v>50765</v>
      </c>
      <c r="Y261" s="199">
        <v>65</v>
      </c>
      <c r="Z261" s="44">
        <v>296</v>
      </c>
      <c r="AA261" s="41">
        <f t="shared" si="111"/>
        <v>19240</v>
      </c>
      <c r="AB261" s="44">
        <v>0</v>
      </c>
      <c r="AC261" s="44">
        <f t="shared" si="104"/>
        <v>389</v>
      </c>
      <c r="AD261" s="44">
        <f t="shared" si="112"/>
        <v>685</v>
      </c>
      <c r="AE261" s="111">
        <f t="shared" si="113"/>
        <v>44525</v>
      </c>
      <c r="AF261" s="51" t="s">
        <v>578</v>
      </c>
      <c r="AG261" s="115"/>
      <c r="AH261" s="35">
        <v>389</v>
      </c>
      <c r="AI261" s="36">
        <v>0</v>
      </c>
      <c r="AJ261" s="36">
        <v>0</v>
      </c>
      <c r="AK261" s="36"/>
      <c r="AL261" s="36">
        <v>0</v>
      </c>
      <c r="AM261" s="36">
        <v>0</v>
      </c>
      <c r="AN261" s="46">
        <v>0</v>
      </c>
      <c r="AO261" s="100">
        <f t="shared" si="105"/>
        <v>389</v>
      </c>
      <c r="AP261" s="3">
        <f t="shared" si="114"/>
        <v>25285</v>
      </c>
    </row>
    <row r="262" spans="1:42" x14ac:dyDescent="0.2">
      <c r="A262" s="49" t="s">
        <v>533</v>
      </c>
      <c r="B262" s="37" t="s">
        <v>562</v>
      </c>
      <c r="C262" s="37" t="s">
        <v>571</v>
      </c>
      <c r="D262" s="52"/>
      <c r="E262" s="38" t="s">
        <v>755</v>
      </c>
      <c r="F262" s="36" t="s">
        <v>560</v>
      </c>
      <c r="G262" s="36" t="s">
        <v>623</v>
      </c>
      <c r="H262" s="39">
        <v>16</v>
      </c>
      <c r="I262" s="40">
        <v>62923.880000000005</v>
      </c>
      <c r="J262" s="39">
        <v>0</v>
      </c>
      <c r="K262" s="40">
        <v>0</v>
      </c>
      <c r="L262" s="37" t="s">
        <v>571</v>
      </c>
      <c r="M262" s="41">
        <v>4946.5600000000004</v>
      </c>
      <c r="N262" s="42">
        <v>0</v>
      </c>
      <c r="O262" s="36">
        <v>0</v>
      </c>
      <c r="P262" s="41">
        <f t="shared" si="106"/>
        <v>0</v>
      </c>
      <c r="Q262" s="36">
        <v>4</v>
      </c>
      <c r="R262" s="43">
        <f>O262-Q262</f>
        <v>-4</v>
      </c>
      <c r="S262" s="43">
        <f t="shared" si="108"/>
        <v>4</v>
      </c>
      <c r="T262" s="41">
        <f t="shared" si="109"/>
        <v>19786.240000000002</v>
      </c>
      <c r="U262" s="44">
        <f>Q262</f>
        <v>4</v>
      </c>
      <c r="V262" s="45">
        <f t="shared" si="110"/>
        <v>19786.240000000002</v>
      </c>
      <c r="W262" s="36">
        <v>2</v>
      </c>
      <c r="X262" s="86">
        <v>9893.1200000000008</v>
      </c>
      <c r="Y262" s="199">
        <v>4946.25</v>
      </c>
      <c r="Z262" s="44">
        <v>0</v>
      </c>
      <c r="AA262" s="41">
        <f t="shared" si="111"/>
        <v>0</v>
      </c>
      <c r="AB262" s="44">
        <v>0</v>
      </c>
      <c r="AC262" s="44">
        <f t="shared" si="104"/>
        <v>9</v>
      </c>
      <c r="AD262" s="44">
        <f t="shared" si="112"/>
        <v>9</v>
      </c>
      <c r="AE262" s="111">
        <f t="shared" si="113"/>
        <v>44516.25</v>
      </c>
      <c r="AF262" s="51" t="s">
        <v>571</v>
      </c>
      <c r="AG262" s="115" t="s">
        <v>1073</v>
      </c>
      <c r="AH262" s="35">
        <v>0</v>
      </c>
      <c r="AI262" s="36">
        <v>0</v>
      </c>
      <c r="AJ262" s="36">
        <v>0</v>
      </c>
      <c r="AK262" s="36"/>
      <c r="AL262" s="36">
        <v>9</v>
      </c>
      <c r="AM262" s="36">
        <v>0</v>
      </c>
      <c r="AN262" s="46">
        <v>0</v>
      </c>
      <c r="AO262" s="100">
        <f t="shared" si="105"/>
        <v>9</v>
      </c>
      <c r="AP262" s="3">
        <f t="shared" si="114"/>
        <v>44516.25</v>
      </c>
    </row>
    <row r="263" spans="1:42" x14ac:dyDescent="0.2">
      <c r="A263" s="35" t="s">
        <v>52</v>
      </c>
      <c r="B263" s="37" t="s">
        <v>556</v>
      </c>
      <c r="C263" s="37" t="s">
        <v>578</v>
      </c>
      <c r="D263" s="52">
        <v>46387</v>
      </c>
      <c r="E263" s="38" t="s">
        <v>754</v>
      </c>
      <c r="F263" s="36" t="s">
        <v>559</v>
      </c>
      <c r="G263" s="36" t="s">
        <v>649</v>
      </c>
      <c r="H263" s="39">
        <v>189</v>
      </c>
      <c r="I263" s="40">
        <v>23985.989999999998</v>
      </c>
      <c r="J263" s="39">
        <v>159</v>
      </c>
      <c r="K263" s="40">
        <v>20178.690000000002</v>
      </c>
      <c r="L263" s="37" t="s">
        <v>578</v>
      </c>
      <c r="M263" s="41">
        <v>126.91</v>
      </c>
      <c r="N263" s="42">
        <v>0</v>
      </c>
      <c r="O263" s="36">
        <v>344</v>
      </c>
      <c r="P263" s="41">
        <f t="shared" si="106"/>
        <v>43657.04</v>
      </c>
      <c r="Q263" s="36">
        <v>0</v>
      </c>
      <c r="R263" s="43">
        <f>O263-Q263</f>
        <v>344</v>
      </c>
      <c r="S263" s="43">
        <f t="shared" si="108"/>
        <v>0</v>
      </c>
      <c r="T263" s="41">
        <f t="shared" si="109"/>
        <v>0</v>
      </c>
      <c r="U263" s="44">
        <f>O263</f>
        <v>344</v>
      </c>
      <c r="V263" s="45">
        <f t="shared" si="110"/>
        <v>43657.04</v>
      </c>
      <c r="W263" s="36">
        <v>250</v>
      </c>
      <c r="X263" s="86">
        <v>31727.5</v>
      </c>
      <c r="Y263" s="199">
        <v>126.91000000000001</v>
      </c>
      <c r="Z263" s="44">
        <v>300</v>
      </c>
      <c r="AA263" s="41">
        <f t="shared" si="111"/>
        <v>38073</v>
      </c>
      <c r="AB263" s="44">
        <v>0</v>
      </c>
      <c r="AC263" s="44">
        <f t="shared" si="104"/>
        <v>50</v>
      </c>
      <c r="AD263" s="44">
        <f t="shared" si="112"/>
        <v>350</v>
      </c>
      <c r="AE263" s="111">
        <f t="shared" si="113"/>
        <v>44418.500000000007</v>
      </c>
      <c r="AF263" s="51" t="s">
        <v>578</v>
      </c>
      <c r="AG263" s="115"/>
      <c r="AH263" s="35">
        <v>50</v>
      </c>
      <c r="AI263" s="36">
        <v>0</v>
      </c>
      <c r="AJ263" s="36">
        <v>0</v>
      </c>
      <c r="AK263" s="36"/>
      <c r="AL263" s="36">
        <v>0</v>
      </c>
      <c r="AM263" s="36">
        <v>0</v>
      </c>
      <c r="AN263" s="46">
        <v>0</v>
      </c>
      <c r="AO263" s="100">
        <f t="shared" si="105"/>
        <v>50</v>
      </c>
      <c r="AP263" s="3">
        <f t="shared" si="114"/>
        <v>6345.5000000000009</v>
      </c>
    </row>
    <row r="264" spans="1:42" x14ac:dyDescent="0.2">
      <c r="A264" s="35" t="s">
        <v>72</v>
      </c>
      <c r="B264" s="37" t="s">
        <v>556</v>
      </c>
      <c r="C264" s="37" t="s">
        <v>578</v>
      </c>
      <c r="D264" s="52">
        <v>46387</v>
      </c>
      <c r="E264" s="38" t="s">
        <v>754</v>
      </c>
      <c r="F264" s="36" t="s">
        <v>559</v>
      </c>
      <c r="G264" s="36" t="s">
        <v>613</v>
      </c>
      <c r="H264" s="39">
        <v>249</v>
      </c>
      <c r="I264" s="40">
        <v>35186.19</v>
      </c>
      <c r="J264" s="39">
        <v>321</v>
      </c>
      <c r="K264" s="40">
        <v>45360.51</v>
      </c>
      <c r="L264" s="37" t="s">
        <v>578</v>
      </c>
      <c r="M264" s="41">
        <v>196.4</v>
      </c>
      <c r="N264" s="42">
        <v>0</v>
      </c>
      <c r="O264" s="36">
        <v>206</v>
      </c>
      <c r="P264" s="41">
        <f t="shared" si="106"/>
        <v>40458.400000000001</v>
      </c>
      <c r="Q264" s="36">
        <v>177</v>
      </c>
      <c r="R264" s="43">
        <f>O264-Q264</f>
        <v>29</v>
      </c>
      <c r="S264" s="43">
        <f t="shared" si="108"/>
        <v>0</v>
      </c>
      <c r="T264" s="41">
        <f t="shared" si="109"/>
        <v>0</v>
      </c>
      <c r="U264" s="44">
        <f>O264</f>
        <v>206</v>
      </c>
      <c r="V264" s="45">
        <f t="shared" si="110"/>
        <v>40458.400000000001</v>
      </c>
      <c r="W264" s="36">
        <v>120</v>
      </c>
      <c r="X264" s="86">
        <v>23568</v>
      </c>
      <c r="Y264" s="199">
        <v>196.4</v>
      </c>
      <c r="Z264" s="44">
        <v>120</v>
      </c>
      <c r="AA264" s="41">
        <f t="shared" si="111"/>
        <v>23568</v>
      </c>
      <c r="AB264" s="44">
        <v>0</v>
      </c>
      <c r="AC264" s="44">
        <f t="shared" si="104"/>
        <v>96</v>
      </c>
      <c r="AD264" s="44">
        <f t="shared" si="112"/>
        <v>216</v>
      </c>
      <c r="AE264" s="111">
        <f t="shared" si="113"/>
        <v>42422.400000000001</v>
      </c>
      <c r="AF264" s="51" t="s">
        <v>578</v>
      </c>
      <c r="AG264" s="115"/>
      <c r="AH264" s="35">
        <v>96</v>
      </c>
      <c r="AI264" s="36">
        <v>0</v>
      </c>
      <c r="AJ264" s="36">
        <v>0</v>
      </c>
      <c r="AK264" s="36"/>
      <c r="AL264" s="36">
        <v>0</v>
      </c>
      <c r="AM264" s="36">
        <v>0</v>
      </c>
      <c r="AN264" s="46">
        <v>0</v>
      </c>
      <c r="AO264" s="100">
        <f t="shared" si="105"/>
        <v>96</v>
      </c>
      <c r="AP264" s="3">
        <f t="shared" si="114"/>
        <v>18854.400000000001</v>
      </c>
    </row>
    <row r="265" spans="1:42" x14ac:dyDescent="0.2">
      <c r="A265" s="49" t="s">
        <v>851</v>
      </c>
      <c r="B265" s="37" t="s">
        <v>565</v>
      </c>
      <c r="C265" s="37" t="s">
        <v>571</v>
      </c>
      <c r="D265" s="52"/>
      <c r="E265" s="38" t="s">
        <v>785</v>
      </c>
      <c r="F265" s="36" t="s">
        <v>557</v>
      </c>
      <c r="G265" s="36" t="s">
        <v>581</v>
      </c>
      <c r="H265" s="39"/>
      <c r="I265" s="40"/>
      <c r="J265" s="39">
        <v>100</v>
      </c>
      <c r="K265" s="40">
        <v>40685</v>
      </c>
      <c r="L265" s="51"/>
      <c r="M265" s="41">
        <v>422.27000000000004</v>
      </c>
      <c r="N265" s="41"/>
      <c r="O265" s="36"/>
      <c r="P265" s="41"/>
      <c r="Q265" s="36"/>
      <c r="R265" s="43"/>
      <c r="S265" s="43"/>
      <c r="T265" s="41"/>
      <c r="U265" s="44"/>
      <c r="V265" s="45"/>
      <c r="W265" s="36">
        <v>106</v>
      </c>
      <c r="X265" s="86">
        <v>44760.62</v>
      </c>
      <c r="Y265" s="199">
        <v>422.27</v>
      </c>
      <c r="Z265" s="44">
        <v>0</v>
      </c>
      <c r="AA265" s="41">
        <f t="shared" si="111"/>
        <v>0</v>
      </c>
      <c r="AB265" s="44">
        <v>0</v>
      </c>
      <c r="AC265" s="44">
        <f t="shared" si="104"/>
        <v>100</v>
      </c>
      <c r="AD265" s="44">
        <f t="shared" si="112"/>
        <v>100</v>
      </c>
      <c r="AE265" s="111">
        <f t="shared" si="113"/>
        <v>42227</v>
      </c>
      <c r="AF265" s="51" t="s">
        <v>571</v>
      </c>
      <c r="AG265" s="115"/>
      <c r="AH265" s="35">
        <v>0</v>
      </c>
      <c r="AI265" s="36">
        <v>0</v>
      </c>
      <c r="AJ265" s="36">
        <v>100</v>
      </c>
      <c r="AK265" s="36"/>
      <c r="AL265" s="36">
        <v>0</v>
      </c>
      <c r="AM265" s="36">
        <v>0</v>
      </c>
      <c r="AN265" s="46">
        <v>0</v>
      </c>
      <c r="AO265" s="100">
        <f t="shared" si="105"/>
        <v>100</v>
      </c>
      <c r="AP265" s="3">
        <f t="shared" si="114"/>
        <v>42227</v>
      </c>
    </row>
    <row r="266" spans="1:42" x14ac:dyDescent="0.2">
      <c r="A266" s="35" t="s">
        <v>350</v>
      </c>
      <c r="B266" s="37" t="s">
        <v>556</v>
      </c>
      <c r="C266" s="37" t="s">
        <v>578</v>
      </c>
      <c r="D266" s="52">
        <v>46022</v>
      </c>
      <c r="E266" s="38" t="s">
        <v>753</v>
      </c>
      <c r="F266" s="36" t="s">
        <v>557</v>
      </c>
      <c r="G266" s="36" t="s">
        <v>610</v>
      </c>
      <c r="H266" s="39">
        <v>51</v>
      </c>
      <c r="I266" s="40">
        <v>21517.34</v>
      </c>
      <c r="J266" s="39">
        <v>90</v>
      </c>
      <c r="K266" s="40">
        <v>46963.8</v>
      </c>
      <c r="L266" s="37" t="s">
        <v>571</v>
      </c>
      <c r="M266" s="41">
        <v>521.81999999999994</v>
      </c>
      <c r="N266" s="42">
        <v>0</v>
      </c>
      <c r="O266" s="36">
        <v>26</v>
      </c>
      <c r="P266" s="41">
        <f t="shared" ref="P266:P275" si="115">(N266+O266)*M266</f>
        <v>13567.319999999998</v>
      </c>
      <c r="Q266" s="36">
        <v>15</v>
      </c>
      <c r="R266" s="43">
        <f t="shared" ref="R266:R275" si="116">O266-Q266</f>
        <v>11</v>
      </c>
      <c r="S266" s="43">
        <f t="shared" ref="S266:S275" si="117">U266-O266</f>
        <v>15</v>
      </c>
      <c r="T266" s="41">
        <f t="shared" ref="T266:T275" si="118">S266*M266</f>
        <v>7827.2999999999993</v>
      </c>
      <c r="U266" s="44">
        <v>41</v>
      </c>
      <c r="V266" s="45">
        <f t="shared" ref="V266:V275" si="119">U266*M266</f>
        <v>21394.62</v>
      </c>
      <c r="W266" s="36">
        <v>26</v>
      </c>
      <c r="X266" s="86">
        <v>13567.32</v>
      </c>
      <c r="Y266" s="199">
        <v>521.82000000000005</v>
      </c>
      <c r="Z266" s="44">
        <v>24</v>
      </c>
      <c r="AA266" s="41">
        <f t="shared" si="111"/>
        <v>12523.68</v>
      </c>
      <c r="AB266" s="44">
        <v>0</v>
      </c>
      <c r="AC266" s="44">
        <f t="shared" si="104"/>
        <v>56</v>
      </c>
      <c r="AD266" s="44">
        <f t="shared" si="112"/>
        <v>80</v>
      </c>
      <c r="AE266" s="111">
        <f t="shared" si="113"/>
        <v>41745.600000000006</v>
      </c>
      <c r="AF266" s="51" t="s">
        <v>571</v>
      </c>
      <c r="AG266" s="115"/>
      <c r="AH266" s="35">
        <v>56</v>
      </c>
      <c r="AI266" s="36">
        <v>0</v>
      </c>
      <c r="AJ266" s="36">
        <v>0</v>
      </c>
      <c r="AK266" s="36"/>
      <c r="AL266" s="36">
        <v>0</v>
      </c>
      <c r="AM266" s="36">
        <v>0</v>
      </c>
      <c r="AN266" s="46">
        <v>0</v>
      </c>
      <c r="AO266" s="100">
        <f t="shared" si="105"/>
        <v>56</v>
      </c>
      <c r="AP266" s="3">
        <f t="shared" si="114"/>
        <v>29221.920000000002</v>
      </c>
    </row>
    <row r="267" spans="1:42" x14ac:dyDescent="0.2">
      <c r="A267" s="35" t="s">
        <v>514</v>
      </c>
      <c r="B267" s="37" t="s">
        <v>556</v>
      </c>
      <c r="C267" s="37" t="s">
        <v>578</v>
      </c>
      <c r="D267" s="52">
        <v>46022</v>
      </c>
      <c r="E267" s="38" t="s">
        <v>764</v>
      </c>
      <c r="F267" s="36" t="s">
        <v>559</v>
      </c>
      <c r="G267" s="36" t="s">
        <v>607</v>
      </c>
      <c r="H267" s="39">
        <v>1030</v>
      </c>
      <c r="I267" s="40">
        <v>203613.4</v>
      </c>
      <c r="J267" s="39">
        <v>0</v>
      </c>
      <c r="K267" s="40">
        <v>0</v>
      </c>
      <c r="L267" s="37" t="s">
        <v>578</v>
      </c>
      <c r="M267" s="41" t="e">
        <v>#DIV/0!</v>
      </c>
      <c r="N267" s="42">
        <v>0</v>
      </c>
      <c r="O267" s="36">
        <v>0</v>
      </c>
      <c r="P267" s="41" t="e">
        <f t="shared" si="115"/>
        <v>#DIV/0!</v>
      </c>
      <c r="Q267" s="36">
        <v>500</v>
      </c>
      <c r="R267" s="43">
        <f t="shared" si="116"/>
        <v>-500</v>
      </c>
      <c r="S267" s="43">
        <f t="shared" si="117"/>
        <v>500</v>
      </c>
      <c r="T267" s="41" t="e">
        <f t="shared" si="118"/>
        <v>#DIV/0!</v>
      </c>
      <c r="U267" s="44">
        <f>Q267</f>
        <v>500</v>
      </c>
      <c r="V267" s="45" t="e">
        <f t="shared" si="119"/>
        <v>#DIV/0!</v>
      </c>
      <c r="W267" s="36">
        <v>0</v>
      </c>
      <c r="X267" s="86">
        <v>0</v>
      </c>
      <c r="Y267" s="199">
        <f>VLOOKUP(A267,'[1]2026-2028'!$B$3:$X$32,23,FALSE)</f>
        <v>164.89541249999999</v>
      </c>
      <c r="Z267" s="44">
        <v>0</v>
      </c>
      <c r="AA267" s="41">
        <f t="shared" si="111"/>
        <v>0</v>
      </c>
      <c r="AB267" s="44">
        <v>0</v>
      </c>
      <c r="AC267" s="44">
        <f t="shared" si="104"/>
        <v>250</v>
      </c>
      <c r="AD267" s="44">
        <f t="shared" si="112"/>
        <v>250</v>
      </c>
      <c r="AE267" s="111">
        <f t="shared" si="113"/>
        <v>41223.853125000001</v>
      </c>
      <c r="AF267" s="51" t="s">
        <v>571</v>
      </c>
      <c r="AG267" s="115"/>
      <c r="AH267" s="35">
        <v>0</v>
      </c>
      <c r="AI267" s="36">
        <v>0</v>
      </c>
      <c r="AJ267" s="36">
        <v>0</v>
      </c>
      <c r="AK267" s="50">
        <v>250</v>
      </c>
      <c r="AL267" s="36">
        <v>0</v>
      </c>
      <c r="AM267" s="36">
        <v>0</v>
      </c>
      <c r="AN267" s="46">
        <v>0</v>
      </c>
      <c r="AO267" s="100">
        <f t="shared" si="105"/>
        <v>250</v>
      </c>
      <c r="AP267" s="3">
        <f t="shared" si="114"/>
        <v>41223.853125000001</v>
      </c>
    </row>
    <row r="268" spans="1:42" x14ac:dyDescent="0.2">
      <c r="A268" s="35" t="s">
        <v>186</v>
      </c>
      <c r="B268" s="37" t="s">
        <v>556</v>
      </c>
      <c r="C268" s="37" t="s">
        <v>578</v>
      </c>
      <c r="D268" s="52">
        <v>46022</v>
      </c>
      <c r="E268" s="38" t="s">
        <v>764</v>
      </c>
      <c r="F268" s="36" t="s">
        <v>559</v>
      </c>
      <c r="G268" s="36" t="s">
        <v>607</v>
      </c>
      <c r="H268" s="39">
        <v>425</v>
      </c>
      <c r="I268" s="40">
        <v>82037.75</v>
      </c>
      <c r="J268" s="39">
        <v>1758</v>
      </c>
      <c r="K268" s="40">
        <v>173193.05999999997</v>
      </c>
      <c r="L268" s="37" t="s">
        <v>578</v>
      </c>
      <c r="M268" s="41">
        <v>79.070000000000007</v>
      </c>
      <c r="N268" s="42">
        <v>0</v>
      </c>
      <c r="O268" s="36">
        <v>142</v>
      </c>
      <c r="P268" s="41">
        <f t="shared" si="115"/>
        <v>11227.94</v>
      </c>
      <c r="Q268" s="36">
        <v>400</v>
      </c>
      <c r="R268" s="43">
        <f t="shared" si="116"/>
        <v>-258</v>
      </c>
      <c r="S268" s="43">
        <f t="shared" si="117"/>
        <v>258</v>
      </c>
      <c r="T268" s="41">
        <f t="shared" si="118"/>
        <v>20400.060000000001</v>
      </c>
      <c r="U268" s="44">
        <v>400</v>
      </c>
      <c r="V268" s="45">
        <f t="shared" si="119"/>
        <v>31628.000000000004</v>
      </c>
      <c r="W268" s="36">
        <v>142</v>
      </c>
      <c r="X268" s="86">
        <v>11227.94</v>
      </c>
      <c r="Y268" s="199">
        <f>VLOOKUP(A268,'[1]2026-2028'!$B$3:$X$32,23,FALSE)</f>
        <v>159.61168125</v>
      </c>
      <c r="Z268" s="44">
        <v>0</v>
      </c>
      <c r="AA268" s="41">
        <f t="shared" si="111"/>
        <v>0</v>
      </c>
      <c r="AB268" s="44">
        <v>0</v>
      </c>
      <c r="AC268" s="44">
        <f t="shared" si="104"/>
        <v>250</v>
      </c>
      <c r="AD268" s="44">
        <f t="shared" si="112"/>
        <v>250</v>
      </c>
      <c r="AE268" s="111">
        <f t="shared" si="113"/>
        <v>39902.920312499999</v>
      </c>
      <c r="AF268" s="51" t="s">
        <v>571</v>
      </c>
      <c r="AG268" s="115"/>
      <c r="AH268" s="35">
        <v>0</v>
      </c>
      <c r="AI268" s="36">
        <v>0</v>
      </c>
      <c r="AJ268" s="36">
        <v>0</v>
      </c>
      <c r="AK268" s="50">
        <v>250</v>
      </c>
      <c r="AL268" s="36">
        <v>0</v>
      </c>
      <c r="AM268" s="36">
        <v>0</v>
      </c>
      <c r="AN268" s="46">
        <v>0</v>
      </c>
      <c r="AO268" s="100">
        <f t="shared" si="105"/>
        <v>250</v>
      </c>
      <c r="AP268" s="3">
        <f t="shared" si="114"/>
        <v>39902.920312499999</v>
      </c>
    </row>
    <row r="269" spans="1:42" x14ac:dyDescent="0.2">
      <c r="A269" s="35" t="s">
        <v>230</v>
      </c>
      <c r="B269" s="37" t="s">
        <v>556</v>
      </c>
      <c r="C269" s="37" t="s">
        <v>578</v>
      </c>
      <c r="D269" s="52">
        <v>46387</v>
      </c>
      <c r="E269" s="38" t="s">
        <v>754</v>
      </c>
      <c r="F269" s="36" t="s">
        <v>559</v>
      </c>
      <c r="G269" s="36" t="s">
        <v>601</v>
      </c>
      <c r="H269" s="39">
        <v>258</v>
      </c>
      <c r="I269" s="40">
        <v>43039.56</v>
      </c>
      <c r="J269" s="39">
        <v>367</v>
      </c>
      <c r="K269" s="40">
        <v>61222.94</v>
      </c>
      <c r="L269" s="37" t="s">
        <v>578</v>
      </c>
      <c r="M269" s="41">
        <v>166.82</v>
      </c>
      <c r="N269" s="42">
        <v>0</v>
      </c>
      <c r="O269" s="36">
        <v>51</v>
      </c>
      <c r="P269" s="41">
        <f t="shared" si="115"/>
        <v>8507.82</v>
      </c>
      <c r="Q269" s="36">
        <v>7</v>
      </c>
      <c r="R269" s="43">
        <f t="shared" si="116"/>
        <v>44</v>
      </c>
      <c r="S269" s="43">
        <f t="shared" si="117"/>
        <v>149</v>
      </c>
      <c r="T269" s="41">
        <f t="shared" si="118"/>
        <v>24856.18</v>
      </c>
      <c r="U269" s="44">
        <v>200</v>
      </c>
      <c r="V269" s="45">
        <f t="shared" si="119"/>
        <v>33364</v>
      </c>
      <c r="W269" s="36">
        <v>26</v>
      </c>
      <c r="X269" s="86">
        <v>4337.32</v>
      </c>
      <c r="Y269" s="199">
        <v>166.82</v>
      </c>
      <c r="Z269" s="44">
        <v>4</v>
      </c>
      <c r="AA269" s="41">
        <f t="shared" si="111"/>
        <v>667.28</v>
      </c>
      <c r="AB269" s="44">
        <v>0</v>
      </c>
      <c r="AC269" s="44">
        <f t="shared" si="104"/>
        <v>234</v>
      </c>
      <c r="AD269" s="44">
        <f t="shared" si="112"/>
        <v>238</v>
      </c>
      <c r="AE269" s="111">
        <f t="shared" si="113"/>
        <v>39703.159999999996</v>
      </c>
      <c r="AF269" s="51" t="s">
        <v>578</v>
      </c>
      <c r="AG269" s="115"/>
      <c r="AH269" s="35">
        <v>234</v>
      </c>
      <c r="AI269" s="36">
        <v>0</v>
      </c>
      <c r="AJ269" s="36">
        <v>0</v>
      </c>
      <c r="AK269" s="36"/>
      <c r="AL269" s="36">
        <v>0</v>
      </c>
      <c r="AM269" s="36">
        <v>0</v>
      </c>
      <c r="AN269" s="46">
        <v>0</v>
      </c>
      <c r="AO269" s="100">
        <f t="shared" si="105"/>
        <v>234</v>
      </c>
      <c r="AP269" s="3">
        <f t="shared" si="114"/>
        <v>39035.879999999997</v>
      </c>
    </row>
    <row r="270" spans="1:42" x14ac:dyDescent="0.2">
      <c r="A270" s="35" t="s">
        <v>330</v>
      </c>
      <c r="B270" s="37" t="s">
        <v>556</v>
      </c>
      <c r="C270" s="37" t="s">
        <v>578</v>
      </c>
      <c r="D270" s="52">
        <v>46387</v>
      </c>
      <c r="E270" s="38" t="s">
        <v>754</v>
      </c>
      <c r="F270" s="36" t="s">
        <v>557</v>
      </c>
      <c r="G270" s="36" t="s">
        <v>618</v>
      </c>
      <c r="H270" s="39">
        <v>809</v>
      </c>
      <c r="I270" s="40">
        <v>77572.499999999985</v>
      </c>
      <c r="J270" s="39">
        <v>861</v>
      </c>
      <c r="K270" s="40">
        <v>65845.62</v>
      </c>
      <c r="L270" s="37" t="s">
        <v>578</v>
      </c>
      <c r="M270" s="41">
        <v>113.11840616966582</v>
      </c>
      <c r="N270" s="42">
        <v>0</v>
      </c>
      <c r="O270" s="36">
        <v>51</v>
      </c>
      <c r="P270" s="41">
        <f t="shared" si="115"/>
        <v>5769.0387146529565</v>
      </c>
      <c r="Q270" s="36">
        <v>40</v>
      </c>
      <c r="R270" s="43">
        <f t="shared" si="116"/>
        <v>11</v>
      </c>
      <c r="S270" s="43">
        <f t="shared" si="117"/>
        <v>549</v>
      </c>
      <c r="T270" s="41">
        <f t="shared" si="118"/>
        <v>62102.004987146531</v>
      </c>
      <c r="U270" s="44">
        <v>600</v>
      </c>
      <c r="V270" s="45">
        <f t="shared" si="119"/>
        <v>67871.043701799485</v>
      </c>
      <c r="W270" s="36">
        <v>389</v>
      </c>
      <c r="X270" s="86">
        <v>44003.060000000005</v>
      </c>
      <c r="Y270" s="199">
        <v>62.5</v>
      </c>
      <c r="Z270" s="44">
        <v>524</v>
      </c>
      <c r="AA270" s="41">
        <f t="shared" si="111"/>
        <v>32750</v>
      </c>
      <c r="AB270" s="44">
        <v>0</v>
      </c>
      <c r="AC270" s="44">
        <f t="shared" si="104"/>
        <v>107</v>
      </c>
      <c r="AD270" s="44">
        <f t="shared" si="112"/>
        <v>631</v>
      </c>
      <c r="AE270" s="111">
        <f t="shared" si="113"/>
        <v>39437.5</v>
      </c>
      <c r="AF270" s="51" t="s">
        <v>578</v>
      </c>
      <c r="AG270" s="115"/>
      <c r="AH270" s="35">
        <v>107</v>
      </c>
      <c r="AI270" s="36">
        <v>0</v>
      </c>
      <c r="AJ270" s="36">
        <v>0</v>
      </c>
      <c r="AK270" s="36"/>
      <c r="AL270" s="36">
        <v>0</v>
      </c>
      <c r="AM270" s="36">
        <v>0</v>
      </c>
      <c r="AN270" s="46">
        <v>0</v>
      </c>
      <c r="AO270" s="100">
        <f t="shared" si="105"/>
        <v>107</v>
      </c>
      <c r="AP270" s="3">
        <f t="shared" si="114"/>
        <v>6687.5</v>
      </c>
    </row>
    <row r="271" spans="1:42" x14ac:dyDescent="0.2">
      <c r="A271" s="49" t="s">
        <v>283</v>
      </c>
      <c r="B271" s="37" t="s">
        <v>562</v>
      </c>
      <c r="C271" s="37" t="s">
        <v>578</v>
      </c>
      <c r="D271" s="52"/>
      <c r="E271" s="38" t="s">
        <v>755</v>
      </c>
      <c r="F271" s="36" t="s">
        <v>560</v>
      </c>
      <c r="G271" s="36" t="s">
        <v>623</v>
      </c>
      <c r="H271" s="39">
        <v>24</v>
      </c>
      <c r="I271" s="40">
        <v>111986.28</v>
      </c>
      <c r="J271" s="39">
        <v>12</v>
      </c>
      <c r="K271" s="40">
        <v>58939.439999999995</v>
      </c>
      <c r="L271" s="37" t="s">
        <v>571</v>
      </c>
      <c r="M271" s="41">
        <v>5031.3418750000001</v>
      </c>
      <c r="N271" s="42">
        <v>0</v>
      </c>
      <c r="O271" s="36">
        <v>3</v>
      </c>
      <c r="P271" s="41">
        <f t="shared" si="115"/>
        <v>15094.025625</v>
      </c>
      <c r="Q271" s="36">
        <v>3</v>
      </c>
      <c r="R271" s="43">
        <f t="shared" si="116"/>
        <v>0</v>
      </c>
      <c r="S271" s="43">
        <f t="shared" si="117"/>
        <v>0</v>
      </c>
      <c r="T271" s="41">
        <f t="shared" si="118"/>
        <v>0</v>
      </c>
      <c r="U271" s="44">
        <v>3</v>
      </c>
      <c r="V271" s="45">
        <f t="shared" si="119"/>
        <v>15094.025625</v>
      </c>
      <c r="W271" s="36">
        <v>16</v>
      </c>
      <c r="X271" s="86">
        <v>80501.47</v>
      </c>
      <c r="Y271" s="199">
        <v>4911.62</v>
      </c>
      <c r="Z271" s="44">
        <v>0</v>
      </c>
      <c r="AA271" s="41">
        <f t="shared" si="111"/>
        <v>0</v>
      </c>
      <c r="AB271" s="44">
        <v>0</v>
      </c>
      <c r="AC271" s="44">
        <f t="shared" si="104"/>
        <v>8</v>
      </c>
      <c r="AD271" s="44">
        <f t="shared" si="112"/>
        <v>8</v>
      </c>
      <c r="AE271" s="111">
        <f t="shared" si="113"/>
        <v>39292.959999999999</v>
      </c>
      <c r="AF271" s="51" t="s">
        <v>571</v>
      </c>
      <c r="AG271" s="115" t="s">
        <v>1060</v>
      </c>
      <c r="AH271" s="35">
        <v>0</v>
      </c>
      <c r="AI271" s="36">
        <v>0</v>
      </c>
      <c r="AJ271" s="36">
        <v>0</v>
      </c>
      <c r="AK271" s="36"/>
      <c r="AL271" s="36">
        <v>8</v>
      </c>
      <c r="AM271" s="36">
        <v>0</v>
      </c>
      <c r="AN271" s="46">
        <v>0</v>
      </c>
      <c r="AO271" s="100">
        <f t="shared" si="105"/>
        <v>8</v>
      </c>
      <c r="AP271" s="3">
        <f t="shared" si="114"/>
        <v>39292.959999999999</v>
      </c>
    </row>
    <row r="272" spans="1:42" x14ac:dyDescent="0.2">
      <c r="A272" s="35" t="s">
        <v>422</v>
      </c>
      <c r="B272" s="37" t="s">
        <v>565</v>
      </c>
      <c r="C272" s="37" t="s">
        <v>571</v>
      </c>
      <c r="D272" s="52"/>
      <c r="E272" s="38" t="s">
        <v>594</v>
      </c>
      <c r="F272" s="36" t="s">
        <v>555</v>
      </c>
      <c r="G272" s="36" t="s">
        <v>620</v>
      </c>
      <c r="H272" s="39">
        <v>0</v>
      </c>
      <c r="I272" s="40">
        <v>0</v>
      </c>
      <c r="J272" s="39">
        <v>157</v>
      </c>
      <c r="K272" s="40">
        <v>120596</v>
      </c>
      <c r="L272" s="37" t="s">
        <v>578</v>
      </c>
      <c r="M272" s="41">
        <v>921</v>
      </c>
      <c r="N272" s="42">
        <v>0</v>
      </c>
      <c r="O272" s="36">
        <v>25</v>
      </c>
      <c r="P272" s="41">
        <f t="shared" si="115"/>
        <v>23025</v>
      </c>
      <c r="Q272" s="36">
        <v>50</v>
      </c>
      <c r="R272" s="43">
        <f t="shared" si="116"/>
        <v>-25</v>
      </c>
      <c r="S272" s="43">
        <f t="shared" si="117"/>
        <v>0</v>
      </c>
      <c r="T272" s="41">
        <f t="shared" si="118"/>
        <v>0</v>
      </c>
      <c r="U272" s="44">
        <f>O272</f>
        <v>25</v>
      </c>
      <c r="V272" s="45">
        <f t="shared" si="119"/>
        <v>23025</v>
      </c>
      <c r="W272" s="36">
        <v>75</v>
      </c>
      <c r="X272" s="86">
        <v>69075</v>
      </c>
      <c r="Y272" s="199">
        <v>781.5</v>
      </c>
      <c r="Z272" s="44">
        <v>0</v>
      </c>
      <c r="AA272" s="41">
        <f t="shared" si="111"/>
        <v>0</v>
      </c>
      <c r="AB272" s="44">
        <v>0</v>
      </c>
      <c r="AC272" s="44">
        <f t="shared" si="104"/>
        <v>50</v>
      </c>
      <c r="AD272" s="44">
        <f t="shared" si="112"/>
        <v>50</v>
      </c>
      <c r="AE272" s="111">
        <f t="shared" si="113"/>
        <v>39075</v>
      </c>
      <c r="AF272" s="51" t="s">
        <v>578</v>
      </c>
      <c r="AG272" s="115"/>
      <c r="AH272" s="35">
        <v>0</v>
      </c>
      <c r="AI272" s="36">
        <v>50</v>
      </c>
      <c r="AJ272" s="36">
        <v>0</v>
      </c>
      <c r="AK272" s="36"/>
      <c r="AL272" s="36">
        <v>0</v>
      </c>
      <c r="AM272" s="36">
        <v>0</v>
      </c>
      <c r="AN272" s="46">
        <v>0</v>
      </c>
      <c r="AO272" s="100">
        <f t="shared" si="105"/>
        <v>50</v>
      </c>
      <c r="AP272" s="3">
        <f t="shared" si="114"/>
        <v>39075</v>
      </c>
    </row>
    <row r="273" spans="1:42" x14ac:dyDescent="0.2">
      <c r="A273" s="35" t="s">
        <v>313</v>
      </c>
      <c r="B273" s="37" t="s">
        <v>562</v>
      </c>
      <c r="C273" s="37" t="s">
        <v>571</v>
      </c>
      <c r="D273" s="52"/>
      <c r="E273" s="38" t="s">
        <v>774</v>
      </c>
      <c r="F273" s="36" t="s">
        <v>557</v>
      </c>
      <c r="G273" s="36" t="s">
        <v>581</v>
      </c>
      <c r="H273" s="39">
        <v>83</v>
      </c>
      <c r="I273" s="40">
        <v>19609.579999999998</v>
      </c>
      <c r="J273" s="39">
        <v>0</v>
      </c>
      <c r="K273" s="40">
        <v>0</v>
      </c>
      <c r="L273" s="37" t="s">
        <v>571</v>
      </c>
      <c r="M273" s="41">
        <v>379.52</v>
      </c>
      <c r="N273" s="42">
        <v>0</v>
      </c>
      <c r="O273" s="36">
        <v>100</v>
      </c>
      <c r="P273" s="41">
        <f t="shared" si="115"/>
        <v>37952</v>
      </c>
      <c r="Q273" s="36">
        <v>100</v>
      </c>
      <c r="R273" s="43">
        <f t="shared" si="116"/>
        <v>0</v>
      </c>
      <c r="S273" s="43">
        <f t="shared" si="117"/>
        <v>0</v>
      </c>
      <c r="T273" s="41">
        <f t="shared" si="118"/>
        <v>0</v>
      </c>
      <c r="U273" s="44">
        <f>O273</f>
        <v>100</v>
      </c>
      <c r="V273" s="45">
        <f t="shared" si="119"/>
        <v>37952</v>
      </c>
      <c r="W273" s="36">
        <v>200</v>
      </c>
      <c r="X273" s="86">
        <v>75904</v>
      </c>
      <c r="Y273" s="199">
        <v>382.16</v>
      </c>
      <c r="Z273" s="44">
        <v>0</v>
      </c>
      <c r="AA273" s="41">
        <f t="shared" si="111"/>
        <v>0</v>
      </c>
      <c r="AB273" s="44">
        <v>0</v>
      </c>
      <c r="AC273" s="44">
        <f t="shared" si="104"/>
        <v>100</v>
      </c>
      <c r="AD273" s="44">
        <f t="shared" si="112"/>
        <v>100</v>
      </c>
      <c r="AE273" s="111">
        <f t="shared" si="113"/>
        <v>38216</v>
      </c>
      <c r="AF273" s="51" t="s">
        <v>571</v>
      </c>
      <c r="AG273" s="115"/>
      <c r="AH273" s="35">
        <v>0</v>
      </c>
      <c r="AI273" s="36">
        <v>0</v>
      </c>
      <c r="AJ273" s="36">
        <v>100</v>
      </c>
      <c r="AK273" s="36"/>
      <c r="AL273" s="36">
        <v>0</v>
      </c>
      <c r="AM273" s="36">
        <v>0</v>
      </c>
      <c r="AN273" s="46">
        <v>0</v>
      </c>
      <c r="AO273" s="100">
        <f t="shared" si="105"/>
        <v>100</v>
      </c>
      <c r="AP273" s="3">
        <f t="shared" si="114"/>
        <v>38216</v>
      </c>
    </row>
    <row r="274" spans="1:42" x14ac:dyDescent="0.2">
      <c r="A274" s="35" t="s">
        <v>396</v>
      </c>
      <c r="B274" s="37" t="s">
        <v>565</v>
      </c>
      <c r="C274" s="37" t="s">
        <v>571</v>
      </c>
      <c r="D274" s="52"/>
      <c r="E274" s="38" t="s">
        <v>594</v>
      </c>
      <c r="F274" s="36" t="s">
        <v>555</v>
      </c>
      <c r="G274" s="36" t="s">
        <v>624</v>
      </c>
      <c r="H274" s="39">
        <v>45</v>
      </c>
      <c r="I274" s="40">
        <v>33750</v>
      </c>
      <c r="J274" s="39">
        <v>2</v>
      </c>
      <c r="K274" s="40">
        <v>1507.8</v>
      </c>
      <c r="L274" s="37" t="s">
        <v>571</v>
      </c>
      <c r="M274" s="41">
        <v>758.88525000000004</v>
      </c>
      <c r="N274" s="42">
        <v>0</v>
      </c>
      <c r="O274" s="36">
        <v>58</v>
      </c>
      <c r="P274" s="41">
        <f t="shared" si="115"/>
        <v>44015.344499999999</v>
      </c>
      <c r="Q274" s="36">
        <v>50</v>
      </c>
      <c r="R274" s="43">
        <f t="shared" si="116"/>
        <v>8</v>
      </c>
      <c r="S274" s="43">
        <f t="shared" si="117"/>
        <v>0</v>
      </c>
      <c r="T274" s="41">
        <f t="shared" si="118"/>
        <v>0</v>
      </c>
      <c r="U274" s="44">
        <f>O274</f>
        <v>58</v>
      </c>
      <c r="V274" s="45">
        <f t="shared" si="119"/>
        <v>44015.344499999999</v>
      </c>
      <c r="W274" s="36">
        <v>160</v>
      </c>
      <c r="X274" s="86">
        <v>121421.64</v>
      </c>
      <c r="Y274" s="199">
        <v>761.72</v>
      </c>
      <c r="Z274" s="44">
        <v>0</v>
      </c>
      <c r="AA274" s="41">
        <f t="shared" si="111"/>
        <v>0</v>
      </c>
      <c r="AB274" s="44">
        <v>0</v>
      </c>
      <c r="AC274" s="44">
        <f t="shared" si="104"/>
        <v>50</v>
      </c>
      <c r="AD274" s="44">
        <f t="shared" si="112"/>
        <v>50</v>
      </c>
      <c r="AE274" s="111">
        <f t="shared" si="113"/>
        <v>38086</v>
      </c>
      <c r="AF274" s="51" t="s">
        <v>571</v>
      </c>
      <c r="AG274" s="115"/>
      <c r="AH274" s="35">
        <v>0</v>
      </c>
      <c r="AI274" s="36">
        <v>50</v>
      </c>
      <c r="AJ274" s="36">
        <v>0</v>
      </c>
      <c r="AK274" s="36"/>
      <c r="AL274" s="36">
        <v>0</v>
      </c>
      <c r="AM274" s="36">
        <v>0</v>
      </c>
      <c r="AN274" s="46">
        <v>0</v>
      </c>
      <c r="AO274" s="100">
        <f t="shared" si="105"/>
        <v>50</v>
      </c>
      <c r="AP274" s="3">
        <f t="shared" si="114"/>
        <v>38086</v>
      </c>
    </row>
    <row r="275" spans="1:42" x14ac:dyDescent="0.2">
      <c r="A275" s="35" t="s">
        <v>132</v>
      </c>
      <c r="B275" s="37" t="s">
        <v>565</v>
      </c>
      <c r="C275" s="37" t="s">
        <v>578</v>
      </c>
      <c r="D275" s="52">
        <v>46752</v>
      </c>
      <c r="E275" s="38" t="s">
        <v>783</v>
      </c>
      <c r="F275" s="36" t="s">
        <v>559</v>
      </c>
      <c r="G275" s="36" t="s">
        <v>609</v>
      </c>
      <c r="H275" s="39">
        <v>425</v>
      </c>
      <c r="I275" s="40">
        <v>75550</v>
      </c>
      <c r="J275" s="39">
        <v>425</v>
      </c>
      <c r="K275" s="40">
        <v>79849</v>
      </c>
      <c r="L275" s="37" t="s">
        <v>578</v>
      </c>
      <c r="M275" s="41">
        <v>187.88</v>
      </c>
      <c r="N275" s="42">
        <v>0</v>
      </c>
      <c r="O275" s="36">
        <v>300</v>
      </c>
      <c r="P275" s="41">
        <f t="shared" si="115"/>
        <v>56364</v>
      </c>
      <c r="Q275" s="36">
        <v>0</v>
      </c>
      <c r="R275" s="43">
        <f t="shared" si="116"/>
        <v>300</v>
      </c>
      <c r="S275" s="43">
        <f t="shared" si="117"/>
        <v>200</v>
      </c>
      <c r="T275" s="41">
        <f t="shared" si="118"/>
        <v>37576</v>
      </c>
      <c r="U275" s="44">
        <f>O275+200</f>
        <v>500</v>
      </c>
      <c r="V275" s="45">
        <f t="shared" si="119"/>
        <v>93940</v>
      </c>
      <c r="W275" s="36">
        <v>400</v>
      </c>
      <c r="X275" s="86">
        <v>75152</v>
      </c>
      <c r="Y275" s="199">
        <v>187.88</v>
      </c>
      <c r="Z275" s="44">
        <v>0</v>
      </c>
      <c r="AA275" s="41">
        <f t="shared" si="111"/>
        <v>0</v>
      </c>
      <c r="AB275" s="44">
        <v>0</v>
      </c>
      <c r="AC275" s="44">
        <f t="shared" si="104"/>
        <v>200</v>
      </c>
      <c r="AD275" s="44">
        <f t="shared" si="112"/>
        <v>200</v>
      </c>
      <c r="AE275" s="111">
        <f t="shared" si="113"/>
        <v>37576</v>
      </c>
      <c r="AF275" s="51" t="s">
        <v>578</v>
      </c>
      <c r="AG275" s="115"/>
      <c r="AH275" s="35">
        <v>0</v>
      </c>
      <c r="AI275" s="36">
        <v>0</v>
      </c>
      <c r="AJ275" s="36">
        <v>0</v>
      </c>
      <c r="AK275" s="36"/>
      <c r="AL275" s="36">
        <v>0</v>
      </c>
      <c r="AM275" s="36">
        <v>200</v>
      </c>
      <c r="AN275" s="46">
        <v>0</v>
      </c>
      <c r="AO275" s="100">
        <f t="shared" si="105"/>
        <v>200</v>
      </c>
      <c r="AP275" s="3">
        <f t="shared" si="114"/>
        <v>37576</v>
      </c>
    </row>
    <row r="276" spans="1:42" x14ac:dyDescent="0.2">
      <c r="A276" s="35" t="s">
        <v>1094</v>
      </c>
      <c r="B276" s="37" t="s">
        <v>556</v>
      </c>
      <c r="C276" s="37" t="s">
        <v>578</v>
      </c>
      <c r="D276" s="52">
        <v>47118</v>
      </c>
      <c r="E276" s="38" t="s">
        <v>764</v>
      </c>
      <c r="F276" s="36" t="s">
        <v>559</v>
      </c>
      <c r="G276" s="36" t="s">
        <v>1099</v>
      </c>
      <c r="H276" s="39"/>
      <c r="I276" s="40"/>
      <c r="J276" s="39"/>
      <c r="K276" s="40"/>
      <c r="L276" s="51"/>
      <c r="M276" s="41"/>
      <c r="N276" s="41"/>
      <c r="O276" s="36"/>
      <c r="P276" s="41"/>
      <c r="Q276" s="36"/>
      <c r="R276" s="43"/>
      <c r="S276" s="43"/>
      <c r="T276" s="41"/>
      <c r="U276" s="44"/>
      <c r="V276" s="45"/>
      <c r="W276" s="36"/>
      <c r="X276" s="86"/>
      <c r="Y276" s="199">
        <v>29.23</v>
      </c>
      <c r="Z276" s="44">
        <v>1250</v>
      </c>
      <c r="AA276" s="41">
        <f t="shared" si="111"/>
        <v>36537.5</v>
      </c>
      <c r="AB276" s="44">
        <v>0</v>
      </c>
      <c r="AC276" s="44">
        <f t="shared" si="104"/>
        <v>0</v>
      </c>
      <c r="AD276" s="44">
        <f t="shared" si="112"/>
        <v>1250</v>
      </c>
      <c r="AE276" s="111">
        <f t="shared" si="113"/>
        <v>36537.5</v>
      </c>
      <c r="AF276" s="51" t="s">
        <v>571</v>
      </c>
      <c r="AG276" s="115"/>
      <c r="AH276" s="35">
        <v>0</v>
      </c>
      <c r="AI276" s="36"/>
      <c r="AJ276" s="36"/>
      <c r="AK276" s="36"/>
      <c r="AL276" s="36"/>
      <c r="AM276" s="36"/>
      <c r="AN276" s="46"/>
      <c r="AO276" s="100"/>
      <c r="AP276" s="3">
        <f t="shared" si="114"/>
        <v>0</v>
      </c>
    </row>
    <row r="277" spans="1:42" x14ac:dyDescent="0.2">
      <c r="A277" s="35" t="s">
        <v>231</v>
      </c>
      <c r="B277" s="37" t="s">
        <v>556</v>
      </c>
      <c r="C277" s="37" t="s">
        <v>578</v>
      </c>
      <c r="D277" s="52">
        <v>46387</v>
      </c>
      <c r="E277" s="38" t="s">
        <v>754</v>
      </c>
      <c r="F277" s="36" t="s">
        <v>559</v>
      </c>
      <c r="G277" s="36" t="s">
        <v>601</v>
      </c>
      <c r="H277" s="39">
        <v>239</v>
      </c>
      <c r="I277" s="40">
        <v>41793.93</v>
      </c>
      <c r="J277" s="39">
        <v>254</v>
      </c>
      <c r="K277" s="40">
        <v>44416.98</v>
      </c>
      <c r="L277" s="37" t="s">
        <v>578</v>
      </c>
      <c r="M277" s="41">
        <v>174.86999999999998</v>
      </c>
      <c r="N277" s="42">
        <v>0</v>
      </c>
      <c r="O277" s="36">
        <v>151</v>
      </c>
      <c r="P277" s="41">
        <f>(N277+O277)*M277</f>
        <v>26405.369999999995</v>
      </c>
      <c r="Q277" s="36">
        <v>23</v>
      </c>
      <c r="R277" s="43">
        <f>O277-Q277</f>
        <v>128</v>
      </c>
      <c r="S277" s="43">
        <f>U277-O277</f>
        <v>0</v>
      </c>
      <c r="T277" s="41">
        <f>S277*M277</f>
        <v>0</v>
      </c>
      <c r="U277" s="44">
        <f>O277</f>
        <v>151</v>
      </c>
      <c r="V277" s="45">
        <f>U277*M277</f>
        <v>26405.369999999995</v>
      </c>
      <c r="W277" s="36">
        <v>235</v>
      </c>
      <c r="X277" s="86">
        <v>41094.449999999997</v>
      </c>
      <c r="Y277" s="199">
        <v>174.87</v>
      </c>
      <c r="Z277" s="44">
        <v>7</v>
      </c>
      <c r="AA277" s="41">
        <f t="shared" si="111"/>
        <v>1224.0900000000001</v>
      </c>
      <c r="AB277" s="44">
        <v>0</v>
      </c>
      <c r="AC277" s="44">
        <f t="shared" si="104"/>
        <v>200</v>
      </c>
      <c r="AD277" s="44">
        <f t="shared" si="112"/>
        <v>207</v>
      </c>
      <c r="AE277" s="111">
        <f t="shared" si="113"/>
        <v>36198.090000000004</v>
      </c>
      <c r="AF277" s="51" t="s">
        <v>578</v>
      </c>
      <c r="AG277" s="115"/>
      <c r="AH277" s="35">
        <v>200</v>
      </c>
      <c r="AI277" s="36">
        <v>0</v>
      </c>
      <c r="AJ277" s="36">
        <v>0</v>
      </c>
      <c r="AK277" s="36"/>
      <c r="AL277" s="36">
        <v>0</v>
      </c>
      <c r="AM277" s="36">
        <v>0</v>
      </c>
      <c r="AN277" s="46">
        <v>0</v>
      </c>
      <c r="AO277" s="100">
        <f t="shared" ref="AO277:AO308" si="120">SUM(AH277:AN277)</f>
        <v>200</v>
      </c>
      <c r="AP277" s="3">
        <f t="shared" si="114"/>
        <v>34974</v>
      </c>
    </row>
    <row r="278" spans="1:42" x14ac:dyDescent="0.2">
      <c r="A278" s="49" t="s">
        <v>878</v>
      </c>
      <c r="B278" s="157" t="s">
        <v>565</v>
      </c>
      <c r="C278" s="37" t="s">
        <v>571</v>
      </c>
      <c r="D278" s="52"/>
      <c r="E278" s="38" t="s">
        <v>594</v>
      </c>
      <c r="F278" s="36" t="s">
        <v>555</v>
      </c>
      <c r="G278" s="36" t="s">
        <v>624</v>
      </c>
      <c r="H278" s="39"/>
      <c r="I278" s="40"/>
      <c r="J278" s="39"/>
      <c r="K278" s="40"/>
      <c r="L278" s="51"/>
      <c r="M278" s="41">
        <v>719.2600000000001</v>
      </c>
      <c r="N278" s="41"/>
      <c r="O278" s="36"/>
      <c r="P278" s="41"/>
      <c r="Q278" s="36"/>
      <c r="R278" s="43"/>
      <c r="S278" s="43"/>
      <c r="T278" s="41"/>
      <c r="U278" s="44"/>
      <c r="V278" s="45"/>
      <c r="W278" s="36">
        <v>60</v>
      </c>
      <c r="X278" s="86">
        <v>43155.600000000006</v>
      </c>
      <c r="Y278" s="199">
        <v>719.26</v>
      </c>
      <c r="Z278" s="44">
        <v>0</v>
      </c>
      <c r="AA278" s="41">
        <f t="shared" si="111"/>
        <v>0</v>
      </c>
      <c r="AB278" s="44">
        <v>0</v>
      </c>
      <c r="AC278" s="44">
        <f t="shared" si="104"/>
        <v>50</v>
      </c>
      <c r="AD278" s="44">
        <f t="shared" si="112"/>
        <v>50</v>
      </c>
      <c r="AE278" s="111">
        <f t="shared" si="113"/>
        <v>35963</v>
      </c>
      <c r="AF278" s="51" t="s">
        <v>571</v>
      </c>
      <c r="AG278" s="115"/>
      <c r="AH278" s="35">
        <v>0</v>
      </c>
      <c r="AI278" s="36">
        <v>50</v>
      </c>
      <c r="AJ278" s="36">
        <v>0</v>
      </c>
      <c r="AK278" s="36"/>
      <c r="AL278" s="36">
        <v>0</v>
      </c>
      <c r="AM278" s="36">
        <v>0</v>
      </c>
      <c r="AN278" s="46">
        <v>0</v>
      </c>
      <c r="AO278" s="100">
        <f t="shared" si="120"/>
        <v>50</v>
      </c>
      <c r="AP278" s="3">
        <f t="shared" si="114"/>
        <v>35963</v>
      </c>
    </row>
    <row r="279" spans="1:42" x14ac:dyDescent="0.2">
      <c r="A279" s="35" t="s">
        <v>432</v>
      </c>
      <c r="B279" s="37" t="s">
        <v>565</v>
      </c>
      <c r="C279" s="37" t="s">
        <v>571</v>
      </c>
      <c r="D279" s="52"/>
      <c r="E279" s="38" t="s">
        <v>773</v>
      </c>
      <c r="F279" s="36" t="s">
        <v>555</v>
      </c>
      <c r="G279" s="36" t="s">
        <v>620</v>
      </c>
      <c r="H279" s="39">
        <v>100</v>
      </c>
      <c r="I279" s="40">
        <v>78474</v>
      </c>
      <c r="J279" s="39">
        <v>4</v>
      </c>
      <c r="K279" s="40">
        <v>3140</v>
      </c>
      <c r="L279" s="37" t="s">
        <v>571</v>
      </c>
      <c r="M279" s="41">
        <v>738.33333333333337</v>
      </c>
      <c r="N279" s="42">
        <v>0</v>
      </c>
      <c r="O279" s="36">
        <v>64</v>
      </c>
      <c r="P279" s="41">
        <f>(N279+O279)*M279</f>
        <v>47253.333333333336</v>
      </c>
      <c r="Q279" s="36">
        <v>0</v>
      </c>
      <c r="R279" s="43">
        <f>O279-Q279</f>
        <v>64</v>
      </c>
      <c r="S279" s="43">
        <f>U279-O279</f>
        <v>0</v>
      </c>
      <c r="T279" s="41">
        <f>S279*M279</f>
        <v>0</v>
      </c>
      <c r="U279" s="44">
        <f>O279</f>
        <v>64</v>
      </c>
      <c r="V279" s="45">
        <f>U279*M279</f>
        <v>47253.333333333336</v>
      </c>
      <c r="W279" s="36">
        <v>192</v>
      </c>
      <c r="X279" s="86">
        <v>141760</v>
      </c>
      <c r="Y279" s="199">
        <v>715</v>
      </c>
      <c r="Z279" s="44">
        <v>0</v>
      </c>
      <c r="AA279" s="41">
        <f t="shared" si="111"/>
        <v>0</v>
      </c>
      <c r="AB279" s="44">
        <v>0</v>
      </c>
      <c r="AC279" s="44">
        <f t="shared" si="104"/>
        <v>50</v>
      </c>
      <c r="AD279" s="44">
        <f t="shared" si="112"/>
        <v>50</v>
      </c>
      <c r="AE279" s="111">
        <f t="shared" si="113"/>
        <v>35750</v>
      </c>
      <c r="AF279" s="51" t="s">
        <v>571</v>
      </c>
      <c r="AG279" s="115"/>
      <c r="AH279" s="35">
        <v>0</v>
      </c>
      <c r="AI279" s="36">
        <v>50</v>
      </c>
      <c r="AJ279" s="36">
        <v>0</v>
      </c>
      <c r="AK279" s="36"/>
      <c r="AL279" s="36">
        <v>0</v>
      </c>
      <c r="AM279" s="36">
        <v>0</v>
      </c>
      <c r="AN279" s="46">
        <v>0</v>
      </c>
      <c r="AO279" s="100">
        <f t="shared" si="120"/>
        <v>50</v>
      </c>
      <c r="AP279" s="3">
        <f t="shared" si="114"/>
        <v>35750</v>
      </c>
    </row>
    <row r="280" spans="1:42" x14ac:dyDescent="0.2">
      <c r="A280" s="35" t="s">
        <v>427</v>
      </c>
      <c r="B280" s="156" t="s">
        <v>565</v>
      </c>
      <c r="C280" s="37" t="s">
        <v>578</v>
      </c>
      <c r="D280" s="52">
        <v>46387</v>
      </c>
      <c r="E280" s="38" t="s">
        <v>758</v>
      </c>
      <c r="F280" s="36" t="s">
        <v>555</v>
      </c>
      <c r="G280" s="36" t="s">
        <v>583</v>
      </c>
      <c r="H280" s="39">
        <v>0</v>
      </c>
      <c r="I280" s="40">
        <v>0</v>
      </c>
      <c r="J280" s="39">
        <v>0</v>
      </c>
      <c r="K280" s="40">
        <v>0</v>
      </c>
      <c r="L280" s="37" t="s">
        <v>578</v>
      </c>
      <c r="M280" s="41">
        <v>702.92</v>
      </c>
      <c r="N280" s="42">
        <v>0</v>
      </c>
      <c r="O280" s="36">
        <v>50</v>
      </c>
      <c r="P280" s="41">
        <f>(N280+O280)*M280</f>
        <v>35146</v>
      </c>
      <c r="Q280" s="36">
        <v>0</v>
      </c>
      <c r="R280" s="43">
        <f>O280-Q280</f>
        <v>50</v>
      </c>
      <c r="S280" s="43">
        <f>U280-O280</f>
        <v>0</v>
      </c>
      <c r="T280" s="41">
        <f>S280*M280</f>
        <v>0</v>
      </c>
      <c r="U280" s="44">
        <f>O280</f>
        <v>50</v>
      </c>
      <c r="V280" s="45">
        <f>U280*M280</f>
        <v>35146</v>
      </c>
      <c r="W280" s="36">
        <v>50</v>
      </c>
      <c r="X280" s="86">
        <v>35146</v>
      </c>
      <c r="Y280" s="199">
        <v>702.92</v>
      </c>
      <c r="Z280" s="44">
        <v>50</v>
      </c>
      <c r="AA280" s="41">
        <f t="shared" si="111"/>
        <v>35146</v>
      </c>
      <c r="AB280" s="44">
        <v>0</v>
      </c>
      <c r="AC280" s="44">
        <f t="shared" si="104"/>
        <v>0</v>
      </c>
      <c r="AD280" s="44">
        <f t="shared" si="112"/>
        <v>50</v>
      </c>
      <c r="AE280" s="111">
        <f t="shared" si="113"/>
        <v>35146</v>
      </c>
      <c r="AF280" s="51" t="s">
        <v>578</v>
      </c>
      <c r="AG280" s="115"/>
      <c r="AH280" s="35">
        <v>0</v>
      </c>
      <c r="AI280" s="36">
        <v>0</v>
      </c>
      <c r="AJ280" s="36">
        <v>0</v>
      </c>
      <c r="AK280" s="36"/>
      <c r="AL280" s="36">
        <v>0</v>
      </c>
      <c r="AM280" s="36">
        <v>0</v>
      </c>
      <c r="AN280" s="46">
        <v>0</v>
      </c>
      <c r="AO280" s="100">
        <f t="shared" si="120"/>
        <v>0</v>
      </c>
      <c r="AP280" s="3">
        <f t="shared" si="114"/>
        <v>0</v>
      </c>
    </row>
    <row r="281" spans="1:42" x14ac:dyDescent="0.2">
      <c r="A281" s="49" t="s">
        <v>929</v>
      </c>
      <c r="B281" s="37" t="s">
        <v>565</v>
      </c>
      <c r="C281" s="37" t="s">
        <v>571</v>
      </c>
      <c r="D281" s="52"/>
      <c r="E281" s="38" t="s">
        <v>1008</v>
      </c>
      <c r="F281" s="36" t="s">
        <v>564</v>
      </c>
      <c r="G281" s="36" t="s">
        <v>664</v>
      </c>
      <c r="H281" s="39"/>
      <c r="I281" s="40"/>
      <c r="J281" s="39"/>
      <c r="K281" s="40"/>
      <c r="L281" s="41"/>
      <c r="M281" s="41"/>
      <c r="N281" s="36"/>
      <c r="O281" s="41"/>
      <c r="P281" s="36"/>
      <c r="Q281" s="43"/>
      <c r="R281" s="43"/>
      <c r="S281" s="41"/>
      <c r="T281" s="44"/>
      <c r="U281" s="45"/>
      <c r="V281" s="36"/>
      <c r="W281" s="45"/>
      <c r="X281" s="46"/>
      <c r="Y281" s="199">
        <v>35.020000000000003</v>
      </c>
      <c r="Z281" s="44">
        <v>1000</v>
      </c>
      <c r="AA281" s="41">
        <f t="shared" si="111"/>
        <v>35020</v>
      </c>
      <c r="AB281" s="44">
        <v>0</v>
      </c>
      <c r="AC281" s="44">
        <f t="shared" si="104"/>
        <v>0</v>
      </c>
      <c r="AD281" s="44">
        <f t="shared" si="112"/>
        <v>1000</v>
      </c>
      <c r="AE281" s="111">
        <f t="shared" si="113"/>
        <v>35020</v>
      </c>
      <c r="AF281" s="196" t="s">
        <v>571</v>
      </c>
      <c r="AG281" s="115"/>
      <c r="AH281" s="35">
        <v>0</v>
      </c>
      <c r="AI281" s="36">
        <v>0</v>
      </c>
      <c r="AJ281" s="36">
        <v>0</v>
      </c>
      <c r="AK281" s="36"/>
      <c r="AL281" s="36">
        <v>0</v>
      </c>
      <c r="AM281" s="36">
        <v>0</v>
      </c>
      <c r="AN281" s="46">
        <v>0</v>
      </c>
      <c r="AO281" s="100">
        <f t="shared" si="120"/>
        <v>0</v>
      </c>
      <c r="AP281" s="3">
        <f t="shared" si="114"/>
        <v>0</v>
      </c>
    </row>
    <row r="282" spans="1:42" x14ac:dyDescent="0.2">
      <c r="A282" s="35" t="s">
        <v>4</v>
      </c>
      <c r="B282" s="37" t="s">
        <v>554</v>
      </c>
      <c r="C282" s="37" t="s">
        <v>571</v>
      </c>
      <c r="D282" s="52"/>
      <c r="E282" s="38" t="s">
        <v>790</v>
      </c>
      <c r="F282" s="36" t="s">
        <v>564</v>
      </c>
      <c r="G282" s="36" t="s">
        <v>632</v>
      </c>
      <c r="H282" s="39">
        <v>0</v>
      </c>
      <c r="I282" s="40">
        <v>0</v>
      </c>
      <c r="J282" s="39">
        <v>0</v>
      </c>
      <c r="K282" s="40">
        <v>0</v>
      </c>
      <c r="L282" s="37" t="s">
        <v>571</v>
      </c>
      <c r="M282" s="41">
        <v>698.76</v>
      </c>
      <c r="N282" s="42">
        <v>0</v>
      </c>
      <c r="O282" s="36">
        <v>50</v>
      </c>
      <c r="P282" s="41">
        <f t="shared" ref="P282:P293" si="121">(N282+O282)*M282</f>
        <v>34938</v>
      </c>
      <c r="Q282" s="36">
        <v>50</v>
      </c>
      <c r="R282" s="43">
        <f t="shared" ref="R282:R293" si="122">O282-Q282</f>
        <v>0</v>
      </c>
      <c r="S282" s="43">
        <f t="shared" ref="S282:S293" si="123">U282-O282</f>
        <v>0</v>
      </c>
      <c r="T282" s="41">
        <f t="shared" ref="T282:T293" si="124">S282*M282</f>
        <v>0</v>
      </c>
      <c r="U282" s="44">
        <v>50</v>
      </c>
      <c r="V282" s="45">
        <f t="shared" ref="V282:V293" si="125">U282*M282</f>
        <v>34938</v>
      </c>
      <c r="W282" s="36">
        <v>50</v>
      </c>
      <c r="X282" s="86">
        <v>34938</v>
      </c>
      <c r="Y282" s="199">
        <v>698.76</v>
      </c>
      <c r="Z282" s="44">
        <v>50</v>
      </c>
      <c r="AA282" s="41">
        <f t="shared" si="111"/>
        <v>34938</v>
      </c>
      <c r="AB282" s="44">
        <v>0</v>
      </c>
      <c r="AC282" s="44">
        <f t="shared" ref="AC282:AC313" si="126">AB282+AO282</f>
        <v>0</v>
      </c>
      <c r="AD282" s="44">
        <f t="shared" si="112"/>
        <v>50</v>
      </c>
      <c r="AE282" s="111">
        <f t="shared" si="113"/>
        <v>34938</v>
      </c>
      <c r="AF282" s="51" t="s">
        <v>571</v>
      </c>
      <c r="AG282" s="115"/>
      <c r="AH282" s="35">
        <v>0</v>
      </c>
      <c r="AI282" s="36">
        <v>0</v>
      </c>
      <c r="AJ282" s="36">
        <v>0</v>
      </c>
      <c r="AK282" s="36"/>
      <c r="AL282" s="36">
        <v>0</v>
      </c>
      <c r="AM282" s="36">
        <v>0</v>
      </c>
      <c r="AN282" s="46">
        <v>0</v>
      </c>
      <c r="AO282" s="100">
        <f t="shared" si="120"/>
        <v>0</v>
      </c>
      <c r="AP282" s="3">
        <f t="shared" si="114"/>
        <v>0</v>
      </c>
    </row>
    <row r="283" spans="1:42" x14ac:dyDescent="0.2">
      <c r="A283" s="35" t="s">
        <v>498</v>
      </c>
      <c r="B283" s="37" t="s">
        <v>562</v>
      </c>
      <c r="C283" s="37" t="s">
        <v>571</v>
      </c>
      <c r="D283" s="52"/>
      <c r="E283" s="38" t="s">
        <v>793</v>
      </c>
      <c r="F283" s="36" t="s">
        <v>560</v>
      </c>
      <c r="G283" s="36" t="s">
        <v>681</v>
      </c>
      <c r="H283" s="39">
        <v>12</v>
      </c>
      <c r="I283" s="40">
        <v>3948</v>
      </c>
      <c r="J283" s="39">
        <v>260</v>
      </c>
      <c r="K283" s="40">
        <v>105300</v>
      </c>
      <c r="L283" s="37" t="s">
        <v>571</v>
      </c>
      <c r="M283" s="41">
        <v>465.21</v>
      </c>
      <c r="N283" s="42">
        <v>0</v>
      </c>
      <c r="O283" s="36">
        <v>0</v>
      </c>
      <c r="P283" s="41">
        <f t="shared" si="121"/>
        <v>0</v>
      </c>
      <c r="Q283" s="36">
        <v>150</v>
      </c>
      <c r="R283" s="43">
        <f t="shared" si="122"/>
        <v>-150</v>
      </c>
      <c r="S283" s="43">
        <f t="shared" si="123"/>
        <v>150</v>
      </c>
      <c r="T283" s="41">
        <f t="shared" si="124"/>
        <v>69781.5</v>
      </c>
      <c r="U283" s="44">
        <f>Q283</f>
        <v>150</v>
      </c>
      <c r="V283" s="45">
        <f t="shared" si="125"/>
        <v>69781.5</v>
      </c>
      <c r="W283" s="36">
        <v>150</v>
      </c>
      <c r="X283" s="86">
        <v>69781.5</v>
      </c>
      <c r="Y283" s="199">
        <v>465.21</v>
      </c>
      <c r="Z283" s="44">
        <v>0</v>
      </c>
      <c r="AA283" s="41">
        <f t="shared" si="111"/>
        <v>0</v>
      </c>
      <c r="AB283" s="44">
        <v>0</v>
      </c>
      <c r="AC283" s="44">
        <f t="shared" si="126"/>
        <v>75</v>
      </c>
      <c r="AD283" s="44">
        <f t="shared" si="112"/>
        <v>75</v>
      </c>
      <c r="AE283" s="111">
        <f t="shared" si="113"/>
        <v>34890.75</v>
      </c>
      <c r="AF283" s="51" t="s">
        <v>571</v>
      </c>
      <c r="AG283" s="115" t="s">
        <v>1062</v>
      </c>
      <c r="AH283" s="35">
        <v>0</v>
      </c>
      <c r="AI283" s="36">
        <v>0</v>
      </c>
      <c r="AJ283" s="36">
        <v>0</v>
      </c>
      <c r="AK283" s="36"/>
      <c r="AL283" s="36">
        <v>75</v>
      </c>
      <c r="AM283" s="36">
        <v>0</v>
      </c>
      <c r="AN283" s="46">
        <v>0</v>
      </c>
      <c r="AO283" s="100">
        <f t="shared" si="120"/>
        <v>75</v>
      </c>
      <c r="AP283" s="3">
        <f t="shared" si="114"/>
        <v>34890.75</v>
      </c>
    </row>
    <row r="284" spans="1:42" x14ac:dyDescent="0.2">
      <c r="A284" s="35" t="s">
        <v>232</v>
      </c>
      <c r="B284" s="37" t="s">
        <v>556</v>
      </c>
      <c r="C284" s="37" t="s">
        <v>578</v>
      </c>
      <c r="D284" s="52">
        <v>46387</v>
      </c>
      <c r="E284" s="38" t="s">
        <v>754</v>
      </c>
      <c r="F284" s="36" t="s">
        <v>559</v>
      </c>
      <c r="G284" s="36" t="s">
        <v>601</v>
      </c>
      <c r="H284" s="39">
        <v>240</v>
      </c>
      <c r="I284" s="40">
        <v>39969.600000000006</v>
      </c>
      <c r="J284" s="39">
        <v>323</v>
      </c>
      <c r="K284" s="40">
        <v>53792.420000000006</v>
      </c>
      <c r="L284" s="37" t="s">
        <v>578</v>
      </c>
      <c r="M284" s="41">
        <v>166.54</v>
      </c>
      <c r="N284" s="42">
        <v>0</v>
      </c>
      <c r="O284" s="36">
        <v>134</v>
      </c>
      <c r="P284" s="41">
        <f t="shared" si="121"/>
        <v>22316.36</v>
      </c>
      <c r="Q284" s="36">
        <v>12</v>
      </c>
      <c r="R284" s="43">
        <f t="shared" si="122"/>
        <v>122</v>
      </c>
      <c r="S284" s="43">
        <f t="shared" si="123"/>
        <v>0</v>
      </c>
      <c r="T284" s="41">
        <f t="shared" si="124"/>
        <v>0</v>
      </c>
      <c r="U284" s="44">
        <f>O284</f>
        <v>134</v>
      </c>
      <c r="V284" s="45">
        <f t="shared" si="125"/>
        <v>22316.36</v>
      </c>
      <c r="W284" s="36">
        <v>71</v>
      </c>
      <c r="X284" s="86">
        <v>11824.34</v>
      </c>
      <c r="Y284" s="199">
        <v>166.54</v>
      </c>
      <c r="Z284" s="44">
        <v>0</v>
      </c>
      <c r="AA284" s="41">
        <f t="shared" si="111"/>
        <v>0</v>
      </c>
      <c r="AB284" s="44">
        <v>0</v>
      </c>
      <c r="AC284" s="44">
        <f t="shared" si="126"/>
        <v>200</v>
      </c>
      <c r="AD284" s="44">
        <f t="shared" si="112"/>
        <v>200</v>
      </c>
      <c r="AE284" s="111">
        <f t="shared" si="113"/>
        <v>33308</v>
      </c>
      <c r="AF284" s="51" t="s">
        <v>571</v>
      </c>
      <c r="AG284" s="115"/>
      <c r="AH284" s="35">
        <v>200</v>
      </c>
      <c r="AI284" s="36">
        <v>0</v>
      </c>
      <c r="AJ284" s="36">
        <v>0</v>
      </c>
      <c r="AK284" s="36"/>
      <c r="AL284" s="36">
        <v>0</v>
      </c>
      <c r="AM284" s="36">
        <v>0</v>
      </c>
      <c r="AN284" s="46">
        <v>0</v>
      </c>
      <c r="AO284" s="100">
        <f t="shared" si="120"/>
        <v>200</v>
      </c>
      <c r="AP284" s="3">
        <f t="shared" si="114"/>
        <v>33308</v>
      </c>
    </row>
    <row r="285" spans="1:42" x14ac:dyDescent="0.2">
      <c r="A285" s="35" t="s">
        <v>229</v>
      </c>
      <c r="B285" s="37" t="s">
        <v>556</v>
      </c>
      <c r="C285" s="37" t="s">
        <v>578</v>
      </c>
      <c r="D285" s="52">
        <v>46387</v>
      </c>
      <c r="E285" s="38" t="s">
        <v>754</v>
      </c>
      <c r="F285" s="36" t="s">
        <v>559</v>
      </c>
      <c r="G285" s="36" t="s">
        <v>601</v>
      </c>
      <c r="H285" s="39">
        <v>150</v>
      </c>
      <c r="I285" s="40">
        <v>24823.5</v>
      </c>
      <c r="J285" s="39">
        <v>179</v>
      </c>
      <c r="K285" s="40">
        <v>29622.71</v>
      </c>
      <c r="L285" s="37" t="s">
        <v>571</v>
      </c>
      <c r="M285" s="41">
        <v>165.49</v>
      </c>
      <c r="N285" s="42">
        <v>0</v>
      </c>
      <c r="O285" s="36">
        <v>146</v>
      </c>
      <c r="P285" s="41">
        <f t="shared" si="121"/>
        <v>24161.54</v>
      </c>
      <c r="Q285" s="36">
        <v>0</v>
      </c>
      <c r="R285" s="43">
        <f t="shared" si="122"/>
        <v>146</v>
      </c>
      <c r="S285" s="43">
        <f t="shared" si="123"/>
        <v>0</v>
      </c>
      <c r="T285" s="41">
        <f t="shared" si="124"/>
        <v>0</v>
      </c>
      <c r="U285" s="44">
        <v>146</v>
      </c>
      <c r="V285" s="45">
        <f t="shared" si="125"/>
        <v>24161.54</v>
      </c>
      <c r="W285" s="36">
        <v>221</v>
      </c>
      <c r="X285" s="86">
        <v>36573.29</v>
      </c>
      <c r="Y285" s="199">
        <v>165.49</v>
      </c>
      <c r="Z285" s="44">
        <v>0</v>
      </c>
      <c r="AA285" s="41">
        <f t="shared" si="111"/>
        <v>0</v>
      </c>
      <c r="AB285" s="44">
        <v>0</v>
      </c>
      <c r="AC285" s="44">
        <f t="shared" si="126"/>
        <v>200</v>
      </c>
      <c r="AD285" s="44">
        <f t="shared" si="112"/>
        <v>200</v>
      </c>
      <c r="AE285" s="111">
        <f t="shared" si="113"/>
        <v>33098</v>
      </c>
      <c r="AF285" s="51" t="s">
        <v>571</v>
      </c>
      <c r="AG285" s="115"/>
      <c r="AH285" s="35">
        <v>200</v>
      </c>
      <c r="AI285" s="36">
        <v>0</v>
      </c>
      <c r="AJ285" s="36">
        <v>0</v>
      </c>
      <c r="AK285" s="36"/>
      <c r="AL285" s="36">
        <v>0</v>
      </c>
      <c r="AM285" s="36">
        <v>0</v>
      </c>
      <c r="AN285" s="46">
        <v>0</v>
      </c>
      <c r="AO285" s="100">
        <f t="shared" si="120"/>
        <v>200</v>
      </c>
      <c r="AP285" s="3">
        <f t="shared" si="114"/>
        <v>33098</v>
      </c>
    </row>
    <row r="286" spans="1:42" x14ac:dyDescent="0.2">
      <c r="A286" s="35" t="s">
        <v>258</v>
      </c>
      <c r="B286" s="37" t="s">
        <v>562</v>
      </c>
      <c r="C286" s="37" t="s">
        <v>571</v>
      </c>
      <c r="D286" s="52"/>
      <c r="E286" s="38" t="s">
        <v>625</v>
      </c>
      <c r="F286" s="36" t="s">
        <v>563</v>
      </c>
      <c r="G286" s="36" t="s">
        <v>569</v>
      </c>
      <c r="H286" s="39">
        <v>0</v>
      </c>
      <c r="I286" s="40">
        <v>0</v>
      </c>
      <c r="J286" s="39">
        <v>0</v>
      </c>
      <c r="K286" s="40">
        <v>0</v>
      </c>
      <c r="L286" s="37" t="s">
        <v>571</v>
      </c>
      <c r="M286" s="47">
        <v>325</v>
      </c>
      <c r="N286" s="48">
        <v>0</v>
      </c>
      <c r="O286" s="36">
        <v>100</v>
      </c>
      <c r="P286" s="47">
        <f t="shared" si="121"/>
        <v>32500</v>
      </c>
      <c r="Q286" s="36">
        <v>0</v>
      </c>
      <c r="R286" s="43">
        <f t="shared" si="122"/>
        <v>100</v>
      </c>
      <c r="S286" s="43">
        <f t="shared" si="123"/>
        <v>0</v>
      </c>
      <c r="T286" s="47">
        <f t="shared" si="124"/>
        <v>0</v>
      </c>
      <c r="U286" s="44">
        <v>100</v>
      </c>
      <c r="V286" s="45">
        <f t="shared" si="125"/>
        <v>32500</v>
      </c>
      <c r="W286" s="36">
        <v>100</v>
      </c>
      <c r="X286" s="86">
        <v>32500</v>
      </c>
      <c r="Y286" s="199">
        <v>325</v>
      </c>
      <c r="Z286" s="44">
        <v>100</v>
      </c>
      <c r="AA286" s="41">
        <f t="shared" si="111"/>
        <v>32500</v>
      </c>
      <c r="AB286" s="44">
        <v>0</v>
      </c>
      <c r="AC286" s="44">
        <f t="shared" si="126"/>
        <v>0</v>
      </c>
      <c r="AD286" s="44">
        <f t="shared" si="112"/>
        <v>100</v>
      </c>
      <c r="AE286" s="111">
        <f t="shared" si="113"/>
        <v>32500</v>
      </c>
      <c r="AF286" s="51" t="s">
        <v>571</v>
      </c>
      <c r="AG286" s="115"/>
      <c r="AH286" s="35">
        <v>0</v>
      </c>
      <c r="AI286" s="36">
        <v>0</v>
      </c>
      <c r="AJ286" s="36">
        <v>0</v>
      </c>
      <c r="AK286" s="36"/>
      <c r="AL286" s="36">
        <v>0</v>
      </c>
      <c r="AM286" s="36">
        <v>0</v>
      </c>
      <c r="AN286" s="46">
        <v>0</v>
      </c>
      <c r="AO286" s="100">
        <f t="shared" si="120"/>
        <v>0</v>
      </c>
      <c r="AP286" s="3">
        <f t="shared" si="114"/>
        <v>0</v>
      </c>
    </row>
    <row r="287" spans="1:42" x14ac:dyDescent="0.2">
      <c r="A287" s="35" t="s">
        <v>437</v>
      </c>
      <c r="B287" s="37" t="s">
        <v>562</v>
      </c>
      <c r="C287" s="37" t="s">
        <v>571</v>
      </c>
      <c r="D287" s="52"/>
      <c r="E287" s="38" t="s">
        <v>625</v>
      </c>
      <c r="F287" s="36" t="s">
        <v>563</v>
      </c>
      <c r="G287" s="36" t="s">
        <v>569</v>
      </c>
      <c r="H287" s="39">
        <v>0</v>
      </c>
      <c r="I287" s="40">
        <v>0</v>
      </c>
      <c r="J287" s="39">
        <v>0</v>
      </c>
      <c r="K287" s="40">
        <v>0</v>
      </c>
      <c r="L287" s="37" t="s">
        <v>571</v>
      </c>
      <c r="M287" s="47">
        <v>325</v>
      </c>
      <c r="N287" s="48">
        <v>0</v>
      </c>
      <c r="O287" s="36">
        <v>100</v>
      </c>
      <c r="P287" s="47">
        <f t="shared" si="121"/>
        <v>32500</v>
      </c>
      <c r="Q287" s="36">
        <v>0</v>
      </c>
      <c r="R287" s="43">
        <f t="shared" si="122"/>
        <v>100</v>
      </c>
      <c r="S287" s="43">
        <f t="shared" si="123"/>
        <v>0</v>
      </c>
      <c r="T287" s="47">
        <f t="shared" si="124"/>
        <v>0</v>
      </c>
      <c r="U287" s="44">
        <v>100</v>
      </c>
      <c r="V287" s="45">
        <f t="shared" si="125"/>
        <v>32500</v>
      </c>
      <c r="W287" s="36">
        <v>100</v>
      </c>
      <c r="X287" s="86">
        <v>32500</v>
      </c>
      <c r="Y287" s="199">
        <v>325</v>
      </c>
      <c r="Z287" s="44">
        <v>100</v>
      </c>
      <c r="AA287" s="41">
        <f t="shared" si="111"/>
        <v>32500</v>
      </c>
      <c r="AB287" s="44">
        <v>0</v>
      </c>
      <c r="AC287" s="44">
        <f t="shared" si="126"/>
        <v>0</v>
      </c>
      <c r="AD287" s="44">
        <f t="shared" si="112"/>
        <v>100</v>
      </c>
      <c r="AE287" s="111">
        <f t="shared" si="113"/>
        <v>32500</v>
      </c>
      <c r="AF287" s="51" t="s">
        <v>571</v>
      </c>
      <c r="AG287" s="115"/>
      <c r="AH287" s="35">
        <v>0</v>
      </c>
      <c r="AI287" s="36">
        <v>0</v>
      </c>
      <c r="AJ287" s="36">
        <v>0</v>
      </c>
      <c r="AK287" s="36"/>
      <c r="AL287" s="36">
        <v>0</v>
      </c>
      <c r="AM287" s="36">
        <v>0</v>
      </c>
      <c r="AN287" s="46">
        <v>0</v>
      </c>
      <c r="AO287" s="100">
        <f t="shared" si="120"/>
        <v>0</v>
      </c>
      <c r="AP287" s="3">
        <f t="shared" si="114"/>
        <v>0</v>
      </c>
    </row>
    <row r="288" spans="1:42" x14ac:dyDescent="0.2">
      <c r="A288" s="35" t="s">
        <v>260</v>
      </c>
      <c r="B288" s="37" t="s">
        <v>562</v>
      </c>
      <c r="C288" s="37" t="s">
        <v>571</v>
      </c>
      <c r="D288" s="52"/>
      <c r="E288" s="38" t="s">
        <v>792</v>
      </c>
      <c r="F288" s="36" t="s">
        <v>563</v>
      </c>
      <c r="G288" s="36" t="s">
        <v>569</v>
      </c>
      <c r="H288" s="39">
        <v>0</v>
      </c>
      <c r="I288" s="40">
        <v>0</v>
      </c>
      <c r="J288" s="39">
        <v>16</v>
      </c>
      <c r="K288" s="40">
        <v>6336</v>
      </c>
      <c r="L288" s="37" t="s">
        <v>571</v>
      </c>
      <c r="M288" s="47">
        <v>650</v>
      </c>
      <c r="N288" s="48">
        <v>0</v>
      </c>
      <c r="O288" s="36">
        <v>100</v>
      </c>
      <c r="P288" s="47">
        <f t="shared" si="121"/>
        <v>65000</v>
      </c>
      <c r="Q288" s="36">
        <v>0</v>
      </c>
      <c r="R288" s="43">
        <f t="shared" si="122"/>
        <v>100</v>
      </c>
      <c r="S288" s="43">
        <f t="shared" si="123"/>
        <v>0</v>
      </c>
      <c r="T288" s="47">
        <f t="shared" si="124"/>
        <v>0</v>
      </c>
      <c r="U288" s="44">
        <f>O288</f>
        <v>100</v>
      </c>
      <c r="V288" s="45">
        <f t="shared" si="125"/>
        <v>65000</v>
      </c>
      <c r="W288" s="36">
        <v>100</v>
      </c>
      <c r="X288" s="86">
        <v>65000</v>
      </c>
      <c r="Y288" s="199">
        <v>650</v>
      </c>
      <c r="Z288" s="44">
        <v>0</v>
      </c>
      <c r="AA288" s="41">
        <f t="shared" si="111"/>
        <v>0</v>
      </c>
      <c r="AB288" s="44">
        <v>0</v>
      </c>
      <c r="AC288" s="44">
        <f t="shared" si="126"/>
        <v>50</v>
      </c>
      <c r="AD288" s="44">
        <f t="shared" si="112"/>
        <v>50</v>
      </c>
      <c r="AE288" s="111">
        <f t="shared" si="113"/>
        <v>32500</v>
      </c>
      <c r="AF288" s="51" t="s">
        <v>571</v>
      </c>
      <c r="AG288" s="115"/>
      <c r="AH288" s="35">
        <v>0</v>
      </c>
      <c r="AI288" s="36">
        <v>0</v>
      </c>
      <c r="AJ288" s="36">
        <v>0</v>
      </c>
      <c r="AK288" s="36"/>
      <c r="AL288" s="36">
        <v>0</v>
      </c>
      <c r="AM288" s="36">
        <v>0</v>
      </c>
      <c r="AN288" s="46">
        <v>50</v>
      </c>
      <c r="AO288" s="100">
        <f t="shared" si="120"/>
        <v>50</v>
      </c>
      <c r="AP288" s="3">
        <f t="shared" si="114"/>
        <v>32500</v>
      </c>
    </row>
    <row r="289" spans="1:42" x14ac:dyDescent="0.2">
      <c r="A289" s="35" t="s">
        <v>24</v>
      </c>
      <c r="B289" s="37" t="s">
        <v>565</v>
      </c>
      <c r="C289" s="37" t="s">
        <v>571</v>
      </c>
      <c r="D289" s="52"/>
      <c r="E289" s="38" t="s">
        <v>754</v>
      </c>
      <c r="F289" s="36" t="s">
        <v>564</v>
      </c>
      <c r="G289" s="36" t="s">
        <v>641</v>
      </c>
      <c r="H289" s="39">
        <v>0</v>
      </c>
      <c r="I289" s="40">
        <v>0</v>
      </c>
      <c r="J289" s="39">
        <v>0</v>
      </c>
      <c r="K289" s="40">
        <v>0</v>
      </c>
      <c r="L289" s="37" t="s">
        <v>571</v>
      </c>
      <c r="M289" s="41" t="e">
        <v>#DIV/0!</v>
      </c>
      <c r="N289" s="42">
        <v>0</v>
      </c>
      <c r="O289" s="36">
        <v>193</v>
      </c>
      <c r="P289" s="41" t="e">
        <f t="shared" si="121"/>
        <v>#DIV/0!</v>
      </c>
      <c r="Q289" s="36">
        <v>193</v>
      </c>
      <c r="R289" s="43">
        <f t="shared" si="122"/>
        <v>0</v>
      </c>
      <c r="S289" s="43">
        <f t="shared" si="123"/>
        <v>0</v>
      </c>
      <c r="T289" s="41" t="e">
        <f t="shared" si="124"/>
        <v>#DIV/0!</v>
      </c>
      <c r="U289" s="44">
        <f>O289</f>
        <v>193</v>
      </c>
      <c r="V289" s="45" t="e">
        <f t="shared" si="125"/>
        <v>#DIV/0!</v>
      </c>
      <c r="W289" s="36">
        <v>0</v>
      </c>
      <c r="X289" s="86">
        <v>0</v>
      </c>
      <c r="Y289" s="199">
        <v>252.82</v>
      </c>
      <c r="Z289" s="44">
        <v>128</v>
      </c>
      <c r="AA289" s="41">
        <f t="shared" si="111"/>
        <v>32360.959999999999</v>
      </c>
      <c r="AB289" s="44">
        <v>0</v>
      </c>
      <c r="AC289" s="44">
        <f t="shared" si="126"/>
        <v>0</v>
      </c>
      <c r="AD289" s="44">
        <f t="shared" si="112"/>
        <v>128</v>
      </c>
      <c r="AE289" s="111">
        <f t="shared" si="113"/>
        <v>32360.959999999999</v>
      </c>
      <c r="AF289" s="51" t="s">
        <v>571</v>
      </c>
      <c r="AG289" s="115"/>
      <c r="AH289" s="35">
        <v>0</v>
      </c>
      <c r="AI289" s="36">
        <v>0</v>
      </c>
      <c r="AJ289" s="36">
        <v>0</v>
      </c>
      <c r="AK289" s="36"/>
      <c r="AL289" s="36">
        <v>0</v>
      </c>
      <c r="AM289" s="36">
        <v>0</v>
      </c>
      <c r="AN289" s="46">
        <v>0</v>
      </c>
      <c r="AO289" s="100">
        <f t="shared" si="120"/>
        <v>0</v>
      </c>
      <c r="AP289" s="3">
        <f t="shared" si="114"/>
        <v>0</v>
      </c>
    </row>
    <row r="290" spans="1:42" x14ac:dyDescent="0.2">
      <c r="A290" s="35" t="s">
        <v>228</v>
      </c>
      <c r="B290" s="37" t="s">
        <v>556</v>
      </c>
      <c r="C290" s="37" t="s">
        <v>578</v>
      </c>
      <c r="D290" s="52">
        <v>46387</v>
      </c>
      <c r="E290" s="38" t="s">
        <v>754</v>
      </c>
      <c r="F290" s="36" t="s">
        <v>559</v>
      </c>
      <c r="G290" s="36" t="s">
        <v>601</v>
      </c>
      <c r="H290" s="39">
        <v>175</v>
      </c>
      <c r="I290" s="40">
        <v>27469.749999999996</v>
      </c>
      <c r="J290" s="39">
        <v>441</v>
      </c>
      <c r="K290" s="40">
        <v>69223.77</v>
      </c>
      <c r="L290" s="37" t="s">
        <v>578</v>
      </c>
      <c r="M290" s="41">
        <v>156.96999999999994</v>
      </c>
      <c r="N290" s="42">
        <v>0</v>
      </c>
      <c r="O290" s="36">
        <v>166</v>
      </c>
      <c r="P290" s="41">
        <f t="shared" si="121"/>
        <v>26057.01999999999</v>
      </c>
      <c r="Q290" s="36">
        <v>18</v>
      </c>
      <c r="R290" s="43">
        <f t="shared" si="122"/>
        <v>148</v>
      </c>
      <c r="S290" s="43">
        <f t="shared" si="123"/>
        <v>0</v>
      </c>
      <c r="T290" s="41">
        <f t="shared" si="124"/>
        <v>0</v>
      </c>
      <c r="U290" s="44">
        <f>O290</f>
        <v>166</v>
      </c>
      <c r="V290" s="45">
        <f t="shared" si="125"/>
        <v>26057.01999999999</v>
      </c>
      <c r="W290" s="36">
        <v>166</v>
      </c>
      <c r="X290" s="86">
        <v>26057.01999999999</v>
      </c>
      <c r="Y290" s="199">
        <v>156.97</v>
      </c>
      <c r="Z290" s="44">
        <v>0</v>
      </c>
      <c r="AA290" s="41">
        <f t="shared" si="111"/>
        <v>0</v>
      </c>
      <c r="AB290" s="44">
        <v>0</v>
      </c>
      <c r="AC290" s="44">
        <f t="shared" si="126"/>
        <v>205</v>
      </c>
      <c r="AD290" s="44">
        <f t="shared" si="112"/>
        <v>205</v>
      </c>
      <c r="AE290" s="111">
        <f t="shared" si="113"/>
        <v>32178.85</v>
      </c>
      <c r="AF290" s="51" t="s">
        <v>571</v>
      </c>
      <c r="AG290" s="115"/>
      <c r="AH290" s="35">
        <v>205</v>
      </c>
      <c r="AI290" s="36">
        <v>0</v>
      </c>
      <c r="AJ290" s="36">
        <v>0</v>
      </c>
      <c r="AK290" s="36"/>
      <c r="AL290" s="36">
        <v>0</v>
      </c>
      <c r="AM290" s="36">
        <v>0</v>
      </c>
      <c r="AN290" s="46">
        <v>0</v>
      </c>
      <c r="AO290" s="100">
        <f t="shared" si="120"/>
        <v>205</v>
      </c>
      <c r="AP290" s="3">
        <f t="shared" si="114"/>
        <v>32178.85</v>
      </c>
    </row>
    <row r="291" spans="1:42" x14ac:dyDescent="0.2">
      <c r="A291" s="35" t="s">
        <v>520</v>
      </c>
      <c r="B291" s="156" t="s">
        <v>562</v>
      </c>
      <c r="C291" s="37" t="s">
        <v>571</v>
      </c>
      <c r="D291" s="52"/>
      <c r="E291" s="38" t="s">
        <v>787</v>
      </c>
      <c r="F291" s="36" t="s">
        <v>563</v>
      </c>
      <c r="G291" s="36" t="s">
        <v>687</v>
      </c>
      <c r="H291" s="39">
        <v>1420</v>
      </c>
      <c r="I291" s="40">
        <v>181619.6</v>
      </c>
      <c r="J291" s="39">
        <v>0</v>
      </c>
      <c r="K291" s="40">
        <v>0</v>
      </c>
      <c r="L291" s="37" t="s">
        <v>571</v>
      </c>
      <c r="M291" s="41" t="e">
        <v>#DIV/0!</v>
      </c>
      <c r="N291" s="42">
        <v>0</v>
      </c>
      <c r="O291" s="36">
        <v>0</v>
      </c>
      <c r="P291" s="41" t="e">
        <f t="shared" si="121"/>
        <v>#DIV/0!</v>
      </c>
      <c r="Q291" s="36">
        <v>200</v>
      </c>
      <c r="R291" s="43">
        <f t="shared" si="122"/>
        <v>-200</v>
      </c>
      <c r="S291" s="43">
        <f t="shared" si="123"/>
        <v>500</v>
      </c>
      <c r="T291" s="41" t="e">
        <f t="shared" si="124"/>
        <v>#DIV/0!</v>
      </c>
      <c r="U291" s="44">
        <v>500</v>
      </c>
      <c r="V291" s="45" t="e">
        <f t="shared" si="125"/>
        <v>#DIV/0!</v>
      </c>
      <c r="W291" s="36">
        <v>0</v>
      </c>
      <c r="X291" s="86">
        <v>0</v>
      </c>
      <c r="Y291" s="199">
        <v>160</v>
      </c>
      <c r="Z291" s="44">
        <v>0</v>
      </c>
      <c r="AA291" s="41">
        <f t="shared" si="111"/>
        <v>0</v>
      </c>
      <c r="AB291" s="44">
        <v>0</v>
      </c>
      <c r="AC291" s="44">
        <f t="shared" si="126"/>
        <v>200</v>
      </c>
      <c r="AD291" s="44">
        <f t="shared" si="112"/>
        <v>200</v>
      </c>
      <c r="AE291" s="111">
        <f t="shared" si="113"/>
        <v>32000</v>
      </c>
      <c r="AF291" s="51" t="s">
        <v>571</v>
      </c>
      <c r="AG291" s="115"/>
      <c r="AH291" s="35">
        <v>0</v>
      </c>
      <c r="AI291" s="36">
        <v>0</v>
      </c>
      <c r="AJ291" s="36">
        <v>0</v>
      </c>
      <c r="AK291" s="36"/>
      <c r="AL291" s="36">
        <v>200</v>
      </c>
      <c r="AM291" s="36">
        <v>0</v>
      </c>
      <c r="AN291" s="46">
        <v>0</v>
      </c>
      <c r="AO291" s="100">
        <f t="shared" si="120"/>
        <v>200</v>
      </c>
      <c r="AP291" s="3">
        <f t="shared" si="114"/>
        <v>32000</v>
      </c>
    </row>
    <row r="292" spans="1:42" x14ac:dyDescent="0.2">
      <c r="A292" s="35" t="s">
        <v>503</v>
      </c>
      <c r="B292" s="156" t="s">
        <v>565</v>
      </c>
      <c r="C292" s="37" t="s">
        <v>571</v>
      </c>
      <c r="D292" s="52"/>
      <c r="E292" s="38" t="s">
        <v>682</v>
      </c>
      <c r="F292" s="36" t="s">
        <v>564</v>
      </c>
      <c r="G292" s="36" t="s">
        <v>675</v>
      </c>
      <c r="H292" s="39">
        <v>632</v>
      </c>
      <c r="I292" s="40">
        <v>60722.559999999998</v>
      </c>
      <c r="J292" s="39">
        <v>0</v>
      </c>
      <c r="K292" s="40">
        <v>0</v>
      </c>
      <c r="L292" s="37" t="s">
        <v>571</v>
      </c>
      <c r="M292" s="47" t="e">
        <v>#DIV/0!</v>
      </c>
      <c r="N292" s="48">
        <v>0</v>
      </c>
      <c r="O292" s="36">
        <v>0</v>
      </c>
      <c r="P292" s="47" t="e">
        <f t="shared" si="121"/>
        <v>#DIV/0!</v>
      </c>
      <c r="Q292" s="36">
        <v>475</v>
      </c>
      <c r="R292" s="43">
        <f t="shared" si="122"/>
        <v>-475</v>
      </c>
      <c r="S292" s="43">
        <f t="shared" si="123"/>
        <v>300</v>
      </c>
      <c r="T292" s="47" t="e">
        <f t="shared" si="124"/>
        <v>#DIV/0!</v>
      </c>
      <c r="U292" s="44">
        <v>300</v>
      </c>
      <c r="V292" s="45" t="e">
        <f t="shared" si="125"/>
        <v>#DIV/0!</v>
      </c>
      <c r="W292" s="36">
        <v>0</v>
      </c>
      <c r="X292" s="86">
        <v>0</v>
      </c>
      <c r="Y292" s="199">
        <v>113.37</v>
      </c>
      <c r="Z292" s="44">
        <v>0</v>
      </c>
      <c r="AA292" s="41">
        <f t="shared" si="111"/>
        <v>0</v>
      </c>
      <c r="AB292" s="44">
        <v>0</v>
      </c>
      <c r="AC292" s="44">
        <f t="shared" si="126"/>
        <v>276</v>
      </c>
      <c r="AD292" s="44">
        <f t="shared" si="112"/>
        <v>276</v>
      </c>
      <c r="AE292" s="111">
        <f t="shared" si="113"/>
        <v>31290.120000000003</v>
      </c>
      <c r="AF292" s="51" t="s">
        <v>578</v>
      </c>
      <c r="AG292" s="115"/>
      <c r="AH292" s="35">
        <v>0</v>
      </c>
      <c r="AI292" s="36">
        <v>0</v>
      </c>
      <c r="AJ292" s="36">
        <v>0</v>
      </c>
      <c r="AK292" s="36"/>
      <c r="AL292" s="36">
        <v>0</v>
      </c>
      <c r="AM292" s="36">
        <v>0</v>
      </c>
      <c r="AN292" s="46">
        <v>276</v>
      </c>
      <c r="AO292" s="100">
        <f t="shared" si="120"/>
        <v>276</v>
      </c>
      <c r="AP292" s="3">
        <f t="shared" si="114"/>
        <v>31290.120000000003</v>
      </c>
    </row>
    <row r="293" spans="1:42" x14ac:dyDescent="0.2">
      <c r="A293" s="35" t="s">
        <v>325</v>
      </c>
      <c r="B293" s="37" t="s">
        <v>556</v>
      </c>
      <c r="C293" s="37" t="s">
        <v>571</v>
      </c>
      <c r="D293" s="52"/>
      <c r="E293" s="38" t="s">
        <v>799</v>
      </c>
      <c r="F293" s="36" t="s">
        <v>557</v>
      </c>
      <c r="G293" s="36" t="s">
        <v>618</v>
      </c>
      <c r="H293" s="39">
        <v>916</v>
      </c>
      <c r="I293" s="40">
        <v>96486.98</v>
      </c>
      <c r="J293" s="39">
        <v>1303</v>
      </c>
      <c r="K293" s="40">
        <v>199419.01</v>
      </c>
      <c r="L293" s="37" t="s">
        <v>578</v>
      </c>
      <c r="M293" s="41">
        <v>102.14851468048357</v>
      </c>
      <c r="N293" s="42">
        <v>86</v>
      </c>
      <c r="O293" s="36">
        <v>534</v>
      </c>
      <c r="P293" s="41">
        <f t="shared" si="121"/>
        <v>63332.079101899813</v>
      </c>
      <c r="Q293" s="36">
        <v>334</v>
      </c>
      <c r="R293" s="43">
        <f t="shared" si="122"/>
        <v>200</v>
      </c>
      <c r="S293" s="43">
        <f t="shared" si="123"/>
        <v>0</v>
      </c>
      <c r="T293" s="41">
        <f t="shared" si="124"/>
        <v>0</v>
      </c>
      <c r="U293" s="44">
        <f>O293</f>
        <v>534</v>
      </c>
      <c r="V293" s="45">
        <f t="shared" si="125"/>
        <v>54547.306839378231</v>
      </c>
      <c r="W293" s="36">
        <v>1158</v>
      </c>
      <c r="X293" s="86">
        <v>118287.97999999998</v>
      </c>
      <c r="Y293" s="199">
        <v>129.22</v>
      </c>
      <c r="Z293" s="44">
        <v>240</v>
      </c>
      <c r="AA293" s="41">
        <f t="shared" si="111"/>
        <v>31012.799999999999</v>
      </c>
      <c r="AB293" s="44">
        <v>0</v>
      </c>
      <c r="AC293" s="44">
        <f t="shared" si="126"/>
        <v>0</v>
      </c>
      <c r="AD293" s="44">
        <f t="shared" si="112"/>
        <v>240</v>
      </c>
      <c r="AE293" s="111">
        <f t="shared" si="113"/>
        <v>31012.799999999999</v>
      </c>
      <c r="AF293" s="51" t="s">
        <v>578</v>
      </c>
      <c r="AG293" s="115"/>
      <c r="AH293" s="35">
        <v>0</v>
      </c>
      <c r="AI293" s="36">
        <v>0</v>
      </c>
      <c r="AJ293" s="36">
        <v>0</v>
      </c>
      <c r="AK293" s="36"/>
      <c r="AL293" s="36">
        <v>0</v>
      </c>
      <c r="AM293" s="36">
        <v>0</v>
      </c>
      <c r="AN293" s="46">
        <v>0</v>
      </c>
      <c r="AO293" s="100">
        <f t="shared" si="120"/>
        <v>0</v>
      </c>
      <c r="AP293" s="3">
        <f t="shared" si="114"/>
        <v>0</v>
      </c>
    </row>
    <row r="294" spans="1:42" x14ac:dyDescent="0.2">
      <c r="A294" s="49" t="s">
        <v>847</v>
      </c>
      <c r="B294" s="37" t="s">
        <v>567</v>
      </c>
      <c r="C294" s="37" t="s">
        <v>571</v>
      </c>
      <c r="D294" s="52"/>
      <c r="E294" s="38" t="s">
        <v>758</v>
      </c>
      <c r="F294" s="36" t="s">
        <v>555</v>
      </c>
      <c r="G294" s="36" t="s">
        <v>666</v>
      </c>
      <c r="H294" s="39"/>
      <c r="I294" s="40"/>
      <c r="J294" s="39">
        <v>967</v>
      </c>
      <c r="K294" s="40">
        <v>52740.179999999993</v>
      </c>
      <c r="L294" s="51"/>
      <c r="M294" s="41"/>
      <c r="N294" s="41"/>
      <c r="O294" s="36"/>
      <c r="P294" s="41"/>
      <c r="Q294" s="36"/>
      <c r="R294" s="43"/>
      <c r="S294" s="43"/>
      <c r="T294" s="41"/>
      <c r="U294" s="44"/>
      <c r="V294" s="45"/>
      <c r="W294" s="36">
        <v>300</v>
      </c>
      <c r="X294" s="86">
        <v>18594</v>
      </c>
      <c r="Y294" s="199">
        <v>61.98</v>
      </c>
      <c r="Z294" s="44">
        <v>0</v>
      </c>
      <c r="AA294" s="41">
        <f t="shared" si="111"/>
        <v>0</v>
      </c>
      <c r="AB294" s="44">
        <v>0</v>
      </c>
      <c r="AC294" s="44">
        <f t="shared" si="126"/>
        <v>500</v>
      </c>
      <c r="AD294" s="44">
        <f t="shared" si="112"/>
        <v>500</v>
      </c>
      <c r="AE294" s="111">
        <f t="shared" si="113"/>
        <v>30990</v>
      </c>
      <c r="AF294" s="51" t="s">
        <v>571</v>
      </c>
      <c r="AG294" s="115"/>
      <c r="AH294" s="35">
        <v>0</v>
      </c>
      <c r="AI294" s="36">
        <v>500</v>
      </c>
      <c r="AJ294" s="36">
        <v>0</v>
      </c>
      <c r="AK294" s="36"/>
      <c r="AL294" s="36">
        <v>0</v>
      </c>
      <c r="AM294" s="36">
        <v>0</v>
      </c>
      <c r="AN294" s="46">
        <v>0</v>
      </c>
      <c r="AO294" s="100">
        <f t="shared" si="120"/>
        <v>500</v>
      </c>
      <c r="AP294" s="3">
        <f t="shared" si="114"/>
        <v>30990</v>
      </c>
    </row>
    <row r="295" spans="1:42" x14ac:dyDescent="0.2">
      <c r="A295" s="35" t="s">
        <v>308</v>
      </c>
      <c r="B295" s="37" t="s">
        <v>556</v>
      </c>
      <c r="C295" s="37" t="s">
        <v>571</v>
      </c>
      <c r="D295" s="52"/>
      <c r="E295" s="38" t="s">
        <v>774</v>
      </c>
      <c r="F295" s="36" t="s">
        <v>557</v>
      </c>
      <c r="G295" s="36" t="s">
        <v>581</v>
      </c>
      <c r="H295" s="39">
        <v>392</v>
      </c>
      <c r="I295" s="40">
        <v>79764.56</v>
      </c>
      <c r="J295" s="39">
        <v>660</v>
      </c>
      <c r="K295" s="40">
        <v>154272</v>
      </c>
      <c r="L295" s="37" t="s">
        <v>571</v>
      </c>
      <c r="M295" s="41">
        <v>253.46572916666665</v>
      </c>
      <c r="N295" s="42">
        <v>0</v>
      </c>
      <c r="O295" s="36">
        <v>384</v>
      </c>
      <c r="P295" s="41">
        <f t="shared" ref="P295:P303" si="127">(N295+O295)*M295</f>
        <v>97330.84</v>
      </c>
      <c r="Q295" s="36">
        <v>580</v>
      </c>
      <c r="R295" s="43">
        <f t="shared" ref="R295:R306" si="128">O295-Q295</f>
        <v>-196</v>
      </c>
      <c r="S295" s="43">
        <f t="shared" ref="S295:S306" si="129">U295-O295</f>
        <v>196</v>
      </c>
      <c r="T295" s="41">
        <f t="shared" ref="T295:T306" si="130">S295*M295</f>
        <v>49679.282916666663</v>
      </c>
      <c r="U295" s="44">
        <v>580</v>
      </c>
      <c r="V295" s="45">
        <f t="shared" ref="V295:V306" si="131">U295*M295</f>
        <v>147010.12291666665</v>
      </c>
      <c r="W295" s="36">
        <v>384</v>
      </c>
      <c r="X295" s="86">
        <v>97330.84</v>
      </c>
      <c r="Y295" s="199">
        <v>266.44</v>
      </c>
      <c r="Z295" s="44">
        <v>0</v>
      </c>
      <c r="AA295" s="41">
        <f t="shared" si="111"/>
        <v>0</v>
      </c>
      <c r="AB295" s="44">
        <v>0</v>
      </c>
      <c r="AC295" s="44">
        <f t="shared" si="126"/>
        <v>116</v>
      </c>
      <c r="AD295" s="44">
        <f t="shared" si="112"/>
        <v>116</v>
      </c>
      <c r="AE295" s="111">
        <f t="shared" si="113"/>
        <v>30907.040000000001</v>
      </c>
      <c r="AF295" s="51" t="s">
        <v>571</v>
      </c>
      <c r="AG295" s="115"/>
      <c r="AH295" s="35">
        <v>0</v>
      </c>
      <c r="AI295" s="36">
        <v>0</v>
      </c>
      <c r="AJ295" s="36">
        <v>116</v>
      </c>
      <c r="AK295" s="36"/>
      <c r="AL295" s="36">
        <v>0</v>
      </c>
      <c r="AM295" s="36">
        <v>0</v>
      </c>
      <c r="AN295" s="46">
        <v>0</v>
      </c>
      <c r="AO295" s="100">
        <f t="shared" si="120"/>
        <v>116</v>
      </c>
      <c r="AP295" s="3">
        <f t="shared" si="114"/>
        <v>30907.040000000001</v>
      </c>
    </row>
    <row r="296" spans="1:42" x14ac:dyDescent="0.2">
      <c r="A296" s="35" t="s">
        <v>46</v>
      </c>
      <c r="B296" s="37" t="s">
        <v>556</v>
      </c>
      <c r="C296" s="37" t="s">
        <v>578</v>
      </c>
      <c r="D296" s="52">
        <v>46387</v>
      </c>
      <c r="E296" s="38" t="s">
        <v>754</v>
      </c>
      <c r="F296" s="36" t="s">
        <v>559</v>
      </c>
      <c r="G296" s="36" t="s">
        <v>655</v>
      </c>
      <c r="H296" s="39">
        <v>350</v>
      </c>
      <c r="I296" s="40">
        <v>23254</v>
      </c>
      <c r="J296" s="39">
        <v>250</v>
      </c>
      <c r="K296" s="40">
        <v>16610</v>
      </c>
      <c r="L296" s="37" t="s">
        <v>571</v>
      </c>
      <c r="M296" s="41">
        <v>66.44</v>
      </c>
      <c r="N296" s="42">
        <v>0</v>
      </c>
      <c r="O296" s="36">
        <v>400</v>
      </c>
      <c r="P296" s="41">
        <f t="shared" si="127"/>
        <v>26576</v>
      </c>
      <c r="Q296" s="36">
        <v>0</v>
      </c>
      <c r="R296" s="43">
        <f t="shared" si="128"/>
        <v>400</v>
      </c>
      <c r="S296" s="43">
        <f t="shared" si="129"/>
        <v>0</v>
      </c>
      <c r="T296" s="41">
        <f t="shared" si="130"/>
        <v>0</v>
      </c>
      <c r="U296" s="44">
        <v>400</v>
      </c>
      <c r="V296" s="45">
        <f t="shared" si="131"/>
        <v>26576</v>
      </c>
      <c r="W296" s="36">
        <v>400</v>
      </c>
      <c r="X296" s="86">
        <v>26576</v>
      </c>
      <c r="Y296" s="199">
        <v>66.44</v>
      </c>
      <c r="Z296" s="44">
        <v>400</v>
      </c>
      <c r="AA296" s="41">
        <f t="shared" si="111"/>
        <v>26576</v>
      </c>
      <c r="AB296" s="44">
        <v>0</v>
      </c>
      <c r="AC296" s="44">
        <f t="shared" si="126"/>
        <v>50</v>
      </c>
      <c r="AD296" s="44">
        <f t="shared" si="112"/>
        <v>450</v>
      </c>
      <c r="AE296" s="111">
        <f t="shared" si="113"/>
        <v>29898</v>
      </c>
      <c r="AF296" s="51" t="s">
        <v>571</v>
      </c>
      <c r="AG296" s="115"/>
      <c r="AH296" s="35">
        <v>50</v>
      </c>
      <c r="AI296" s="36">
        <v>0</v>
      </c>
      <c r="AJ296" s="36">
        <v>0</v>
      </c>
      <c r="AK296" s="36"/>
      <c r="AL296" s="36">
        <v>0</v>
      </c>
      <c r="AM296" s="36">
        <v>0</v>
      </c>
      <c r="AN296" s="46">
        <v>0</v>
      </c>
      <c r="AO296" s="100">
        <f t="shared" si="120"/>
        <v>50</v>
      </c>
      <c r="AP296" s="3">
        <f t="shared" si="114"/>
        <v>3322</v>
      </c>
    </row>
    <row r="297" spans="1:42" x14ac:dyDescent="0.2">
      <c r="A297" s="35" t="s">
        <v>716</v>
      </c>
      <c r="B297" s="37" t="s">
        <v>556</v>
      </c>
      <c r="C297" s="37" t="s">
        <v>578</v>
      </c>
      <c r="D297" s="52">
        <v>46022</v>
      </c>
      <c r="E297" s="38" t="s">
        <v>764</v>
      </c>
      <c r="F297" s="36" t="s">
        <v>559</v>
      </c>
      <c r="G297" s="36" t="s">
        <v>607</v>
      </c>
      <c r="H297" s="39">
        <v>700</v>
      </c>
      <c r="I297" s="40">
        <v>29666</v>
      </c>
      <c r="J297" s="39">
        <v>355</v>
      </c>
      <c r="K297" s="40">
        <v>15044.9</v>
      </c>
      <c r="L297" s="37" t="s">
        <v>571</v>
      </c>
      <c r="M297" s="41">
        <v>42.38</v>
      </c>
      <c r="N297" s="42">
        <v>0</v>
      </c>
      <c r="O297" s="36">
        <v>345</v>
      </c>
      <c r="P297" s="41">
        <f t="shared" si="127"/>
        <v>14621.1</v>
      </c>
      <c r="Q297" s="36">
        <v>0</v>
      </c>
      <c r="R297" s="43">
        <f t="shared" si="128"/>
        <v>345</v>
      </c>
      <c r="S297" s="43">
        <f t="shared" si="129"/>
        <v>0</v>
      </c>
      <c r="T297" s="41">
        <f t="shared" si="130"/>
        <v>0</v>
      </c>
      <c r="U297" s="44">
        <f>O297</f>
        <v>345</v>
      </c>
      <c r="V297" s="45">
        <f t="shared" si="131"/>
        <v>14621.1</v>
      </c>
      <c r="W297" s="36">
        <v>345</v>
      </c>
      <c r="X297" s="86">
        <v>14621.1</v>
      </c>
      <c r="Y297" s="199">
        <f>VLOOKUP(A297,'[1]2026-2028'!$B$3:$X$32,23,FALSE)</f>
        <v>97.418400000000005</v>
      </c>
      <c r="Z297" s="44">
        <v>0</v>
      </c>
      <c r="AA297" s="41">
        <f t="shared" si="111"/>
        <v>0</v>
      </c>
      <c r="AB297" s="44">
        <v>0</v>
      </c>
      <c r="AC297" s="44">
        <f t="shared" si="126"/>
        <v>300</v>
      </c>
      <c r="AD297" s="44">
        <f t="shared" si="112"/>
        <v>300</v>
      </c>
      <c r="AE297" s="111">
        <f t="shared" si="113"/>
        <v>29225.52</v>
      </c>
      <c r="AF297" s="51" t="s">
        <v>571</v>
      </c>
      <c r="AG297" s="115"/>
      <c r="AH297" s="35">
        <v>0</v>
      </c>
      <c r="AI297" s="36">
        <v>0</v>
      </c>
      <c r="AJ297" s="36">
        <v>0</v>
      </c>
      <c r="AK297" s="50">
        <v>300</v>
      </c>
      <c r="AL297" s="36">
        <v>0</v>
      </c>
      <c r="AM297" s="36">
        <v>0</v>
      </c>
      <c r="AN297" s="46">
        <v>0</v>
      </c>
      <c r="AO297" s="100">
        <f t="shared" si="120"/>
        <v>300</v>
      </c>
      <c r="AP297" s="3">
        <f t="shared" si="114"/>
        <v>29225.52</v>
      </c>
    </row>
    <row r="298" spans="1:42" x14ac:dyDescent="0.2">
      <c r="A298" s="35" t="s">
        <v>328</v>
      </c>
      <c r="B298" s="37" t="s">
        <v>565</v>
      </c>
      <c r="C298" s="37" t="s">
        <v>571</v>
      </c>
      <c r="D298" s="52"/>
      <c r="E298" s="38" t="s">
        <v>774</v>
      </c>
      <c r="F298" s="36" t="s">
        <v>557</v>
      </c>
      <c r="G298" s="36" t="s">
        <v>581</v>
      </c>
      <c r="H298" s="39">
        <v>100</v>
      </c>
      <c r="I298" s="40">
        <v>22344</v>
      </c>
      <c r="J298" s="39">
        <v>265</v>
      </c>
      <c r="K298" s="40">
        <v>62787.6</v>
      </c>
      <c r="L298" s="37" t="s">
        <v>578</v>
      </c>
      <c r="M298" s="41">
        <v>275.58249999999998</v>
      </c>
      <c r="N298" s="42">
        <v>100</v>
      </c>
      <c r="O298" s="36">
        <v>200</v>
      </c>
      <c r="P298" s="41">
        <f t="shared" si="127"/>
        <v>82674.75</v>
      </c>
      <c r="Q298" s="36">
        <v>400</v>
      </c>
      <c r="R298" s="43">
        <f t="shared" si="128"/>
        <v>-200</v>
      </c>
      <c r="S298" s="43">
        <f t="shared" si="129"/>
        <v>0</v>
      </c>
      <c r="T298" s="41">
        <f t="shared" si="130"/>
        <v>0</v>
      </c>
      <c r="U298" s="44">
        <f>O298</f>
        <v>200</v>
      </c>
      <c r="V298" s="45">
        <f t="shared" si="131"/>
        <v>55116.5</v>
      </c>
      <c r="W298" s="36">
        <v>400</v>
      </c>
      <c r="X298" s="86">
        <v>110233</v>
      </c>
      <c r="Y298" s="199">
        <v>290.8</v>
      </c>
      <c r="Z298" s="44">
        <v>0</v>
      </c>
      <c r="AA298" s="41">
        <f t="shared" si="111"/>
        <v>0</v>
      </c>
      <c r="AB298" s="44">
        <v>0</v>
      </c>
      <c r="AC298" s="44">
        <f t="shared" si="126"/>
        <v>100</v>
      </c>
      <c r="AD298" s="44">
        <f t="shared" si="112"/>
        <v>100</v>
      </c>
      <c r="AE298" s="111">
        <f t="shared" si="113"/>
        <v>29080</v>
      </c>
      <c r="AF298" s="51" t="s">
        <v>578</v>
      </c>
      <c r="AG298" s="115"/>
      <c r="AH298" s="35">
        <v>0</v>
      </c>
      <c r="AI298" s="36">
        <v>0</v>
      </c>
      <c r="AJ298" s="36">
        <v>100</v>
      </c>
      <c r="AK298" s="36"/>
      <c r="AL298" s="36">
        <v>0</v>
      </c>
      <c r="AM298" s="36">
        <v>0</v>
      </c>
      <c r="AN298" s="46">
        <v>0</v>
      </c>
      <c r="AO298" s="100">
        <f t="shared" si="120"/>
        <v>100</v>
      </c>
      <c r="AP298" s="3">
        <f t="shared" si="114"/>
        <v>29080</v>
      </c>
    </row>
    <row r="299" spans="1:42" x14ac:dyDescent="0.2">
      <c r="A299" s="35" t="s">
        <v>297</v>
      </c>
      <c r="B299" s="37" t="s">
        <v>556</v>
      </c>
      <c r="C299" s="37" t="s">
        <v>578</v>
      </c>
      <c r="D299" s="52">
        <v>46387</v>
      </c>
      <c r="E299" s="38" t="s">
        <v>754</v>
      </c>
      <c r="F299" s="36" t="s">
        <v>557</v>
      </c>
      <c r="G299" s="36" t="s">
        <v>618</v>
      </c>
      <c r="H299" s="39">
        <v>147</v>
      </c>
      <c r="I299" s="40">
        <v>23680.230000000003</v>
      </c>
      <c r="J299" s="39">
        <v>35</v>
      </c>
      <c r="K299" s="40">
        <v>5638.15</v>
      </c>
      <c r="L299" s="37" t="s">
        <v>571</v>
      </c>
      <c r="M299" s="41">
        <v>161.08999999999997</v>
      </c>
      <c r="N299" s="42">
        <v>0</v>
      </c>
      <c r="O299" s="36">
        <v>176</v>
      </c>
      <c r="P299" s="41">
        <f t="shared" si="127"/>
        <v>28351.839999999997</v>
      </c>
      <c r="Q299" s="36">
        <v>94</v>
      </c>
      <c r="R299" s="43">
        <f t="shared" si="128"/>
        <v>82</v>
      </c>
      <c r="S299" s="43">
        <f t="shared" si="129"/>
        <v>0</v>
      </c>
      <c r="T299" s="41">
        <f t="shared" si="130"/>
        <v>0</v>
      </c>
      <c r="U299" s="44">
        <f>O299</f>
        <v>176</v>
      </c>
      <c r="V299" s="45">
        <f t="shared" si="131"/>
        <v>28351.839999999997</v>
      </c>
      <c r="W299" s="36">
        <v>93</v>
      </c>
      <c r="X299" s="86">
        <v>14981.369999999999</v>
      </c>
      <c r="Y299" s="199">
        <v>161.09</v>
      </c>
      <c r="Z299" s="44">
        <v>116</v>
      </c>
      <c r="AA299" s="41">
        <f t="shared" si="111"/>
        <v>18686.439999999999</v>
      </c>
      <c r="AB299" s="44">
        <v>0</v>
      </c>
      <c r="AC299" s="44">
        <f t="shared" si="126"/>
        <v>64</v>
      </c>
      <c r="AD299" s="44">
        <f t="shared" si="112"/>
        <v>180</v>
      </c>
      <c r="AE299" s="111">
        <f t="shared" si="113"/>
        <v>28996.2</v>
      </c>
      <c r="AF299" s="51" t="s">
        <v>571</v>
      </c>
      <c r="AG299" s="115"/>
      <c r="AH299" s="35">
        <v>64</v>
      </c>
      <c r="AI299" s="36">
        <v>0</v>
      </c>
      <c r="AJ299" s="36">
        <v>0</v>
      </c>
      <c r="AK299" s="36"/>
      <c r="AL299" s="36">
        <v>0</v>
      </c>
      <c r="AM299" s="36">
        <v>0</v>
      </c>
      <c r="AN299" s="46">
        <v>0</v>
      </c>
      <c r="AO299" s="100">
        <f t="shared" si="120"/>
        <v>64</v>
      </c>
      <c r="AP299" s="3">
        <f t="shared" si="114"/>
        <v>10309.76</v>
      </c>
    </row>
    <row r="300" spans="1:42" x14ac:dyDescent="0.2">
      <c r="A300" s="35" t="s">
        <v>268</v>
      </c>
      <c r="B300" s="37" t="s">
        <v>562</v>
      </c>
      <c r="C300" s="37" t="s">
        <v>571</v>
      </c>
      <c r="D300" s="52"/>
      <c r="E300" s="38" t="s">
        <v>796</v>
      </c>
      <c r="F300" s="36" t="s">
        <v>563</v>
      </c>
      <c r="G300" s="36" t="s">
        <v>644</v>
      </c>
      <c r="H300" s="39">
        <v>0</v>
      </c>
      <c r="I300" s="40">
        <v>0</v>
      </c>
      <c r="J300" s="39">
        <v>100</v>
      </c>
      <c r="K300" s="40">
        <v>23658</v>
      </c>
      <c r="L300" s="37" t="s">
        <v>571</v>
      </c>
      <c r="M300" s="41">
        <v>283.48</v>
      </c>
      <c r="N300" s="42">
        <v>0</v>
      </c>
      <c r="O300" s="36">
        <v>150</v>
      </c>
      <c r="P300" s="41">
        <f t="shared" si="127"/>
        <v>42522</v>
      </c>
      <c r="Q300" s="36">
        <v>0</v>
      </c>
      <c r="R300" s="43">
        <f t="shared" si="128"/>
        <v>150</v>
      </c>
      <c r="S300" s="43">
        <f t="shared" si="129"/>
        <v>0</v>
      </c>
      <c r="T300" s="41">
        <f t="shared" si="130"/>
        <v>0</v>
      </c>
      <c r="U300" s="44">
        <v>150</v>
      </c>
      <c r="V300" s="45">
        <f t="shared" si="131"/>
        <v>42522</v>
      </c>
      <c r="W300" s="36">
        <v>150</v>
      </c>
      <c r="X300" s="86">
        <v>42522</v>
      </c>
      <c r="Y300" s="199">
        <v>283.48</v>
      </c>
      <c r="Z300" s="44">
        <v>0</v>
      </c>
      <c r="AA300" s="41">
        <f t="shared" si="111"/>
        <v>0</v>
      </c>
      <c r="AB300" s="44">
        <v>0</v>
      </c>
      <c r="AC300" s="44">
        <f t="shared" si="126"/>
        <v>100</v>
      </c>
      <c r="AD300" s="44">
        <f t="shared" si="112"/>
        <v>100</v>
      </c>
      <c r="AE300" s="111">
        <f t="shared" si="113"/>
        <v>28348</v>
      </c>
      <c r="AF300" s="51" t="s">
        <v>571</v>
      </c>
      <c r="AG300" s="115"/>
      <c r="AH300" s="35">
        <v>0</v>
      </c>
      <c r="AI300" s="36">
        <v>0</v>
      </c>
      <c r="AJ300" s="36">
        <v>0</v>
      </c>
      <c r="AK300" s="36"/>
      <c r="AL300" s="36">
        <v>0</v>
      </c>
      <c r="AM300" s="36">
        <v>0</v>
      </c>
      <c r="AN300" s="46">
        <v>100</v>
      </c>
      <c r="AO300" s="100">
        <f t="shared" si="120"/>
        <v>100</v>
      </c>
      <c r="AP300" s="3">
        <f t="shared" si="114"/>
        <v>28348</v>
      </c>
    </row>
    <row r="301" spans="1:42" x14ac:dyDescent="0.2">
      <c r="A301" s="35" t="s">
        <v>82</v>
      </c>
      <c r="B301" s="37" t="s">
        <v>556</v>
      </c>
      <c r="C301" s="37" t="s">
        <v>578</v>
      </c>
      <c r="D301" s="52">
        <v>46387</v>
      </c>
      <c r="E301" s="38" t="s">
        <v>754</v>
      </c>
      <c r="F301" s="36" t="s">
        <v>559</v>
      </c>
      <c r="G301" s="36" t="s">
        <v>598</v>
      </c>
      <c r="H301" s="39">
        <v>874</v>
      </c>
      <c r="I301" s="40">
        <v>64378.840000000011</v>
      </c>
      <c r="J301" s="39">
        <v>423</v>
      </c>
      <c r="K301" s="40">
        <v>31158.18</v>
      </c>
      <c r="L301" s="37" t="s">
        <v>578</v>
      </c>
      <c r="M301" s="41">
        <v>73.660000000000011</v>
      </c>
      <c r="N301" s="42">
        <v>0</v>
      </c>
      <c r="O301" s="36">
        <v>118</v>
      </c>
      <c r="P301" s="41">
        <f t="shared" si="127"/>
        <v>8691.880000000001</v>
      </c>
      <c r="Q301" s="36">
        <v>517</v>
      </c>
      <c r="R301" s="43">
        <f t="shared" si="128"/>
        <v>-399</v>
      </c>
      <c r="S301" s="43">
        <f t="shared" si="129"/>
        <v>399</v>
      </c>
      <c r="T301" s="41">
        <f t="shared" si="130"/>
        <v>29390.340000000004</v>
      </c>
      <c r="U301" s="44">
        <f>Q301</f>
        <v>517</v>
      </c>
      <c r="V301" s="45">
        <f t="shared" si="131"/>
        <v>38082.220000000008</v>
      </c>
      <c r="W301" s="36">
        <v>118</v>
      </c>
      <c r="X301" s="86">
        <v>8691.880000000001</v>
      </c>
      <c r="Y301" s="199">
        <v>73.66</v>
      </c>
      <c r="Z301" s="44">
        <v>195</v>
      </c>
      <c r="AA301" s="41">
        <f t="shared" si="111"/>
        <v>14363.699999999999</v>
      </c>
      <c r="AB301" s="44">
        <v>0</v>
      </c>
      <c r="AC301" s="44">
        <f t="shared" si="126"/>
        <v>180</v>
      </c>
      <c r="AD301" s="44">
        <f t="shared" si="112"/>
        <v>375</v>
      </c>
      <c r="AE301" s="111">
        <f t="shared" si="113"/>
        <v>27622.5</v>
      </c>
      <c r="AF301" s="51" t="s">
        <v>578</v>
      </c>
      <c r="AG301" s="115"/>
      <c r="AH301" s="35">
        <v>180</v>
      </c>
      <c r="AI301" s="36">
        <v>0</v>
      </c>
      <c r="AJ301" s="36">
        <v>0</v>
      </c>
      <c r="AK301" s="36"/>
      <c r="AL301" s="36">
        <v>0</v>
      </c>
      <c r="AM301" s="36">
        <v>0</v>
      </c>
      <c r="AN301" s="46">
        <v>0</v>
      </c>
      <c r="AO301" s="100">
        <f t="shared" si="120"/>
        <v>180</v>
      </c>
      <c r="AP301" s="3">
        <f t="shared" si="114"/>
        <v>13258.8</v>
      </c>
    </row>
    <row r="302" spans="1:42" x14ac:dyDescent="0.2">
      <c r="A302" s="35" t="s">
        <v>207</v>
      </c>
      <c r="B302" s="37" t="s">
        <v>556</v>
      </c>
      <c r="C302" s="37" t="s">
        <v>578</v>
      </c>
      <c r="D302" s="52">
        <v>46752</v>
      </c>
      <c r="E302" s="38" t="s">
        <v>772</v>
      </c>
      <c r="F302" s="36" t="s">
        <v>559</v>
      </c>
      <c r="G302" s="36" t="s">
        <v>637</v>
      </c>
      <c r="H302" s="39">
        <v>250</v>
      </c>
      <c r="I302" s="40">
        <v>13012.5</v>
      </c>
      <c r="J302" s="39">
        <v>1861</v>
      </c>
      <c r="K302" s="40">
        <v>100405.29000000001</v>
      </c>
      <c r="L302" s="37" t="s">
        <v>578</v>
      </c>
      <c r="M302" s="41">
        <v>55.05</v>
      </c>
      <c r="N302" s="42">
        <v>0</v>
      </c>
      <c r="O302" s="36">
        <v>999</v>
      </c>
      <c r="P302" s="41">
        <f t="shared" si="127"/>
        <v>54994.95</v>
      </c>
      <c r="Q302" s="36">
        <v>923</v>
      </c>
      <c r="R302" s="43">
        <f t="shared" si="128"/>
        <v>76</v>
      </c>
      <c r="S302" s="43">
        <f t="shared" si="129"/>
        <v>0</v>
      </c>
      <c r="T302" s="41">
        <f t="shared" si="130"/>
        <v>0</v>
      </c>
      <c r="U302" s="44">
        <f>O302</f>
        <v>999</v>
      </c>
      <c r="V302" s="45">
        <f t="shared" si="131"/>
        <v>54994.95</v>
      </c>
      <c r="W302" s="36">
        <v>999</v>
      </c>
      <c r="X302" s="86">
        <v>54994.95</v>
      </c>
      <c r="Y302" s="199">
        <v>55.04999999999999</v>
      </c>
      <c r="Z302" s="44">
        <v>434</v>
      </c>
      <c r="AA302" s="41">
        <f t="shared" si="111"/>
        <v>23891.699999999997</v>
      </c>
      <c r="AB302" s="44">
        <v>0</v>
      </c>
      <c r="AC302" s="44">
        <f t="shared" si="126"/>
        <v>67</v>
      </c>
      <c r="AD302" s="44">
        <f t="shared" si="112"/>
        <v>501</v>
      </c>
      <c r="AE302" s="111">
        <f t="shared" si="113"/>
        <v>27580.049999999996</v>
      </c>
      <c r="AF302" s="51" t="s">
        <v>578</v>
      </c>
      <c r="AG302" s="115"/>
      <c r="AH302" s="35">
        <v>67</v>
      </c>
      <c r="AI302" s="36">
        <v>0</v>
      </c>
      <c r="AJ302" s="36">
        <v>0</v>
      </c>
      <c r="AK302" s="36"/>
      <c r="AL302" s="36">
        <v>0</v>
      </c>
      <c r="AM302" s="36">
        <v>0</v>
      </c>
      <c r="AN302" s="46">
        <v>0</v>
      </c>
      <c r="AO302" s="100">
        <f t="shared" si="120"/>
        <v>67</v>
      </c>
      <c r="AP302" s="3">
        <f t="shared" si="114"/>
        <v>3688.3499999999995</v>
      </c>
    </row>
    <row r="303" spans="1:42" x14ac:dyDescent="0.2">
      <c r="A303" s="35" t="s">
        <v>240</v>
      </c>
      <c r="B303" s="37" t="s">
        <v>556</v>
      </c>
      <c r="C303" s="37" t="s">
        <v>578</v>
      </c>
      <c r="D303" s="52">
        <v>46387</v>
      </c>
      <c r="E303" s="38" t="s">
        <v>754</v>
      </c>
      <c r="F303" s="36" t="s">
        <v>559</v>
      </c>
      <c r="G303" s="36" t="s">
        <v>613</v>
      </c>
      <c r="H303" s="39">
        <v>0</v>
      </c>
      <c r="I303" s="40">
        <v>0</v>
      </c>
      <c r="J303" s="39">
        <v>0</v>
      </c>
      <c r="K303" s="40">
        <v>0</v>
      </c>
      <c r="L303" s="37" t="s">
        <v>571</v>
      </c>
      <c r="M303" s="41">
        <v>548.46</v>
      </c>
      <c r="N303" s="42">
        <v>0</v>
      </c>
      <c r="O303" s="36">
        <v>34</v>
      </c>
      <c r="P303" s="41">
        <f t="shared" si="127"/>
        <v>18647.64</v>
      </c>
      <c r="Q303" s="36">
        <v>34</v>
      </c>
      <c r="R303" s="43">
        <f t="shared" si="128"/>
        <v>0</v>
      </c>
      <c r="S303" s="43">
        <f t="shared" si="129"/>
        <v>0</v>
      </c>
      <c r="T303" s="41">
        <f t="shared" si="130"/>
        <v>0</v>
      </c>
      <c r="U303" s="44">
        <v>34</v>
      </c>
      <c r="V303" s="45">
        <f t="shared" si="131"/>
        <v>18647.64</v>
      </c>
      <c r="W303" s="36">
        <v>34</v>
      </c>
      <c r="X303" s="86">
        <v>18647.640000000003</v>
      </c>
      <c r="Y303" s="199">
        <v>548.46</v>
      </c>
      <c r="Z303" s="44">
        <v>23</v>
      </c>
      <c r="AA303" s="41">
        <f t="shared" si="111"/>
        <v>12614.580000000002</v>
      </c>
      <c r="AB303" s="44">
        <v>0</v>
      </c>
      <c r="AC303" s="44">
        <f t="shared" si="126"/>
        <v>27</v>
      </c>
      <c r="AD303" s="44">
        <f t="shared" si="112"/>
        <v>50</v>
      </c>
      <c r="AE303" s="111">
        <f t="shared" si="113"/>
        <v>27423</v>
      </c>
      <c r="AF303" s="51" t="s">
        <v>571</v>
      </c>
      <c r="AG303" s="115"/>
      <c r="AH303" s="35">
        <v>27</v>
      </c>
      <c r="AI303" s="36">
        <v>0</v>
      </c>
      <c r="AJ303" s="36">
        <v>0</v>
      </c>
      <c r="AK303" s="36"/>
      <c r="AL303" s="36">
        <v>0</v>
      </c>
      <c r="AM303" s="36">
        <v>0</v>
      </c>
      <c r="AN303" s="46">
        <v>0</v>
      </c>
      <c r="AO303" s="100">
        <f t="shared" si="120"/>
        <v>27</v>
      </c>
      <c r="AP303" s="3">
        <f t="shared" si="114"/>
        <v>14808.420000000002</v>
      </c>
    </row>
    <row r="304" spans="1:42" x14ac:dyDescent="0.2">
      <c r="A304" s="35" t="s">
        <v>506</v>
      </c>
      <c r="B304" s="37" t="s">
        <v>562</v>
      </c>
      <c r="C304" s="37" t="s">
        <v>571</v>
      </c>
      <c r="D304" s="52"/>
      <c r="E304" s="38" t="s">
        <v>797</v>
      </c>
      <c r="F304" s="36" t="s">
        <v>559</v>
      </c>
      <c r="G304" s="36" t="s">
        <v>593</v>
      </c>
      <c r="H304" s="39">
        <v>0</v>
      </c>
      <c r="I304" s="40">
        <v>0</v>
      </c>
      <c r="J304" s="39">
        <v>0</v>
      </c>
      <c r="K304" s="40">
        <v>0</v>
      </c>
      <c r="L304" s="51"/>
      <c r="M304" s="41" t="e">
        <v>#DIV/0!</v>
      </c>
      <c r="N304" s="41"/>
      <c r="O304" s="36">
        <v>0</v>
      </c>
      <c r="P304" s="41">
        <v>0</v>
      </c>
      <c r="Q304" s="36">
        <v>500</v>
      </c>
      <c r="R304" s="43">
        <f t="shared" si="128"/>
        <v>-500</v>
      </c>
      <c r="S304" s="43">
        <f t="shared" si="129"/>
        <v>0</v>
      </c>
      <c r="T304" s="41" t="e">
        <f t="shared" si="130"/>
        <v>#DIV/0!</v>
      </c>
      <c r="U304" s="44">
        <v>0</v>
      </c>
      <c r="V304" s="45" t="e">
        <f t="shared" si="131"/>
        <v>#DIV/0!</v>
      </c>
      <c r="W304" s="36">
        <v>0</v>
      </c>
      <c r="X304" s="86">
        <v>0</v>
      </c>
      <c r="Y304" s="199">
        <v>107.15</v>
      </c>
      <c r="Z304" s="44">
        <v>250</v>
      </c>
      <c r="AA304" s="41">
        <f t="shared" si="111"/>
        <v>26787.5</v>
      </c>
      <c r="AB304" s="44">
        <v>0</v>
      </c>
      <c r="AC304" s="44">
        <f t="shared" si="126"/>
        <v>0</v>
      </c>
      <c r="AD304" s="44">
        <f t="shared" si="112"/>
        <v>250</v>
      </c>
      <c r="AE304" s="111">
        <f t="shared" si="113"/>
        <v>26787.5</v>
      </c>
      <c r="AF304" s="51" t="s">
        <v>571</v>
      </c>
      <c r="AG304" s="115"/>
      <c r="AH304" s="35">
        <v>0</v>
      </c>
      <c r="AI304" s="36">
        <v>0</v>
      </c>
      <c r="AJ304" s="36">
        <v>0</v>
      </c>
      <c r="AK304" s="36"/>
      <c r="AL304" s="36">
        <v>0</v>
      </c>
      <c r="AM304" s="36">
        <v>0</v>
      </c>
      <c r="AN304" s="46">
        <v>0</v>
      </c>
      <c r="AO304" s="100">
        <f t="shared" si="120"/>
        <v>0</v>
      </c>
      <c r="AP304" s="3">
        <f t="shared" si="114"/>
        <v>0</v>
      </c>
    </row>
    <row r="305" spans="1:42" x14ac:dyDescent="0.2">
      <c r="A305" s="35" t="s">
        <v>68</v>
      </c>
      <c r="B305" s="37" t="s">
        <v>556</v>
      </c>
      <c r="C305" s="37" t="s">
        <v>578</v>
      </c>
      <c r="D305" s="52">
        <v>46387</v>
      </c>
      <c r="E305" s="38" t="s">
        <v>754</v>
      </c>
      <c r="F305" s="36" t="s">
        <v>559</v>
      </c>
      <c r="G305" s="36" t="s">
        <v>601</v>
      </c>
      <c r="H305" s="39">
        <v>0</v>
      </c>
      <c r="I305" s="40">
        <v>0</v>
      </c>
      <c r="J305" s="39">
        <v>62</v>
      </c>
      <c r="K305" s="40">
        <v>5181.9599999999991</v>
      </c>
      <c r="L305" s="37" t="s">
        <v>571</v>
      </c>
      <c r="M305" s="41">
        <v>83.579999999999984</v>
      </c>
      <c r="N305" s="42">
        <v>0</v>
      </c>
      <c r="O305" s="36">
        <v>374</v>
      </c>
      <c r="P305" s="41">
        <f>(N305+O305)*M305</f>
        <v>31258.919999999995</v>
      </c>
      <c r="Q305" s="36">
        <v>0</v>
      </c>
      <c r="R305" s="43">
        <f t="shared" si="128"/>
        <v>374</v>
      </c>
      <c r="S305" s="43">
        <f t="shared" si="129"/>
        <v>0</v>
      </c>
      <c r="T305" s="41">
        <f t="shared" si="130"/>
        <v>0</v>
      </c>
      <c r="U305" s="44">
        <f>O305</f>
        <v>374</v>
      </c>
      <c r="V305" s="45">
        <f t="shared" si="131"/>
        <v>31258.919999999995</v>
      </c>
      <c r="W305" s="36">
        <v>354</v>
      </c>
      <c r="X305" s="86">
        <v>29587.319999999996</v>
      </c>
      <c r="Y305" s="199">
        <v>83.58</v>
      </c>
      <c r="Z305" s="44">
        <v>173</v>
      </c>
      <c r="AA305" s="41">
        <f t="shared" si="111"/>
        <v>14459.34</v>
      </c>
      <c r="AB305" s="44">
        <v>0</v>
      </c>
      <c r="AC305" s="44">
        <f t="shared" si="126"/>
        <v>147</v>
      </c>
      <c r="AD305" s="44">
        <f t="shared" si="112"/>
        <v>320</v>
      </c>
      <c r="AE305" s="111">
        <f t="shared" si="113"/>
        <v>26745.599999999999</v>
      </c>
      <c r="AF305" s="51" t="s">
        <v>571</v>
      </c>
      <c r="AG305" s="115"/>
      <c r="AH305" s="35">
        <v>147</v>
      </c>
      <c r="AI305" s="36">
        <v>0</v>
      </c>
      <c r="AJ305" s="36">
        <v>0</v>
      </c>
      <c r="AK305" s="36"/>
      <c r="AL305" s="36">
        <v>0</v>
      </c>
      <c r="AM305" s="36">
        <v>0</v>
      </c>
      <c r="AN305" s="46">
        <v>0</v>
      </c>
      <c r="AO305" s="100">
        <f t="shared" si="120"/>
        <v>147</v>
      </c>
      <c r="AP305" s="3">
        <f t="shared" si="114"/>
        <v>12286.26</v>
      </c>
    </row>
    <row r="306" spans="1:42" x14ac:dyDescent="0.2">
      <c r="A306" s="35" t="s">
        <v>92</v>
      </c>
      <c r="B306" s="37" t="s">
        <v>556</v>
      </c>
      <c r="C306" s="37" t="s">
        <v>578</v>
      </c>
      <c r="D306" s="52">
        <v>46387</v>
      </c>
      <c r="E306" s="38" t="s">
        <v>754</v>
      </c>
      <c r="F306" s="36" t="s">
        <v>559</v>
      </c>
      <c r="G306" s="36" t="s">
        <v>590</v>
      </c>
      <c r="H306" s="39">
        <v>0</v>
      </c>
      <c r="I306" s="40">
        <v>0</v>
      </c>
      <c r="J306" s="39">
        <v>170</v>
      </c>
      <c r="K306" s="40">
        <v>28632.85</v>
      </c>
      <c r="L306" s="37" t="s">
        <v>578</v>
      </c>
      <c r="M306" s="41">
        <v>169.9921590909091</v>
      </c>
      <c r="N306" s="42">
        <v>6</v>
      </c>
      <c r="O306" s="36">
        <v>1314</v>
      </c>
      <c r="P306" s="41">
        <f>(N306+O306)*M306</f>
        <v>224389.65000000002</v>
      </c>
      <c r="Q306" s="36">
        <v>0</v>
      </c>
      <c r="R306" s="43">
        <f t="shared" si="128"/>
        <v>1314</v>
      </c>
      <c r="S306" s="43">
        <f t="shared" si="129"/>
        <v>3</v>
      </c>
      <c r="T306" s="41">
        <f t="shared" si="130"/>
        <v>509.97647727272727</v>
      </c>
      <c r="U306" s="44">
        <v>1317</v>
      </c>
      <c r="V306" s="45">
        <f t="shared" si="131"/>
        <v>223879.67352272727</v>
      </c>
      <c r="W306" s="36">
        <v>1320</v>
      </c>
      <c r="X306" s="86">
        <v>224389.65000000002</v>
      </c>
      <c r="Y306" s="199">
        <v>166.5</v>
      </c>
      <c r="Z306" s="44">
        <v>50</v>
      </c>
      <c r="AA306" s="41">
        <f t="shared" si="111"/>
        <v>8325</v>
      </c>
      <c r="AB306" s="44">
        <v>0</v>
      </c>
      <c r="AC306" s="44">
        <f t="shared" si="126"/>
        <v>105</v>
      </c>
      <c r="AD306" s="44">
        <f t="shared" si="112"/>
        <v>155</v>
      </c>
      <c r="AE306" s="111">
        <f t="shared" si="113"/>
        <v>25807.5</v>
      </c>
      <c r="AF306" s="51" t="s">
        <v>578</v>
      </c>
      <c r="AG306" s="115"/>
      <c r="AH306" s="35">
        <v>105</v>
      </c>
      <c r="AI306" s="36">
        <v>0</v>
      </c>
      <c r="AJ306" s="36">
        <v>0</v>
      </c>
      <c r="AK306" s="36"/>
      <c r="AL306" s="36">
        <v>0</v>
      </c>
      <c r="AM306" s="36">
        <v>0</v>
      </c>
      <c r="AN306" s="46">
        <v>0</v>
      </c>
      <c r="AO306" s="100">
        <f t="shared" si="120"/>
        <v>105</v>
      </c>
      <c r="AP306" s="3">
        <f t="shared" si="114"/>
        <v>17482.5</v>
      </c>
    </row>
    <row r="307" spans="1:42" x14ac:dyDescent="0.2">
      <c r="A307" s="49" t="s">
        <v>930</v>
      </c>
      <c r="B307" s="37" t="s">
        <v>565</v>
      </c>
      <c r="C307" s="37" t="s">
        <v>571</v>
      </c>
      <c r="D307" s="52"/>
      <c r="E307" s="38" t="s">
        <v>1008</v>
      </c>
      <c r="F307" s="36" t="s">
        <v>564</v>
      </c>
      <c r="G307" s="36" t="s">
        <v>605</v>
      </c>
      <c r="H307" s="39"/>
      <c r="I307" s="40"/>
      <c r="J307" s="39"/>
      <c r="K307" s="40"/>
      <c r="L307" s="37"/>
      <c r="M307" s="41"/>
      <c r="N307" s="36"/>
      <c r="O307" s="41"/>
      <c r="P307" s="36"/>
      <c r="Q307" s="43"/>
      <c r="R307" s="43"/>
      <c r="S307" s="41"/>
      <c r="T307" s="44"/>
      <c r="U307" s="45"/>
      <c r="V307" s="36"/>
      <c r="W307" s="45"/>
      <c r="X307" s="46"/>
      <c r="Y307" s="199">
        <v>25.54</v>
      </c>
      <c r="Z307" s="44">
        <v>1000</v>
      </c>
      <c r="AA307" s="41">
        <f t="shared" si="111"/>
        <v>25540</v>
      </c>
      <c r="AB307" s="44">
        <v>0</v>
      </c>
      <c r="AC307" s="44">
        <f t="shared" si="126"/>
        <v>0</v>
      </c>
      <c r="AD307" s="44">
        <f t="shared" si="112"/>
        <v>1000</v>
      </c>
      <c r="AE307" s="111">
        <f t="shared" si="113"/>
        <v>25540</v>
      </c>
      <c r="AF307" s="51" t="s">
        <v>571</v>
      </c>
      <c r="AG307" s="115"/>
      <c r="AH307" s="35">
        <v>0</v>
      </c>
      <c r="AI307" s="36">
        <v>0</v>
      </c>
      <c r="AJ307" s="36">
        <v>0</v>
      </c>
      <c r="AK307" s="36"/>
      <c r="AL307" s="36">
        <v>0</v>
      </c>
      <c r="AM307" s="36">
        <v>0</v>
      </c>
      <c r="AN307" s="46">
        <v>0</v>
      </c>
      <c r="AO307" s="100">
        <f t="shared" si="120"/>
        <v>0</v>
      </c>
      <c r="AP307" s="3">
        <f t="shared" si="114"/>
        <v>0</v>
      </c>
    </row>
    <row r="308" spans="1:42" x14ac:dyDescent="0.2">
      <c r="A308" s="35" t="s">
        <v>118</v>
      </c>
      <c r="B308" s="37" t="s">
        <v>565</v>
      </c>
      <c r="C308" s="37" t="s">
        <v>578</v>
      </c>
      <c r="D308" s="52">
        <v>46752</v>
      </c>
      <c r="E308" s="38" t="s">
        <v>772</v>
      </c>
      <c r="F308" s="36" t="s">
        <v>559</v>
      </c>
      <c r="G308" s="36" t="s">
        <v>616</v>
      </c>
      <c r="H308" s="39">
        <v>180</v>
      </c>
      <c r="I308" s="40">
        <v>14360.4</v>
      </c>
      <c r="J308" s="39">
        <v>100</v>
      </c>
      <c r="K308" s="40">
        <v>8260</v>
      </c>
      <c r="L308" s="37" t="s">
        <v>571</v>
      </c>
      <c r="M308" s="41">
        <v>84.38</v>
      </c>
      <c r="N308" s="42">
        <v>0</v>
      </c>
      <c r="O308" s="36">
        <v>200</v>
      </c>
      <c r="P308" s="41">
        <f t="shared" ref="P308:P328" si="132">(N308+O308)*M308</f>
        <v>16876</v>
      </c>
      <c r="Q308" s="36">
        <v>300</v>
      </c>
      <c r="R308" s="43">
        <f t="shared" ref="R308:R328" si="133">O308-Q308</f>
        <v>-100</v>
      </c>
      <c r="S308" s="43">
        <f t="shared" ref="S308:S328" si="134">U308-O308</f>
        <v>0</v>
      </c>
      <c r="T308" s="41">
        <f t="shared" ref="T308:T328" si="135">S308*M308</f>
        <v>0</v>
      </c>
      <c r="U308" s="44">
        <v>200</v>
      </c>
      <c r="V308" s="45">
        <f t="shared" ref="V308:V328" si="136">U308*M308</f>
        <v>16876</v>
      </c>
      <c r="W308" s="36">
        <v>200</v>
      </c>
      <c r="X308" s="86">
        <v>16876</v>
      </c>
      <c r="Y308" s="199">
        <v>84.38</v>
      </c>
      <c r="Z308" s="44">
        <v>300</v>
      </c>
      <c r="AA308" s="41">
        <f t="shared" si="111"/>
        <v>25314</v>
      </c>
      <c r="AB308" s="44">
        <v>0</v>
      </c>
      <c r="AC308" s="44">
        <f t="shared" si="126"/>
        <v>0</v>
      </c>
      <c r="AD308" s="44">
        <f t="shared" si="112"/>
        <v>300</v>
      </c>
      <c r="AE308" s="111">
        <f t="shared" si="113"/>
        <v>25314</v>
      </c>
      <c r="AF308" s="51" t="s">
        <v>571</v>
      </c>
      <c r="AG308" s="115"/>
      <c r="AH308" s="35">
        <v>0</v>
      </c>
      <c r="AI308" s="36">
        <v>0</v>
      </c>
      <c r="AJ308" s="36">
        <v>0</v>
      </c>
      <c r="AK308" s="36"/>
      <c r="AL308" s="36">
        <v>0</v>
      </c>
      <c r="AM308" s="36">
        <v>0</v>
      </c>
      <c r="AN308" s="46">
        <v>0</v>
      </c>
      <c r="AO308" s="100">
        <f t="shared" si="120"/>
        <v>0</v>
      </c>
      <c r="AP308" s="3">
        <f t="shared" si="114"/>
        <v>0</v>
      </c>
    </row>
    <row r="309" spans="1:42" x14ac:dyDescent="0.2">
      <c r="A309" s="35" t="s">
        <v>380</v>
      </c>
      <c r="B309" s="37" t="s">
        <v>565</v>
      </c>
      <c r="C309" s="37" t="s">
        <v>571</v>
      </c>
      <c r="D309" s="52"/>
      <c r="E309" s="38" t="s">
        <v>801</v>
      </c>
      <c r="F309" s="36" t="s">
        <v>558</v>
      </c>
      <c r="G309" s="36" t="s">
        <v>648</v>
      </c>
      <c r="H309" s="39">
        <v>400</v>
      </c>
      <c r="I309" s="40">
        <v>176000</v>
      </c>
      <c r="J309" s="39">
        <v>174</v>
      </c>
      <c r="K309" s="40">
        <v>80562</v>
      </c>
      <c r="L309" s="37" t="s">
        <v>571</v>
      </c>
      <c r="M309" s="41">
        <v>463</v>
      </c>
      <c r="N309" s="42">
        <v>0</v>
      </c>
      <c r="O309" s="36">
        <v>76</v>
      </c>
      <c r="P309" s="41">
        <f t="shared" si="132"/>
        <v>35188</v>
      </c>
      <c r="Q309" s="36">
        <v>0</v>
      </c>
      <c r="R309" s="43">
        <f t="shared" si="133"/>
        <v>76</v>
      </c>
      <c r="S309" s="43">
        <f t="shared" si="134"/>
        <v>0</v>
      </c>
      <c r="T309" s="41">
        <f t="shared" si="135"/>
        <v>0</v>
      </c>
      <c r="U309" s="44">
        <v>76</v>
      </c>
      <c r="V309" s="45">
        <f t="shared" si="136"/>
        <v>35188</v>
      </c>
      <c r="W309" s="36">
        <v>88</v>
      </c>
      <c r="X309" s="86">
        <v>40744</v>
      </c>
      <c r="Y309" s="199">
        <v>498</v>
      </c>
      <c r="Z309" s="44">
        <v>35</v>
      </c>
      <c r="AA309" s="41">
        <f t="shared" si="111"/>
        <v>17430</v>
      </c>
      <c r="AB309" s="44">
        <v>0</v>
      </c>
      <c r="AC309" s="44">
        <f t="shared" si="126"/>
        <v>15</v>
      </c>
      <c r="AD309" s="44">
        <f t="shared" si="112"/>
        <v>50</v>
      </c>
      <c r="AE309" s="111">
        <f t="shared" si="113"/>
        <v>24900</v>
      </c>
      <c r="AF309" s="51" t="s">
        <v>571</v>
      </c>
      <c r="AG309" s="115" t="s">
        <v>1049</v>
      </c>
      <c r="AH309" s="35">
        <v>0</v>
      </c>
      <c r="AI309" s="36">
        <v>0</v>
      </c>
      <c r="AJ309" s="36">
        <v>0</v>
      </c>
      <c r="AK309" s="36"/>
      <c r="AL309" s="36">
        <v>15</v>
      </c>
      <c r="AM309" s="36">
        <v>0</v>
      </c>
      <c r="AN309" s="46">
        <v>0</v>
      </c>
      <c r="AO309" s="100">
        <f t="shared" ref="AO309:AO340" si="137">SUM(AH309:AN309)</f>
        <v>15</v>
      </c>
      <c r="AP309" s="3">
        <f t="shared" si="114"/>
        <v>7470</v>
      </c>
    </row>
    <row r="310" spans="1:42" x14ac:dyDescent="0.2">
      <c r="A310" s="35" t="s">
        <v>234</v>
      </c>
      <c r="B310" s="37" t="s">
        <v>556</v>
      </c>
      <c r="C310" s="37" t="s">
        <v>578</v>
      </c>
      <c r="D310" s="52">
        <v>46387</v>
      </c>
      <c r="E310" s="38" t="s">
        <v>754</v>
      </c>
      <c r="F310" s="36" t="s">
        <v>559</v>
      </c>
      <c r="G310" s="36" t="s">
        <v>601</v>
      </c>
      <c r="H310" s="39">
        <v>158</v>
      </c>
      <c r="I310" s="40">
        <v>23049.040000000008</v>
      </c>
      <c r="J310" s="39">
        <v>261</v>
      </c>
      <c r="K310" s="40">
        <v>38074.68</v>
      </c>
      <c r="L310" s="37" t="s">
        <v>578</v>
      </c>
      <c r="M310" s="41">
        <v>145.88</v>
      </c>
      <c r="N310" s="42">
        <v>0</v>
      </c>
      <c r="O310" s="36">
        <v>372</v>
      </c>
      <c r="P310" s="41">
        <f t="shared" si="132"/>
        <v>54267.360000000001</v>
      </c>
      <c r="Q310" s="36">
        <v>123</v>
      </c>
      <c r="R310" s="43">
        <f t="shared" si="133"/>
        <v>249</v>
      </c>
      <c r="S310" s="43">
        <f t="shared" si="134"/>
        <v>0</v>
      </c>
      <c r="T310" s="41">
        <f t="shared" si="135"/>
        <v>0</v>
      </c>
      <c r="U310" s="44">
        <f>O310</f>
        <v>372</v>
      </c>
      <c r="V310" s="45">
        <f t="shared" si="136"/>
        <v>54267.360000000001</v>
      </c>
      <c r="W310" s="36">
        <v>352</v>
      </c>
      <c r="X310" s="86">
        <v>51349.759999999995</v>
      </c>
      <c r="Y310" s="199">
        <v>145.88</v>
      </c>
      <c r="Z310" s="44">
        <v>0</v>
      </c>
      <c r="AA310" s="41">
        <f t="shared" si="111"/>
        <v>0</v>
      </c>
      <c r="AB310" s="44">
        <v>0</v>
      </c>
      <c r="AC310" s="44">
        <f t="shared" si="126"/>
        <v>168</v>
      </c>
      <c r="AD310" s="44">
        <f t="shared" si="112"/>
        <v>168</v>
      </c>
      <c r="AE310" s="111">
        <f t="shared" si="113"/>
        <v>24507.84</v>
      </c>
      <c r="AF310" s="51" t="s">
        <v>571</v>
      </c>
      <c r="AG310" s="115"/>
      <c r="AH310" s="35">
        <v>168</v>
      </c>
      <c r="AI310" s="36">
        <v>0</v>
      </c>
      <c r="AJ310" s="36">
        <v>0</v>
      </c>
      <c r="AK310" s="36"/>
      <c r="AL310" s="36">
        <v>0</v>
      </c>
      <c r="AM310" s="36">
        <v>0</v>
      </c>
      <c r="AN310" s="46">
        <v>0</v>
      </c>
      <c r="AO310" s="100">
        <f t="shared" si="137"/>
        <v>168</v>
      </c>
      <c r="AP310" s="3">
        <f t="shared" si="114"/>
        <v>24507.84</v>
      </c>
    </row>
    <row r="311" spans="1:42" x14ac:dyDescent="0.2">
      <c r="A311" s="35" t="s">
        <v>327</v>
      </c>
      <c r="B311" s="37" t="s">
        <v>565</v>
      </c>
      <c r="C311" s="37" t="s">
        <v>571</v>
      </c>
      <c r="D311" s="52"/>
      <c r="E311" s="38" t="s">
        <v>774</v>
      </c>
      <c r="F311" s="36" t="s">
        <v>557</v>
      </c>
      <c r="G311" s="36" t="s">
        <v>581</v>
      </c>
      <c r="H311" s="39">
        <v>71</v>
      </c>
      <c r="I311" s="40">
        <v>13004.36</v>
      </c>
      <c r="J311" s="39">
        <v>389</v>
      </c>
      <c r="K311" s="40">
        <v>77110.240000000005</v>
      </c>
      <c r="L311" s="37" t="s">
        <v>571</v>
      </c>
      <c r="M311" s="41">
        <v>241.77</v>
      </c>
      <c r="N311" s="42">
        <v>0</v>
      </c>
      <c r="O311" s="36">
        <v>300</v>
      </c>
      <c r="P311" s="41">
        <f t="shared" si="132"/>
        <v>72531</v>
      </c>
      <c r="Q311" s="36">
        <v>200</v>
      </c>
      <c r="R311" s="43">
        <f t="shared" si="133"/>
        <v>100</v>
      </c>
      <c r="S311" s="43">
        <f t="shared" si="134"/>
        <v>0</v>
      </c>
      <c r="T311" s="41">
        <f t="shared" si="135"/>
        <v>0</v>
      </c>
      <c r="U311" s="44">
        <f>O311</f>
        <v>300</v>
      </c>
      <c r="V311" s="45">
        <f t="shared" si="136"/>
        <v>72531</v>
      </c>
      <c r="W311" s="36">
        <v>200</v>
      </c>
      <c r="X311" s="86">
        <v>48354</v>
      </c>
      <c r="Y311" s="199">
        <v>241.77</v>
      </c>
      <c r="Z311" s="44">
        <v>0</v>
      </c>
      <c r="AA311" s="41">
        <f t="shared" si="111"/>
        <v>0</v>
      </c>
      <c r="AB311" s="44">
        <v>0</v>
      </c>
      <c r="AC311" s="44">
        <f t="shared" si="126"/>
        <v>100</v>
      </c>
      <c r="AD311" s="44">
        <f t="shared" si="112"/>
        <v>100</v>
      </c>
      <c r="AE311" s="111">
        <f t="shared" si="113"/>
        <v>24177</v>
      </c>
      <c r="AF311" s="51" t="s">
        <v>571</v>
      </c>
      <c r="AG311" s="115"/>
      <c r="AH311" s="35">
        <v>0</v>
      </c>
      <c r="AI311" s="36">
        <v>0</v>
      </c>
      <c r="AJ311" s="36">
        <v>100</v>
      </c>
      <c r="AK311" s="36"/>
      <c r="AL311" s="36">
        <v>0</v>
      </c>
      <c r="AM311" s="36">
        <v>0</v>
      </c>
      <c r="AN311" s="46">
        <v>0</v>
      </c>
      <c r="AO311" s="100">
        <f t="shared" si="137"/>
        <v>100</v>
      </c>
      <c r="AP311" s="3">
        <f t="shared" si="114"/>
        <v>24177</v>
      </c>
    </row>
    <row r="312" spans="1:42" x14ac:dyDescent="0.2">
      <c r="A312" s="35" t="s">
        <v>711</v>
      </c>
      <c r="B312" s="37" t="s">
        <v>556</v>
      </c>
      <c r="C312" s="37" t="s">
        <v>571</v>
      </c>
      <c r="D312" s="52"/>
      <c r="E312" s="38" t="s">
        <v>754</v>
      </c>
      <c r="F312" s="36" t="s">
        <v>557</v>
      </c>
      <c r="G312" s="36" t="s">
        <v>606</v>
      </c>
      <c r="H312" s="39">
        <v>0</v>
      </c>
      <c r="I312" s="40">
        <v>0</v>
      </c>
      <c r="J312" s="39">
        <v>25</v>
      </c>
      <c r="K312" s="40">
        <v>14720</v>
      </c>
      <c r="L312" s="37" t="s">
        <v>578</v>
      </c>
      <c r="M312" s="41">
        <v>409.09</v>
      </c>
      <c r="N312" s="42">
        <v>0</v>
      </c>
      <c r="O312" s="36">
        <v>200</v>
      </c>
      <c r="P312" s="41">
        <f t="shared" si="132"/>
        <v>81818</v>
      </c>
      <c r="Q312" s="36">
        <v>0</v>
      </c>
      <c r="R312" s="43">
        <f t="shared" si="133"/>
        <v>200</v>
      </c>
      <c r="S312" s="43">
        <f t="shared" si="134"/>
        <v>0</v>
      </c>
      <c r="T312" s="41">
        <f t="shared" si="135"/>
        <v>0</v>
      </c>
      <c r="U312" s="44">
        <f>O312</f>
        <v>200</v>
      </c>
      <c r="V312" s="45">
        <f t="shared" si="136"/>
        <v>81818</v>
      </c>
      <c r="W312" s="36">
        <v>23</v>
      </c>
      <c r="X312" s="86">
        <v>9409.07</v>
      </c>
      <c r="Y312" s="199">
        <v>409.09</v>
      </c>
      <c r="Z312" s="44">
        <v>59</v>
      </c>
      <c r="AA312" s="41">
        <f t="shared" si="111"/>
        <v>24136.309999999998</v>
      </c>
      <c r="AB312" s="44">
        <v>0</v>
      </c>
      <c r="AC312" s="44">
        <f t="shared" si="126"/>
        <v>0</v>
      </c>
      <c r="AD312" s="44">
        <f t="shared" si="112"/>
        <v>59</v>
      </c>
      <c r="AE312" s="111">
        <f t="shared" si="113"/>
        <v>24136.309999999998</v>
      </c>
      <c r="AF312" s="51" t="s">
        <v>578</v>
      </c>
      <c r="AG312" s="115"/>
      <c r="AH312" s="35">
        <v>0</v>
      </c>
      <c r="AI312" s="36">
        <v>0</v>
      </c>
      <c r="AJ312" s="36">
        <v>0</v>
      </c>
      <c r="AK312" s="36"/>
      <c r="AL312" s="36">
        <v>0</v>
      </c>
      <c r="AM312" s="36">
        <v>0</v>
      </c>
      <c r="AN312" s="46">
        <v>0</v>
      </c>
      <c r="AO312" s="100">
        <f t="shared" si="137"/>
        <v>0</v>
      </c>
      <c r="AP312" s="3">
        <f t="shared" si="114"/>
        <v>0</v>
      </c>
    </row>
    <row r="313" spans="1:42" x14ac:dyDescent="0.2">
      <c r="A313" s="35" t="s">
        <v>94</v>
      </c>
      <c r="B313" s="37" t="s">
        <v>556</v>
      </c>
      <c r="C313" s="37" t="s">
        <v>578</v>
      </c>
      <c r="D313" s="52">
        <v>46387</v>
      </c>
      <c r="E313" s="38" t="s">
        <v>754</v>
      </c>
      <c r="F313" s="36" t="s">
        <v>559</v>
      </c>
      <c r="G313" s="36" t="s">
        <v>613</v>
      </c>
      <c r="H313" s="39">
        <v>300</v>
      </c>
      <c r="I313" s="40">
        <v>31575</v>
      </c>
      <c r="J313" s="39">
        <v>480</v>
      </c>
      <c r="K313" s="40">
        <v>60736.799999999996</v>
      </c>
      <c r="L313" s="37" t="s">
        <v>578</v>
      </c>
      <c r="M313" s="41">
        <v>133.63</v>
      </c>
      <c r="N313" s="42">
        <v>0</v>
      </c>
      <c r="O313" s="36">
        <v>300</v>
      </c>
      <c r="P313" s="41">
        <f t="shared" si="132"/>
        <v>40089</v>
      </c>
      <c r="Q313" s="36">
        <v>810</v>
      </c>
      <c r="R313" s="43">
        <f t="shared" si="133"/>
        <v>-510</v>
      </c>
      <c r="S313" s="43">
        <f t="shared" si="134"/>
        <v>0</v>
      </c>
      <c r="T313" s="41">
        <f t="shared" si="135"/>
        <v>0</v>
      </c>
      <c r="U313" s="44">
        <v>300</v>
      </c>
      <c r="V313" s="45">
        <f t="shared" si="136"/>
        <v>40089</v>
      </c>
      <c r="W313" s="36">
        <v>360</v>
      </c>
      <c r="X313" s="86">
        <v>48106.8</v>
      </c>
      <c r="Y313" s="199">
        <v>133.63</v>
      </c>
      <c r="Z313" s="44">
        <v>180</v>
      </c>
      <c r="AA313" s="41">
        <f t="shared" si="111"/>
        <v>24053.399999999998</v>
      </c>
      <c r="AB313" s="44">
        <v>0</v>
      </c>
      <c r="AC313" s="44">
        <f t="shared" si="126"/>
        <v>0</v>
      </c>
      <c r="AD313" s="44">
        <f t="shared" si="112"/>
        <v>180</v>
      </c>
      <c r="AE313" s="111">
        <f t="shared" si="113"/>
        <v>24053.399999999998</v>
      </c>
      <c r="AF313" s="51" t="s">
        <v>578</v>
      </c>
      <c r="AG313" s="115"/>
      <c r="AH313" s="35">
        <v>0</v>
      </c>
      <c r="AI313" s="36">
        <v>0</v>
      </c>
      <c r="AJ313" s="36">
        <v>0</v>
      </c>
      <c r="AK313" s="36"/>
      <c r="AL313" s="36">
        <v>0</v>
      </c>
      <c r="AM313" s="36">
        <v>0</v>
      </c>
      <c r="AN313" s="46">
        <v>0</v>
      </c>
      <c r="AO313" s="100">
        <f t="shared" si="137"/>
        <v>0</v>
      </c>
      <c r="AP313" s="3">
        <f t="shared" si="114"/>
        <v>0</v>
      </c>
    </row>
    <row r="314" spans="1:42" x14ac:dyDescent="0.2">
      <c r="A314" s="35" t="s">
        <v>418</v>
      </c>
      <c r="B314" s="156" t="s">
        <v>562</v>
      </c>
      <c r="C314" s="37" t="s">
        <v>571</v>
      </c>
      <c r="D314" s="52"/>
      <c r="E314" s="38" t="s">
        <v>758</v>
      </c>
      <c r="F314" s="36" t="s">
        <v>555</v>
      </c>
      <c r="G314" s="36" t="s">
        <v>583</v>
      </c>
      <c r="H314" s="39">
        <v>0</v>
      </c>
      <c r="I314" s="40">
        <v>0</v>
      </c>
      <c r="J314" s="39">
        <v>0</v>
      </c>
      <c r="K314" s="40">
        <v>0</v>
      </c>
      <c r="L314" s="37" t="s">
        <v>571</v>
      </c>
      <c r="M314" s="41">
        <v>1195</v>
      </c>
      <c r="N314" s="42">
        <v>0</v>
      </c>
      <c r="O314" s="36">
        <v>80</v>
      </c>
      <c r="P314" s="41">
        <f t="shared" si="132"/>
        <v>95600</v>
      </c>
      <c r="Q314" s="36">
        <v>0</v>
      </c>
      <c r="R314" s="43">
        <f t="shared" si="133"/>
        <v>80</v>
      </c>
      <c r="S314" s="43">
        <f t="shared" si="134"/>
        <v>0</v>
      </c>
      <c r="T314" s="41">
        <f t="shared" si="135"/>
        <v>0</v>
      </c>
      <c r="U314" s="44">
        <f>O314</f>
        <v>80</v>
      </c>
      <c r="V314" s="45">
        <f t="shared" si="136"/>
        <v>95600</v>
      </c>
      <c r="W314" s="36">
        <v>80</v>
      </c>
      <c r="X314" s="86">
        <v>95600</v>
      </c>
      <c r="Y314" s="199">
        <v>1195</v>
      </c>
      <c r="Z314" s="44">
        <v>20</v>
      </c>
      <c r="AA314" s="41">
        <f t="shared" si="111"/>
        <v>23900</v>
      </c>
      <c r="AB314" s="44">
        <v>0</v>
      </c>
      <c r="AC314" s="44">
        <f t="shared" ref="AC314:AC344" si="138">AB314+AO314</f>
        <v>0</v>
      </c>
      <c r="AD314" s="44">
        <f t="shared" si="112"/>
        <v>20</v>
      </c>
      <c r="AE314" s="111">
        <f t="shared" si="113"/>
        <v>23900</v>
      </c>
      <c r="AF314" s="51" t="s">
        <v>571</v>
      </c>
      <c r="AG314" s="115"/>
      <c r="AH314" s="35">
        <v>0</v>
      </c>
      <c r="AI314" s="36">
        <v>0</v>
      </c>
      <c r="AJ314" s="36">
        <v>0</v>
      </c>
      <c r="AK314" s="36"/>
      <c r="AL314" s="36">
        <v>0</v>
      </c>
      <c r="AM314" s="36">
        <v>0</v>
      </c>
      <c r="AN314" s="46">
        <v>0</v>
      </c>
      <c r="AO314" s="100">
        <f t="shared" si="137"/>
        <v>0</v>
      </c>
      <c r="AP314" s="3">
        <f t="shared" si="114"/>
        <v>0</v>
      </c>
    </row>
    <row r="315" spans="1:42" x14ac:dyDescent="0.2">
      <c r="A315" s="35" t="s">
        <v>528</v>
      </c>
      <c r="B315" s="157" t="s">
        <v>565</v>
      </c>
      <c r="C315" s="37" t="s">
        <v>578</v>
      </c>
      <c r="D315" s="52">
        <v>46387</v>
      </c>
      <c r="E315" s="38" t="s">
        <v>758</v>
      </c>
      <c r="F315" s="36" t="s">
        <v>555</v>
      </c>
      <c r="G315" s="36" t="s">
        <v>583</v>
      </c>
      <c r="H315" s="39">
        <v>0</v>
      </c>
      <c r="I315" s="40">
        <v>0</v>
      </c>
      <c r="J315" s="39">
        <v>0</v>
      </c>
      <c r="K315" s="40">
        <v>0</v>
      </c>
      <c r="L315" s="37" t="s">
        <v>571</v>
      </c>
      <c r="M315" s="41" t="e">
        <v>#DIV/0!</v>
      </c>
      <c r="N315" s="42">
        <v>0</v>
      </c>
      <c r="O315" s="36">
        <v>0</v>
      </c>
      <c r="P315" s="41" t="e">
        <f t="shared" si="132"/>
        <v>#DIV/0!</v>
      </c>
      <c r="Q315" s="36">
        <v>90</v>
      </c>
      <c r="R315" s="43">
        <f t="shared" si="133"/>
        <v>-90</v>
      </c>
      <c r="S315" s="43">
        <f t="shared" si="134"/>
        <v>90</v>
      </c>
      <c r="T315" s="41" t="e">
        <f t="shared" si="135"/>
        <v>#DIV/0!</v>
      </c>
      <c r="U315" s="44">
        <f>Q315</f>
        <v>90</v>
      </c>
      <c r="V315" s="45" t="e">
        <f t="shared" si="136"/>
        <v>#DIV/0!</v>
      </c>
      <c r="W315" s="36">
        <v>0</v>
      </c>
      <c r="X315" s="86">
        <v>0</v>
      </c>
      <c r="Y315" s="199">
        <v>237</v>
      </c>
      <c r="Z315" s="44">
        <v>0</v>
      </c>
      <c r="AA315" s="41">
        <f t="shared" si="111"/>
        <v>0</v>
      </c>
      <c r="AB315" s="44">
        <v>0</v>
      </c>
      <c r="AC315" s="44">
        <f t="shared" si="138"/>
        <v>100</v>
      </c>
      <c r="AD315" s="44">
        <f t="shared" si="112"/>
        <v>100</v>
      </c>
      <c r="AE315" s="111">
        <f t="shared" si="113"/>
        <v>23700</v>
      </c>
      <c r="AF315" s="51" t="s">
        <v>578</v>
      </c>
      <c r="AG315" s="115"/>
      <c r="AH315" s="35">
        <v>0</v>
      </c>
      <c r="AI315" s="36">
        <v>100</v>
      </c>
      <c r="AJ315" s="36">
        <v>0</v>
      </c>
      <c r="AK315" s="36"/>
      <c r="AL315" s="36">
        <v>0</v>
      </c>
      <c r="AM315" s="36">
        <v>0</v>
      </c>
      <c r="AN315" s="46">
        <v>0</v>
      </c>
      <c r="AO315" s="100">
        <f t="shared" si="137"/>
        <v>100</v>
      </c>
      <c r="AP315" s="3"/>
    </row>
    <row r="316" spans="1:42" x14ac:dyDescent="0.2">
      <c r="A316" s="35" t="s">
        <v>370</v>
      </c>
      <c r="B316" s="37" t="s">
        <v>556</v>
      </c>
      <c r="C316" s="37" t="s">
        <v>571</v>
      </c>
      <c r="D316" s="52"/>
      <c r="E316" s="38" t="s">
        <v>759</v>
      </c>
      <c r="F316" s="36" t="s">
        <v>558</v>
      </c>
      <c r="G316" s="36" t="s">
        <v>582</v>
      </c>
      <c r="H316" s="39">
        <v>50</v>
      </c>
      <c r="I316" s="40">
        <v>27980</v>
      </c>
      <c r="J316" s="39">
        <v>105</v>
      </c>
      <c r="K316" s="40">
        <v>99878.200000000012</v>
      </c>
      <c r="L316" s="37" t="s">
        <v>571</v>
      </c>
      <c r="M316" s="41">
        <v>587.58000000000004</v>
      </c>
      <c r="N316" s="42">
        <v>0</v>
      </c>
      <c r="O316" s="36">
        <v>60</v>
      </c>
      <c r="P316" s="41">
        <f t="shared" si="132"/>
        <v>35254.800000000003</v>
      </c>
      <c r="Q316" s="36">
        <v>110</v>
      </c>
      <c r="R316" s="43">
        <f t="shared" si="133"/>
        <v>-50</v>
      </c>
      <c r="S316" s="43">
        <f t="shared" si="134"/>
        <v>15</v>
      </c>
      <c r="T316" s="41">
        <f t="shared" si="135"/>
        <v>8813.7000000000007</v>
      </c>
      <c r="U316" s="44">
        <v>75</v>
      </c>
      <c r="V316" s="45">
        <f t="shared" si="136"/>
        <v>44068.5</v>
      </c>
      <c r="W316" s="36">
        <v>60</v>
      </c>
      <c r="X316" s="86">
        <v>35254.800000000003</v>
      </c>
      <c r="Y316" s="199">
        <v>587.58000000000004</v>
      </c>
      <c r="Z316" s="44">
        <v>0</v>
      </c>
      <c r="AA316" s="41">
        <f t="shared" si="111"/>
        <v>0</v>
      </c>
      <c r="AB316" s="44">
        <v>0</v>
      </c>
      <c r="AC316" s="44">
        <f t="shared" si="138"/>
        <v>40</v>
      </c>
      <c r="AD316" s="44">
        <f t="shared" si="112"/>
        <v>40</v>
      </c>
      <c r="AE316" s="111">
        <f t="shared" si="113"/>
        <v>23503.200000000001</v>
      </c>
      <c r="AF316" s="51" t="s">
        <v>571</v>
      </c>
      <c r="AG316" s="115"/>
      <c r="AH316" s="35">
        <v>0</v>
      </c>
      <c r="AI316" s="36">
        <v>0</v>
      </c>
      <c r="AJ316" s="36">
        <v>0</v>
      </c>
      <c r="AK316" s="36"/>
      <c r="AL316" s="36">
        <v>0</v>
      </c>
      <c r="AM316" s="36">
        <v>40</v>
      </c>
      <c r="AN316" s="46">
        <v>0</v>
      </c>
      <c r="AO316" s="100">
        <f t="shared" si="137"/>
        <v>40</v>
      </c>
      <c r="AP316" s="3">
        <f t="shared" ref="AP316:AP378" si="139">AC316*Y316</f>
        <v>23503.200000000001</v>
      </c>
    </row>
    <row r="317" spans="1:42" x14ac:dyDescent="0.2">
      <c r="A317" s="35" t="s">
        <v>96</v>
      </c>
      <c r="B317" s="37" t="s">
        <v>565</v>
      </c>
      <c r="C317" s="37" t="s">
        <v>578</v>
      </c>
      <c r="D317" s="52">
        <v>46387</v>
      </c>
      <c r="E317" s="38" t="s">
        <v>754</v>
      </c>
      <c r="F317" s="36" t="s">
        <v>559</v>
      </c>
      <c r="G317" s="36" t="s">
        <v>613</v>
      </c>
      <c r="H317" s="39">
        <v>180</v>
      </c>
      <c r="I317" s="40">
        <v>27383.4</v>
      </c>
      <c r="J317" s="39">
        <v>0</v>
      </c>
      <c r="K317" s="40">
        <v>0</v>
      </c>
      <c r="L317" s="37" t="s">
        <v>571</v>
      </c>
      <c r="M317" s="41" t="e">
        <v>#DIV/0!</v>
      </c>
      <c r="N317" s="42">
        <v>0</v>
      </c>
      <c r="O317" s="36">
        <v>0</v>
      </c>
      <c r="P317" s="41" t="e">
        <f t="shared" si="132"/>
        <v>#DIV/0!</v>
      </c>
      <c r="Q317" s="36">
        <v>288</v>
      </c>
      <c r="R317" s="43">
        <f t="shared" si="133"/>
        <v>-288</v>
      </c>
      <c r="S317" s="43">
        <f t="shared" si="134"/>
        <v>150</v>
      </c>
      <c r="T317" s="41" t="e">
        <f t="shared" si="135"/>
        <v>#DIV/0!</v>
      </c>
      <c r="U317" s="44">
        <v>150</v>
      </c>
      <c r="V317" s="45" t="e">
        <f t="shared" si="136"/>
        <v>#DIV/0!</v>
      </c>
      <c r="W317" s="36">
        <v>0</v>
      </c>
      <c r="X317" s="86">
        <v>0</v>
      </c>
      <c r="Y317" s="199">
        <v>256.04000000000002</v>
      </c>
      <c r="Z317" s="44">
        <v>90</v>
      </c>
      <c r="AA317" s="41">
        <f t="shared" si="111"/>
        <v>23043.600000000002</v>
      </c>
      <c r="AB317" s="44">
        <v>0</v>
      </c>
      <c r="AC317" s="44">
        <f t="shared" si="138"/>
        <v>0</v>
      </c>
      <c r="AD317" s="44">
        <f t="shared" si="112"/>
        <v>90</v>
      </c>
      <c r="AE317" s="111">
        <f t="shared" si="113"/>
        <v>23043.600000000002</v>
      </c>
      <c r="AF317" s="51" t="s">
        <v>571</v>
      </c>
      <c r="AG317" s="115"/>
      <c r="AH317" s="35">
        <v>0</v>
      </c>
      <c r="AI317" s="36">
        <v>0</v>
      </c>
      <c r="AJ317" s="36">
        <v>0</v>
      </c>
      <c r="AK317" s="36"/>
      <c r="AL317" s="36">
        <v>0</v>
      </c>
      <c r="AM317" s="36">
        <v>0</v>
      </c>
      <c r="AN317" s="46">
        <v>0</v>
      </c>
      <c r="AO317" s="100">
        <f t="shared" si="137"/>
        <v>0</v>
      </c>
      <c r="AP317" s="3">
        <f t="shared" si="139"/>
        <v>0</v>
      </c>
    </row>
    <row r="318" spans="1:42" x14ac:dyDescent="0.2">
      <c r="A318" s="35" t="s">
        <v>326</v>
      </c>
      <c r="B318" s="37" t="s">
        <v>562</v>
      </c>
      <c r="C318" s="37" t="s">
        <v>571</v>
      </c>
      <c r="D318" s="52"/>
      <c r="E318" s="38" t="s">
        <v>774</v>
      </c>
      <c r="F318" s="36" t="s">
        <v>557</v>
      </c>
      <c r="G318" s="36" t="s">
        <v>581</v>
      </c>
      <c r="H318" s="39">
        <v>100</v>
      </c>
      <c r="I318" s="40">
        <v>8401</v>
      </c>
      <c r="J318" s="39">
        <v>300</v>
      </c>
      <c r="K318" s="40">
        <v>27944</v>
      </c>
      <c r="L318" s="37" t="s">
        <v>571</v>
      </c>
      <c r="M318" s="41">
        <v>104.7</v>
      </c>
      <c r="N318" s="42">
        <v>0</v>
      </c>
      <c r="O318" s="36">
        <v>204</v>
      </c>
      <c r="P318" s="41">
        <f t="shared" si="132"/>
        <v>21358.799999999999</v>
      </c>
      <c r="Q318" s="36">
        <v>304</v>
      </c>
      <c r="R318" s="43">
        <f t="shared" si="133"/>
        <v>-100</v>
      </c>
      <c r="S318" s="43">
        <f t="shared" si="134"/>
        <v>0</v>
      </c>
      <c r="T318" s="41">
        <f t="shared" si="135"/>
        <v>0</v>
      </c>
      <c r="U318" s="44">
        <f>O318</f>
        <v>204</v>
      </c>
      <c r="V318" s="45">
        <f t="shared" si="136"/>
        <v>21358.799999999999</v>
      </c>
      <c r="W318" s="36">
        <v>204</v>
      </c>
      <c r="X318" s="86">
        <v>21358.799999999999</v>
      </c>
      <c r="Y318" s="199">
        <v>112.56</v>
      </c>
      <c r="Z318" s="44">
        <v>100</v>
      </c>
      <c r="AA318" s="41">
        <f t="shared" si="111"/>
        <v>11256</v>
      </c>
      <c r="AB318" s="44">
        <v>0</v>
      </c>
      <c r="AC318" s="44">
        <f t="shared" si="138"/>
        <v>100</v>
      </c>
      <c r="AD318" s="44">
        <f t="shared" si="112"/>
        <v>200</v>
      </c>
      <c r="AE318" s="111">
        <f t="shared" si="113"/>
        <v>22512</v>
      </c>
      <c r="AF318" s="51" t="s">
        <v>571</v>
      </c>
      <c r="AG318" s="115"/>
      <c r="AH318" s="35">
        <v>0</v>
      </c>
      <c r="AI318" s="36">
        <v>0</v>
      </c>
      <c r="AJ318" s="36">
        <v>100</v>
      </c>
      <c r="AK318" s="36"/>
      <c r="AL318" s="36">
        <v>0</v>
      </c>
      <c r="AM318" s="36">
        <v>0</v>
      </c>
      <c r="AN318" s="46">
        <v>0</v>
      </c>
      <c r="AO318" s="100">
        <f t="shared" si="137"/>
        <v>100</v>
      </c>
      <c r="AP318" s="3">
        <f t="shared" si="139"/>
        <v>11256</v>
      </c>
    </row>
    <row r="319" spans="1:42" x14ac:dyDescent="0.2">
      <c r="A319" s="35" t="s">
        <v>235</v>
      </c>
      <c r="B319" s="37" t="s">
        <v>556</v>
      </c>
      <c r="C319" s="37" t="s">
        <v>578</v>
      </c>
      <c r="D319" s="52">
        <v>46387</v>
      </c>
      <c r="E319" s="38" t="s">
        <v>754</v>
      </c>
      <c r="F319" s="36" t="s">
        <v>559</v>
      </c>
      <c r="G319" s="36" t="s">
        <v>601</v>
      </c>
      <c r="H319" s="39">
        <v>132</v>
      </c>
      <c r="I319" s="40">
        <v>17903.16</v>
      </c>
      <c r="J319" s="39">
        <v>319</v>
      </c>
      <c r="K319" s="40">
        <v>43265.969999999994</v>
      </c>
      <c r="L319" s="37" t="s">
        <v>578</v>
      </c>
      <c r="M319" s="41">
        <v>135.63000000000002</v>
      </c>
      <c r="N319" s="42">
        <v>0</v>
      </c>
      <c r="O319" s="36">
        <v>361</v>
      </c>
      <c r="P319" s="41">
        <f t="shared" si="132"/>
        <v>48962.430000000008</v>
      </c>
      <c r="Q319" s="36">
        <v>73</v>
      </c>
      <c r="R319" s="43">
        <f t="shared" si="133"/>
        <v>288</v>
      </c>
      <c r="S319" s="43">
        <f t="shared" si="134"/>
        <v>0</v>
      </c>
      <c r="T319" s="41">
        <f t="shared" si="135"/>
        <v>0</v>
      </c>
      <c r="U319" s="44">
        <f>O319</f>
        <v>361</v>
      </c>
      <c r="V319" s="45">
        <f t="shared" si="136"/>
        <v>48962.430000000008</v>
      </c>
      <c r="W319" s="36">
        <v>353</v>
      </c>
      <c r="X319" s="86">
        <v>47877.390000000007</v>
      </c>
      <c r="Y319" s="199">
        <v>135.63</v>
      </c>
      <c r="Z319" s="44">
        <v>0</v>
      </c>
      <c r="AA319" s="41">
        <f t="shared" si="111"/>
        <v>0</v>
      </c>
      <c r="AB319" s="44">
        <v>0</v>
      </c>
      <c r="AC319" s="44">
        <f t="shared" si="138"/>
        <v>165</v>
      </c>
      <c r="AD319" s="44">
        <f t="shared" si="112"/>
        <v>165</v>
      </c>
      <c r="AE319" s="111">
        <f t="shared" si="113"/>
        <v>22378.95</v>
      </c>
      <c r="AF319" s="51" t="s">
        <v>571</v>
      </c>
      <c r="AG319" s="115"/>
      <c r="AH319" s="35">
        <v>165</v>
      </c>
      <c r="AI319" s="36">
        <v>0</v>
      </c>
      <c r="AJ319" s="36">
        <v>0</v>
      </c>
      <c r="AK319" s="36"/>
      <c r="AL319" s="36">
        <v>0</v>
      </c>
      <c r="AM319" s="36">
        <v>0</v>
      </c>
      <c r="AN319" s="46">
        <v>0</v>
      </c>
      <c r="AO319" s="100">
        <f t="shared" si="137"/>
        <v>165</v>
      </c>
      <c r="AP319" s="3">
        <f t="shared" si="139"/>
        <v>22378.95</v>
      </c>
    </row>
    <row r="320" spans="1:42" x14ac:dyDescent="0.2">
      <c r="A320" s="35" t="s">
        <v>112</v>
      </c>
      <c r="B320" s="37" t="s">
        <v>556</v>
      </c>
      <c r="C320" s="37" t="s">
        <v>578</v>
      </c>
      <c r="D320" s="52">
        <v>46752</v>
      </c>
      <c r="E320" s="38" t="s">
        <v>772</v>
      </c>
      <c r="F320" s="36" t="s">
        <v>559</v>
      </c>
      <c r="G320" s="36" t="s">
        <v>603</v>
      </c>
      <c r="H320" s="39">
        <v>880</v>
      </c>
      <c r="I320" s="40">
        <v>124910.39999999999</v>
      </c>
      <c r="J320" s="39">
        <v>840</v>
      </c>
      <c r="K320" s="40">
        <v>127916</v>
      </c>
      <c r="L320" s="37" t="s">
        <v>578</v>
      </c>
      <c r="M320" s="41">
        <v>154.92000000000002</v>
      </c>
      <c r="N320" s="42">
        <v>0</v>
      </c>
      <c r="O320" s="36">
        <v>20</v>
      </c>
      <c r="P320" s="41">
        <f t="shared" si="132"/>
        <v>3098.4000000000005</v>
      </c>
      <c r="Q320" s="36">
        <v>170</v>
      </c>
      <c r="R320" s="43">
        <f t="shared" si="133"/>
        <v>-150</v>
      </c>
      <c r="S320" s="43">
        <f t="shared" si="134"/>
        <v>480</v>
      </c>
      <c r="T320" s="41">
        <f t="shared" si="135"/>
        <v>74361.600000000006</v>
      </c>
      <c r="U320" s="44">
        <v>500</v>
      </c>
      <c r="V320" s="45">
        <f t="shared" si="136"/>
        <v>77460.000000000015</v>
      </c>
      <c r="W320" s="36">
        <v>383</v>
      </c>
      <c r="X320" s="86">
        <v>59334.360000000008</v>
      </c>
      <c r="Y320" s="199">
        <v>154.91999999999999</v>
      </c>
      <c r="Z320" s="44">
        <v>140</v>
      </c>
      <c r="AA320" s="41">
        <f t="shared" si="111"/>
        <v>21688.799999999999</v>
      </c>
      <c r="AB320" s="44">
        <v>0</v>
      </c>
      <c r="AC320" s="44">
        <f t="shared" si="138"/>
        <v>0</v>
      </c>
      <c r="AD320" s="44">
        <f t="shared" si="112"/>
        <v>140</v>
      </c>
      <c r="AE320" s="111">
        <f t="shared" si="113"/>
        <v>21688.799999999999</v>
      </c>
      <c r="AF320" s="51" t="s">
        <v>578</v>
      </c>
      <c r="AG320" s="115"/>
      <c r="AH320" s="35">
        <v>0</v>
      </c>
      <c r="AI320" s="36">
        <v>0</v>
      </c>
      <c r="AJ320" s="36">
        <v>0</v>
      </c>
      <c r="AK320" s="36"/>
      <c r="AL320" s="36">
        <v>0</v>
      </c>
      <c r="AM320" s="36">
        <v>0</v>
      </c>
      <c r="AN320" s="46">
        <v>0</v>
      </c>
      <c r="AO320" s="100">
        <f t="shared" si="137"/>
        <v>0</v>
      </c>
      <c r="AP320" s="3">
        <f t="shared" si="139"/>
        <v>0</v>
      </c>
    </row>
    <row r="321" spans="1:42" x14ac:dyDescent="0.2">
      <c r="A321" s="35" t="s">
        <v>199</v>
      </c>
      <c r="B321" s="37" t="s">
        <v>556</v>
      </c>
      <c r="C321" s="37" t="s">
        <v>578</v>
      </c>
      <c r="D321" s="52">
        <v>46752</v>
      </c>
      <c r="E321" s="38" t="s">
        <v>772</v>
      </c>
      <c r="F321" s="36" t="s">
        <v>559</v>
      </c>
      <c r="G321" s="36" t="s">
        <v>637</v>
      </c>
      <c r="H321" s="39">
        <v>4650</v>
      </c>
      <c r="I321" s="40">
        <v>141439.5</v>
      </c>
      <c r="J321" s="39">
        <v>1620</v>
      </c>
      <c r="K321" s="40">
        <v>51249.4</v>
      </c>
      <c r="L321" s="37" t="s">
        <v>578</v>
      </c>
      <c r="M321" s="41">
        <v>32.14</v>
      </c>
      <c r="N321" s="42">
        <v>0</v>
      </c>
      <c r="O321" s="36">
        <v>1460</v>
      </c>
      <c r="P321" s="41">
        <f t="shared" si="132"/>
        <v>46924.4</v>
      </c>
      <c r="Q321" s="36">
        <v>423</v>
      </c>
      <c r="R321" s="43">
        <f t="shared" si="133"/>
        <v>1037</v>
      </c>
      <c r="S321" s="43">
        <f t="shared" si="134"/>
        <v>0</v>
      </c>
      <c r="T321" s="41">
        <f t="shared" si="135"/>
        <v>0</v>
      </c>
      <c r="U321" s="44">
        <f>O321</f>
        <v>1460</v>
      </c>
      <c r="V321" s="45">
        <f t="shared" si="136"/>
        <v>46924.4</v>
      </c>
      <c r="W321" s="36">
        <v>1260</v>
      </c>
      <c r="X321" s="86">
        <v>40496.400000000001</v>
      </c>
      <c r="Y321" s="199">
        <v>32.14</v>
      </c>
      <c r="Z321" s="44">
        <v>664</v>
      </c>
      <c r="AA321" s="41">
        <f t="shared" si="111"/>
        <v>21340.959999999999</v>
      </c>
      <c r="AB321" s="44">
        <v>0</v>
      </c>
      <c r="AC321" s="44">
        <f t="shared" si="138"/>
        <v>0</v>
      </c>
      <c r="AD321" s="44">
        <f t="shared" si="112"/>
        <v>664</v>
      </c>
      <c r="AE321" s="111">
        <f t="shared" si="113"/>
        <v>21340.959999999999</v>
      </c>
      <c r="AF321" s="51" t="s">
        <v>578</v>
      </c>
      <c r="AG321" s="115"/>
      <c r="AH321" s="35">
        <v>0</v>
      </c>
      <c r="AI321" s="36">
        <v>0</v>
      </c>
      <c r="AJ321" s="36">
        <v>0</v>
      </c>
      <c r="AK321" s="36"/>
      <c r="AL321" s="36">
        <v>0</v>
      </c>
      <c r="AM321" s="36">
        <v>0</v>
      </c>
      <c r="AN321" s="46">
        <v>0</v>
      </c>
      <c r="AO321" s="100">
        <f t="shared" si="137"/>
        <v>0</v>
      </c>
      <c r="AP321" s="3">
        <f t="shared" si="139"/>
        <v>0</v>
      </c>
    </row>
    <row r="322" spans="1:42" x14ac:dyDescent="0.2">
      <c r="A322" s="35" t="s">
        <v>365</v>
      </c>
      <c r="B322" s="37" t="s">
        <v>556</v>
      </c>
      <c r="C322" s="37" t="s">
        <v>578</v>
      </c>
      <c r="D322" s="52">
        <v>46387</v>
      </c>
      <c r="E322" s="38" t="s">
        <v>754</v>
      </c>
      <c r="F322" s="36" t="s">
        <v>557</v>
      </c>
      <c r="G322" s="36" t="s">
        <v>630</v>
      </c>
      <c r="H322" s="39">
        <v>51</v>
      </c>
      <c r="I322" s="40">
        <v>22593</v>
      </c>
      <c r="J322" s="39">
        <v>45</v>
      </c>
      <c r="K322" s="40">
        <v>19935</v>
      </c>
      <c r="L322" s="37" t="s">
        <v>578</v>
      </c>
      <c r="M322" s="41">
        <v>443</v>
      </c>
      <c r="N322" s="42">
        <v>0</v>
      </c>
      <c r="O322" s="36">
        <v>24</v>
      </c>
      <c r="P322" s="41">
        <f t="shared" si="132"/>
        <v>10632</v>
      </c>
      <c r="Q322" s="36">
        <v>24</v>
      </c>
      <c r="R322" s="43">
        <f t="shared" si="133"/>
        <v>0</v>
      </c>
      <c r="S322" s="43">
        <f t="shared" si="134"/>
        <v>1</v>
      </c>
      <c r="T322" s="41">
        <f t="shared" si="135"/>
        <v>443</v>
      </c>
      <c r="U322" s="44">
        <v>25</v>
      </c>
      <c r="V322" s="45">
        <f t="shared" si="136"/>
        <v>11075</v>
      </c>
      <c r="W322" s="36">
        <v>26</v>
      </c>
      <c r="X322" s="86">
        <v>11518</v>
      </c>
      <c r="Y322" s="199">
        <v>443</v>
      </c>
      <c r="Z322" s="44">
        <v>28</v>
      </c>
      <c r="AA322" s="41">
        <f t="shared" ref="AA322:AA384" si="140">Z322*Y322</f>
        <v>12404</v>
      </c>
      <c r="AB322" s="44">
        <v>0</v>
      </c>
      <c r="AC322" s="44">
        <f t="shared" si="138"/>
        <v>20</v>
      </c>
      <c r="AD322" s="44">
        <f t="shared" ref="AD322:AD384" si="141">AC322+Z322</f>
        <v>48</v>
      </c>
      <c r="AE322" s="111">
        <f t="shared" ref="AE322:AE384" si="142">AD322*Y322</f>
        <v>21264</v>
      </c>
      <c r="AF322" s="51" t="s">
        <v>578</v>
      </c>
      <c r="AG322" s="115"/>
      <c r="AH322" s="35">
        <v>20</v>
      </c>
      <c r="AI322" s="36">
        <v>0</v>
      </c>
      <c r="AJ322" s="36">
        <v>0</v>
      </c>
      <c r="AK322" s="36"/>
      <c r="AL322" s="36">
        <v>0</v>
      </c>
      <c r="AM322" s="36">
        <v>0</v>
      </c>
      <c r="AN322" s="46">
        <v>0</v>
      </c>
      <c r="AO322" s="100">
        <f t="shared" si="137"/>
        <v>20</v>
      </c>
      <c r="AP322" s="3">
        <f t="shared" si="139"/>
        <v>8860</v>
      </c>
    </row>
    <row r="323" spans="1:42" x14ac:dyDescent="0.2">
      <c r="A323" s="35" t="s">
        <v>134</v>
      </c>
      <c r="B323" s="37" t="s">
        <v>556</v>
      </c>
      <c r="C323" s="37" t="s">
        <v>578</v>
      </c>
      <c r="D323" s="52">
        <v>46387</v>
      </c>
      <c r="E323" s="38" t="s">
        <v>754</v>
      </c>
      <c r="F323" s="36" t="s">
        <v>559</v>
      </c>
      <c r="G323" s="36" t="s">
        <v>601</v>
      </c>
      <c r="H323" s="39">
        <v>12</v>
      </c>
      <c r="I323" s="40">
        <v>2358.2399999999998</v>
      </c>
      <c r="J323" s="39">
        <v>37</v>
      </c>
      <c r="K323" s="40">
        <v>7271.2400000000034</v>
      </c>
      <c r="L323" s="37" t="s">
        <v>571</v>
      </c>
      <c r="M323" s="41">
        <v>196.52</v>
      </c>
      <c r="N323" s="42">
        <v>0</v>
      </c>
      <c r="O323" s="36">
        <v>55</v>
      </c>
      <c r="P323" s="41">
        <f t="shared" si="132"/>
        <v>10808.6</v>
      </c>
      <c r="Q323" s="36">
        <v>31</v>
      </c>
      <c r="R323" s="43">
        <f t="shared" si="133"/>
        <v>24</v>
      </c>
      <c r="S323" s="43">
        <f t="shared" si="134"/>
        <v>0</v>
      </c>
      <c r="T323" s="41">
        <f t="shared" si="135"/>
        <v>0</v>
      </c>
      <c r="U323" s="44">
        <v>55</v>
      </c>
      <c r="V323" s="45">
        <f t="shared" si="136"/>
        <v>10808.6</v>
      </c>
      <c r="W323" s="36">
        <v>55</v>
      </c>
      <c r="X323" s="86">
        <v>10808.6</v>
      </c>
      <c r="Y323" s="199">
        <v>196.52</v>
      </c>
      <c r="Z323" s="44">
        <v>79</v>
      </c>
      <c r="AA323" s="41">
        <f t="shared" si="140"/>
        <v>15525.08</v>
      </c>
      <c r="AB323" s="44">
        <v>0</v>
      </c>
      <c r="AC323" s="44">
        <f t="shared" si="138"/>
        <v>27</v>
      </c>
      <c r="AD323" s="44">
        <f t="shared" si="141"/>
        <v>106</v>
      </c>
      <c r="AE323" s="111">
        <f t="shared" si="142"/>
        <v>20831.120000000003</v>
      </c>
      <c r="AF323" s="51" t="s">
        <v>571</v>
      </c>
      <c r="AG323" s="115"/>
      <c r="AH323" s="35">
        <v>27</v>
      </c>
      <c r="AI323" s="36">
        <v>0</v>
      </c>
      <c r="AJ323" s="36">
        <v>0</v>
      </c>
      <c r="AK323" s="36"/>
      <c r="AL323" s="36">
        <v>0</v>
      </c>
      <c r="AM323" s="36">
        <v>0</v>
      </c>
      <c r="AN323" s="46">
        <v>0</v>
      </c>
      <c r="AO323" s="100">
        <f t="shared" si="137"/>
        <v>27</v>
      </c>
      <c r="AP323" s="3">
        <f t="shared" si="139"/>
        <v>5306.04</v>
      </c>
    </row>
    <row r="324" spans="1:42" x14ac:dyDescent="0.2">
      <c r="A324" s="35" t="s">
        <v>295</v>
      </c>
      <c r="B324" s="37" t="s">
        <v>556</v>
      </c>
      <c r="C324" s="37" t="s">
        <v>578</v>
      </c>
      <c r="D324" s="52">
        <v>46387</v>
      </c>
      <c r="E324" s="38" t="s">
        <v>754</v>
      </c>
      <c r="F324" s="36" t="s">
        <v>557</v>
      </c>
      <c r="G324" s="36" t="s">
        <v>618</v>
      </c>
      <c r="H324" s="39">
        <v>1296</v>
      </c>
      <c r="I324" s="40">
        <v>76464</v>
      </c>
      <c r="J324" s="39">
        <v>408</v>
      </c>
      <c r="K324" s="40">
        <v>24072</v>
      </c>
      <c r="L324" s="37" t="s">
        <v>578</v>
      </c>
      <c r="M324" s="41">
        <v>59</v>
      </c>
      <c r="N324" s="42">
        <v>0</v>
      </c>
      <c r="O324" s="36">
        <v>404</v>
      </c>
      <c r="P324" s="41">
        <f t="shared" si="132"/>
        <v>23836</v>
      </c>
      <c r="Q324" s="36">
        <v>110</v>
      </c>
      <c r="R324" s="43">
        <f t="shared" si="133"/>
        <v>294</v>
      </c>
      <c r="S324" s="43">
        <f t="shared" si="134"/>
        <v>0</v>
      </c>
      <c r="T324" s="41">
        <f t="shared" si="135"/>
        <v>0</v>
      </c>
      <c r="U324" s="44">
        <f>O324</f>
        <v>404</v>
      </c>
      <c r="V324" s="45">
        <f t="shared" si="136"/>
        <v>23836</v>
      </c>
      <c r="W324" s="36">
        <v>359</v>
      </c>
      <c r="X324" s="86">
        <v>21181</v>
      </c>
      <c r="Y324" s="199">
        <v>59</v>
      </c>
      <c r="Z324" s="44">
        <v>124</v>
      </c>
      <c r="AA324" s="41">
        <f t="shared" si="140"/>
        <v>7316</v>
      </c>
      <c r="AB324" s="44">
        <v>0</v>
      </c>
      <c r="AC324" s="44">
        <f t="shared" si="138"/>
        <v>226</v>
      </c>
      <c r="AD324" s="44">
        <f t="shared" si="141"/>
        <v>350</v>
      </c>
      <c r="AE324" s="111">
        <f t="shared" si="142"/>
        <v>20650</v>
      </c>
      <c r="AF324" s="51" t="s">
        <v>578</v>
      </c>
      <c r="AG324" s="115"/>
      <c r="AH324" s="35">
        <v>226</v>
      </c>
      <c r="AI324" s="36">
        <v>0</v>
      </c>
      <c r="AJ324" s="36">
        <v>0</v>
      </c>
      <c r="AK324" s="36"/>
      <c r="AL324" s="36">
        <v>0</v>
      </c>
      <c r="AM324" s="36">
        <v>0</v>
      </c>
      <c r="AN324" s="46">
        <v>0</v>
      </c>
      <c r="AO324" s="100">
        <f t="shared" si="137"/>
        <v>226</v>
      </c>
      <c r="AP324" s="3">
        <f t="shared" si="139"/>
        <v>13334</v>
      </c>
    </row>
    <row r="325" spans="1:42" x14ac:dyDescent="0.2">
      <c r="A325" s="35" t="s">
        <v>233</v>
      </c>
      <c r="B325" s="37" t="s">
        <v>556</v>
      </c>
      <c r="C325" s="37" t="s">
        <v>578</v>
      </c>
      <c r="D325" s="52">
        <v>46387</v>
      </c>
      <c r="E325" s="38" t="s">
        <v>754</v>
      </c>
      <c r="F325" s="36" t="s">
        <v>559</v>
      </c>
      <c r="G325" s="36" t="s">
        <v>601</v>
      </c>
      <c r="H325" s="39">
        <v>119</v>
      </c>
      <c r="I325" s="40">
        <v>16294.669999999996</v>
      </c>
      <c r="J325" s="39">
        <v>279</v>
      </c>
      <c r="K325" s="40">
        <v>38203.469999999994</v>
      </c>
      <c r="L325" s="37" t="s">
        <v>578</v>
      </c>
      <c r="M325" s="41">
        <v>136.92999999999998</v>
      </c>
      <c r="N325" s="42">
        <v>0</v>
      </c>
      <c r="O325" s="36">
        <v>329</v>
      </c>
      <c r="P325" s="41">
        <f t="shared" si="132"/>
        <v>45049.969999999994</v>
      </c>
      <c r="Q325" s="36">
        <v>117</v>
      </c>
      <c r="R325" s="43">
        <f t="shared" si="133"/>
        <v>212</v>
      </c>
      <c r="S325" s="43">
        <f t="shared" si="134"/>
        <v>0</v>
      </c>
      <c r="T325" s="41">
        <f t="shared" si="135"/>
        <v>0</v>
      </c>
      <c r="U325" s="44">
        <f>O325</f>
        <v>329</v>
      </c>
      <c r="V325" s="45">
        <f t="shared" si="136"/>
        <v>45049.969999999994</v>
      </c>
      <c r="W325" s="36">
        <v>335</v>
      </c>
      <c r="X325" s="86">
        <v>45871.549999999996</v>
      </c>
      <c r="Y325" s="199">
        <v>136.93</v>
      </c>
      <c r="Z325" s="44">
        <v>0</v>
      </c>
      <c r="AA325" s="41">
        <f t="shared" si="140"/>
        <v>0</v>
      </c>
      <c r="AB325" s="44">
        <v>0</v>
      </c>
      <c r="AC325" s="44">
        <f t="shared" si="138"/>
        <v>150</v>
      </c>
      <c r="AD325" s="44">
        <f t="shared" si="141"/>
        <v>150</v>
      </c>
      <c r="AE325" s="111">
        <f t="shared" si="142"/>
        <v>20539.5</v>
      </c>
      <c r="AF325" s="51" t="s">
        <v>571</v>
      </c>
      <c r="AG325" s="115"/>
      <c r="AH325" s="35">
        <v>150</v>
      </c>
      <c r="AI325" s="36">
        <v>0</v>
      </c>
      <c r="AJ325" s="36">
        <v>0</v>
      </c>
      <c r="AK325" s="36"/>
      <c r="AL325" s="36">
        <v>0</v>
      </c>
      <c r="AM325" s="36">
        <v>0</v>
      </c>
      <c r="AN325" s="46">
        <v>0</v>
      </c>
      <c r="AO325" s="100">
        <f t="shared" si="137"/>
        <v>150</v>
      </c>
      <c r="AP325" s="3">
        <f t="shared" si="139"/>
        <v>20539.5</v>
      </c>
    </row>
    <row r="326" spans="1:42" x14ac:dyDescent="0.2">
      <c r="A326" s="35" t="s">
        <v>193</v>
      </c>
      <c r="B326" s="37" t="s">
        <v>565</v>
      </c>
      <c r="C326" s="37" t="s">
        <v>571</v>
      </c>
      <c r="D326" s="52"/>
      <c r="E326" s="38" t="s">
        <v>766</v>
      </c>
      <c r="F326" s="36" t="s">
        <v>559</v>
      </c>
      <c r="G326" s="36" t="s">
        <v>598</v>
      </c>
      <c r="H326" s="39">
        <v>177</v>
      </c>
      <c r="I326" s="40">
        <v>18377.91</v>
      </c>
      <c r="J326" s="39">
        <v>20</v>
      </c>
      <c r="K326" s="40">
        <v>2076.6000000000004</v>
      </c>
      <c r="L326" s="37" t="s">
        <v>571</v>
      </c>
      <c r="M326" s="41">
        <v>103.82999999999996</v>
      </c>
      <c r="N326" s="42">
        <v>0</v>
      </c>
      <c r="O326" s="36">
        <v>164</v>
      </c>
      <c r="P326" s="41">
        <f t="shared" si="132"/>
        <v>17028.119999999992</v>
      </c>
      <c r="Q326" s="36">
        <v>58</v>
      </c>
      <c r="R326" s="43">
        <f t="shared" si="133"/>
        <v>106</v>
      </c>
      <c r="S326" s="43">
        <f t="shared" si="134"/>
        <v>11</v>
      </c>
      <c r="T326" s="41">
        <f t="shared" si="135"/>
        <v>1142.1299999999994</v>
      </c>
      <c r="U326" s="44">
        <v>175</v>
      </c>
      <c r="V326" s="45">
        <f t="shared" si="136"/>
        <v>18170.249999999993</v>
      </c>
      <c r="W326" s="36">
        <v>114</v>
      </c>
      <c r="X326" s="86">
        <v>11836.619999999995</v>
      </c>
      <c r="Y326" s="199">
        <v>103.83000000000001</v>
      </c>
      <c r="Z326" s="44">
        <v>95</v>
      </c>
      <c r="AA326" s="41">
        <f t="shared" si="140"/>
        <v>9863.85</v>
      </c>
      <c r="AB326" s="44">
        <v>0</v>
      </c>
      <c r="AC326" s="44">
        <f t="shared" si="138"/>
        <v>102</v>
      </c>
      <c r="AD326" s="44">
        <f t="shared" si="141"/>
        <v>197</v>
      </c>
      <c r="AE326" s="111">
        <f t="shared" si="142"/>
        <v>20454.510000000002</v>
      </c>
      <c r="AF326" s="51" t="s">
        <v>571</v>
      </c>
      <c r="AG326" s="115"/>
      <c r="AH326" s="35">
        <v>102</v>
      </c>
      <c r="AI326" s="36">
        <v>0</v>
      </c>
      <c r="AJ326" s="36">
        <v>0</v>
      </c>
      <c r="AK326" s="36"/>
      <c r="AL326" s="36">
        <v>0</v>
      </c>
      <c r="AM326" s="36">
        <v>0</v>
      </c>
      <c r="AN326" s="46">
        <v>0</v>
      </c>
      <c r="AO326" s="100">
        <f t="shared" si="137"/>
        <v>102</v>
      </c>
      <c r="AP326" s="3">
        <f t="shared" si="139"/>
        <v>10590.660000000002</v>
      </c>
    </row>
    <row r="327" spans="1:42" x14ac:dyDescent="0.2">
      <c r="A327" s="35" t="s">
        <v>699</v>
      </c>
      <c r="B327" s="37" t="s">
        <v>556</v>
      </c>
      <c r="C327" s="37" t="s">
        <v>578</v>
      </c>
      <c r="D327" s="52">
        <v>46387</v>
      </c>
      <c r="E327" s="38" t="s">
        <v>754</v>
      </c>
      <c r="F327" s="36" t="s">
        <v>559</v>
      </c>
      <c r="G327" s="36" t="s">
        <v>731</v>
      </c>
      <c r="H327" s="39">
        <v>200</v>
      </c>
      <c r="I327" s="40">
        <v>15922</v>
      </c>
      <c r="J327" s="39">
        <v>300</v>
      </c>
      <c r="K327" s="40">
        <v>23883</v>
      </c>
      <c r="L327" s="37" t="s">
        <v>571</v>
      </c>
      <c r="M327" s="41">
        <v>79.61</v>
      </c>
      <c r="N327" s="42">
        <v>0</v>
      </c>
      <c r="O327" s="36">
        <v>50</v>
      </c>
      <c r="P327" s="41">
        <f t="shared" si="132"/>
        <v>3980.5</v>
      </c>
      <c r="Q327" s="36">
        <v>0</v>
      </c>
      <c r="R327" s="43">
        <f t="shared" si="133"/>
        <v>50</v>
      </c>
      <c r="S327" s="43">
        <f t="shared" si="134"/>
        <v>0</v>
      </c>
      <c r="T327" s="41">
        <f t="shared" si="135"/>
        <v>0</v>
      </c>
      <c r="U327" s="44">
        <f>O327</f>
        <v>50</v>
      </c>
      <c r="V327" s="45">
        <f t="shared" si="136"/>
        <v>3980.5</v>
      </c>
      <c r="W327" s="36">
        <v>50</v>
      </c>
      <c r="X327" s="86">
        <v>3980.5</v>
      </c>
      <c r="Y327" s="199">
        <v>79.61</v>
      </c>
      <c r="Z327" s="44">
        <v>0</v>
      </c>
      <c r="AA327" s="41">
        <f t="shared" si="140"/>
        <v>0</v>
      </c>
      <c r="AB327" s="44">
        <v>0</v>
      </c>
      <c r="AC327" s="44">
        <f t="shared" si="138"/>
        <v>250</v>
      </c>
      <c r="AD327" s="44">
        <f t="shared" si="141"/>
        <v>250</v>
      </c>
      <c r="AE327" s="111">
        <f t="shared" si="142"/>
        <v>19902.5</v>
      </c>
      <c r="AF327" s="51" t="s">
        <v>571</v>
      </c>
      <c r="AG327" s="115"/>
      <c r="AH327" s="35">
        <v>250</v>
      </c>
      <c r="AI327" s="36">
        <v>0</v>
      </c>
      <c r="AJ327" s="36">
        <v>0</v>
      </c>
      <c r="AK327" s="36"/>
      <c r="AL327" s="36">
        <v>0</v>
      </c>
      <c r="AM327" s="36">
        <v>0</v>
      </c>
      <c r="AN327" s="46">
        <v>0</v>
      </c>
      <c r="AO327" s="100">
        <f t="shared" si="137"/>
        <v>250</v>
      </c>
      <c r="AP327" s="3">
        <f t="shared" si="139"/>
        <v>19902.5</v>
      </c>
    </row>
    <row r="328" spans="1:42" x14ac:dyDescent="0.2">
      <c r="A328" s="35" t="s">
        <v>343</v>
      </c>
      <c r="B328" s="37" t="s">
        <v>562</v>
      </c>
      <c r="C328" s="37" t="s">
        <v>578</v>
      </c>
      <c r="D328" s="52">
        <v>46387</v>
      </c>
      <c r="E328" s="38" t="s">
        <v>754</v>
      </c>
      <c r="F328" s="36" t="s">
        <v>557</v>
      </c>
      <c r="G328" s="36" t="s">
        <v>592</v>
      </c>
      <c r="H328" s="39">
        <v>27</v>
      </c>
      <c r="I328" s="40">
        <v>16578</v>
      </c>
      <c r="J328" s="39">
        <v>45</v>
      </c>
      <c r="K328" s="40">
        <v>28710</v>
      </c>
      <c r="L328" s="37" t="s">
        <v>571</v>
      </c>
      <c r="M328" s="41">
        <v>638</v>
      </c>
      <c r="N328" s="42">
        <v>0</v>
      </c>
      <c r="O328" s="36">
        <v>9</v>
      </c>
      <c r="P328" s="41">
        <f t="shared" si="132"/>
        <v>5742</v>
      </c>
      <c r="Q328" s="36">
        <v>0</v>
      </c>
      <c r="R328" s="43">
        <f t="shared" si="133"/>
        <v>9</v>
      </c>
      <c r="S328" s="43">
        <f t="shared" si="134"/>
        <v>16</v>
      </c>
      <c r="T328" s="41">
        <f t="shared" si="135"/>
        <v>10208</v>
      </c>
      <c r="U328" s="44">
        <v>25</v>
      </c>
      <c r="V328" s="45">
        <f t="shared" si="136"/>
        <v>15950</v>
      </c>
      <c r="W328" s="36">
        <v>9</v>
      </c>
      <c r="X328" s="86">
        <v>5742</v>
      </c>
      <c r="Y328" s="199">
        <v>638</v>
      </c>
      <c r="Z328" s="44">
        <v>0</v>
      </c>
      <c r="AA328" s="41">
        <f t="shared" si="140"/>
        <v>0</v>
      </c>
      <c r="AB328" s="44">
        <v>0</v>
      </c>
      <c r="AC328" s="44">
        <f t="shared" si="138"/>
        <v>30</v>
      </c>
      <c r="AD328" s="44">
        <f t="shared" si="141"/>
        <v>30</v>
      </c>
      <c r="AE328" s="111">
        <f t="shared" si="142"/>
        <v>19140</v>
      </c>
      <c r="AF328" s="51" t="s">
        <v>571</v>
      </c>
      <c r="AG328" s="115" t="s">
        <v>1075</v>
      </c>
      <c r="AH328" s="35">
        <v>0</v>
      </c>
      <c r="AI328" s="36">
        <v>0</v>
      </c>
      <c r="AJ328" s="36">
        <v>0</v>
      </c>
      <c r="AK328" s="36"/>
      <c r="AL328" s="36">
        <v>30</v>
      </c>
      <c r="AM328" s="36">
        <v>0</v>
      </c>
      <c r="AN328" s="46">
        <v>0</v>
      </c>
      <c r="AO328" s="100">
        <f t="shared" si="137"/>
        <v>30</v>
      </c>
      <c r="AP328" s="3">
        <f t="shared" si="139"/>
        <v>19140</v>
      </c>
    </row>
    <row r="329" spans="1:42" x14ac:dyDescent="0.2">
      <c r="A329" s="49" t="s">
        <v>862</v>
      </c>
      <c r="B329" s="37" t="s">
        <v>565</v>
      </c>
      <c r="C329" s="37" t="s">
        <v>571</v>
      </c>
      <c r="D329" s="52"/>
      <c r="E329" s="38" t="s">
        <v>999</v>
      </c>
      <c r="F329" s="36" t="s">
        <v>558</v>
      </c>
      <c r="G329" s="36" t="s">
        <v>584</v>
      </c>
      <c r="H329" s="39"/>
      <c r="I329" s="40"/>
      <c r="J329" s="39">
        <v>148</v>
      </c>
      <c r="K329" s="40">
        <v>7050.7199999999993</v>
      </c>
      <c r="L329" s="51"/>
      <c r="M329" s="41">
        <v>47.64</v>
      </c>
      <c r="N329" s="41"/>
      <c r="O329" s="36"/>
      <c r="P329" s="41"/>
      <c r="Q329" s="36"/>
      <c r="R329" s="43"/>
      <c r="S329" s="43"/>
      <c r="T329" s="41"/>
      <c r="U329" s="44"/>
      <c r="V329" s="45"/>
      <c r="W329" s="36">
        <v>148</v>
      </c>
      <c r="X329" s="86">
        <v>7050.72</v>
      </c>
      <c r="Y329" s="199">
        <v>47.64</v>
      </c>
      <c r="Z329" s="44">
        <v>0</v>
      </c>
      <c r="AA329" s="41">
        <f t="shared" si="140"/>
        <v>0</v>
      </c>
      <c r="AB329" s="44">
        <v>0</v>
      </c>
      <c r="AC329" s="44">
        <f t="shared" si="138"/>
        <v>400</v>
      </c>
      <c r="AD329" s="44">
        <f t="shared" si="141"/>
        <v>400</v>
      </c>
      <c r="AE329" s="111">
        <f t="shared" si="142"/>
        <v>19056</v>
      </c>
      <c r="AF329" s="51" t="s">
        <v>571</v>
      </c>
      <c r="AG329" s="115" t="s">
        <v>1074</v>
      </c>
      <c r="AH329" s="35">
        <v>0</v>
      </c>
      <c r="AI329" s="36">
        <v>0</v>
      </c>
      <c r="AJ329" s="36">
        <v>0</v>
      </c>
      <c r="AK329" s="36"/>
      <c r="AL329" s="36">
        <v>400</v>
      </c>
      <c r="AM329" s="36">
        <v>0</v>
      </c>
      <c r="AN329" s="46">
        <v>0</v>
      </c>
      <c r="AO329" s="100">
        <f t="shared" si="137"/>
        <v>400</v>
      </c>
      <c r="AP329" s="3">
        <f t="shared" si="139"/>
        <v>19056</v>
      </c>
    </row>
    <row r="330" spans="1:42" x14ac:dyDescent="0.2">
      <c r="A330" s="49" t="s">
        <v>943</v>
      </c>
      <c r="B330" s="156" t="s">
        <v>565</v>
      </c>
      <c r="C330" s="37" t="s">
        <v>571</v>
      </c>
      <c r="D330" s="52"/>
      <c r="E330" s="38" t="s">
        <v>758</v>
      </c>
      <c r="F330" s="36" t="s">
        <v>555</v>
      </c>
      <c r="G330" s="36" t="s">
        <v>583</v>
      </c>
      <c r="H330" s="39"/>
      <c r="I330" s="40"/>
      <c r="J330" s="39"/>
      <c r="K330" s="40"/>
      <c r="L330" s="37"/>
      <c r="M330" s="41"/>
      <c r="N330" s="36"/>
      <c r="O330" s="41"/>
      <c r="P330" s="36"/>
      <c r="Q330" s="43"/>
      <c r="R330" s="43"/>
      <c r="S330" s="41"/>
      <c r="T330" s="44"/>
      <c r="U330" s="45"/>
      <c r="V330" s="36"/>
      <c r="W330" s="45"/>
      <c r="X330" s="46"/>
      <c r="Y330" s="199">
        <v>123.95</v>
      </c>
      <c r="Z330" s="44">
        <v>150</v>
      </c>
      <c r="AA330" s="41">
        <f t="shared" si="140"/>
        <v>18592.5</v>
      </c>
      <c r="AB330" s="44">
        <v>0</v>
      </c>
      <c r="AC330" s="44">
        <f t="shared" si="138"/>
        <v>0</v>
      </c>
      <c r="AD330" s="44">
        <f t="shared" si="141"/>
        <v>150</v>
      </c>
      <c r="AE330" s="111">
        <f t="shared" si="142"/>
        <v>18592.5</v>
      </c>
      <c r="AF330" s="51" t="s">
        <v>571</v>
      </c>
      <c r="AG330" s="115"/>
      <c r="AH330" s="35">
        <v>0</v>
      </c>
      <c r="AI330" s="36">
        <v>0</v>
      </c>
      <c r="AJ330" s="36">
        <v>0</v>
      </c>
      <c r="AK330" s="36"/>
      <c r="AL330" s="36">
        <v>0</v>
      </c>
      <c r="AM330" s="36">
        <v>0</v>
      </c>
      <c r="AN330" s="46">
        <v>0</v>
      </c>
      <c r="AO330" s="100">
        <f t="shared" si="137"/>
        <v>0</v>
      </c>
      <c r="AP330" s="3">
        <f t="shared" si="139"/>
        <v>0</v>
      </c>
    </row>
    <row r="331" spans="1:42" x14ac:dyDescent="0.2">
      <c r="A331" s="49" t="s">
        <v>497</v>
      </c>
      <c r="B331" s="37" t="s">
        <v>565</v>
      </c>
      <c r="C331" s="37" t="s">
        <v>578</v>
      </c>
      <c r="D331" s="52"/>
      <c r="E331" s="38" t="s">
        <v>755</v>
      </c>
      <c r="F331" s="36" t="s">
        <v>560</v>
      </c>
      <c r="G331" s="36" t="s">
        <v>623</v>
      </c>
      <c r="H331" s="39">
        <v>40</v>
      </c>
      <c r="I331" s="40">
        <v>101282.19</v>
      </c>
      <c r="J331" s="39">
        <v>0</v>
      </c>
      <c r="K331" s="40">
        <v>0</v>
      </c>
      <c r="L331" s="37" t="s">
        <v>571</v>
      </c>
      <c r="M331" s="41" t="e">
        <v>#DIV/0!</v>
      </c>
      <c r="N331" s="42">
        <v>0</v>
      </c>
      <c r="O331" s="36">
        <v>0</v>
      </c>
      <c r="P331" s="41" t="e">
        <f t="shared" ref="P331:P338" si="143">(N331+O331)*M331</f>
        <v>#DIV/0!</v>
      </c>
      <c r="Q331" s="36">
        <v>24</v>
      </c>
      <c r="R331" s="43">
        <f t="shared" ref="R331:R338" si="144">O331-Q331</f>
        <v>-24</v>
      </c>
      <c r="S331" s="43">
        <f t="shared" ref="S331:S338" si="145">U331-O331</f>
        <v>24</v>
      </c>
      <c r="T331" s="41" t="e">
        <f t="shared" ref="T331:T338" si="146">S331*M331</f>
        <v>#DIV/0!</v>
      </c>
      <c r="U331" s="44">
        <f>Q331</f>
        <v>24</v>
      </c>
      <c r="V331" s="45" t="e">
        <f t="shared" ref="V331:V338" si="147">U331*M331</f>
        <v>#DIV/0!</v>
      </c>
      <c r="W331" s="36">
        <v>0</v>
      </c>
      <c r="X331" s="86">
        <v>0</v>
      </c>
      <c r="Y331" s="199">
        <v>2635.24</v>
      </c>
      <c r="Z331" s="44">
        <v>7</v>
      </c>
      <c r="AA331" s="41">
        <f t="shared" si="140"/>
        <v>18446.68</v>
      </c>
      <c r="AB331" s="44">
        <v>0</v>
      </c>
      <c r="AC331" s="44">
        <f t="shared" si="138"/>
        <v>0</v>
      </c>
      <c r="AD331" s="44">
        <f t="shared" si="141"/>
        <v>7</v>
      </c>
      <c r="AE331" s="111">
        <f t="shared" si="142"/>
        <v>18446.68</v>
      </c>
      <c r="AF331" s="51" t="s">
        <v>571</v>
      </c>
      <c r="AG331" s="115" t="s">
        <v>1092</v>
      </c>
      <c r="AH331" s="35">
        <v>0</v>
      </c>
      <c r="AI331" s="36">
        <v>0</v>
      </c>
      <c r="AJ331" s="36">
        <v>0</v>
      </c>
      <c r="AK331" s="36"/>
      <c r="AL331" s="36">
        <v>0</v>
      </c>
      <c r="AM331" s="36">
        <v>0</v>
      </c>
      <c r="AN331" s="46">
        <v>0</v>
      </c>
      <c r="AO331" s="100">
        <f t="shared" si="137"/>
        <v>0</v>
      </c>
      <c r="AP331" s="3">
        <f t="shared" si="139"/>
        <v>0</v>
      </c>
    </row>
    <row r="332" spans="1:42" x14ac:dyDescent="0.2">
      <c r="A332" s="35" t="s">
        <v>239</v>
      </c>
      <c r="B332" s="37" t="s">
        <v>565</v>
      </c>
      <c r="C332" s="37" t="s">
        <v>578</v>
      </c>
      <c r="D332" s="52">
        <v>46387</v>
      </c>
      <c r="E332" s="38" t="s">
        <v>754</v>
      </c>
      <c r="F332" s="36" t="s">
        <v>559</v>
      </c>
      <c r="G332" s="36" t="s">
        <v>613</v>
      </c>
      <c r="H332" s="39">
        <v>0</v>
      </c>
      <c r="I332" s="40">
        <v>0</v>
      </c>
      <c r="J332" s="39">
        <v>0</v>
      </c>
      <c r="K332" s="40">
        <v>0</v>
      </c>
      <c r="L332" s="37" t="s">
        <v>571</v>
      </c>
      <c r="M332" s="41">
        <v>548.57000000000005</v>
      </c>
      <c r="N332" s="42">
        <v>0</v>
      </c>
      <c r="O332" s="36">
        <v>2</v>
      </c>
      <c r="P332" s="41">
        <f t="shared" si="143"/>
        <v>1097.1400000000001</v>
      </c>
      <c r="Q332" s="36">
        <v>2</v>
      </c>
      <c r="R332" s="43">
        <f t="shared" si="144"/>
        <v>0</v>
      </c>
      <c r="S332" s="43">
        <f t="shared" si="145"/>
        <v>0</v>
      </c>
      <c r="T332" s="41">
        <f t="shared" si="146"/>
        <v>0</v>
      </c>
      <c r="U332" s="44">
        <v>2</v>
      </c>
      <c r="V332" s="45">
        <f t="shared" si="147"/>
        <v>1097.1400000000001</v>
      </c>
      <c r="W332" s="36">
        <v>1</v>
      </c>
      <c r="X332" s="86">
        <v>548.57000000000005</v>
      </c>
      <c r="Y332" s="199">
        <v>548.57000000000005</v>
      </c>
      <c r="Z332" s="44">
        <v>21</v>
      </c>
      <c r="AA332" s="41">
        <f t="shared" si="140"/>
        <v>11519.970000000001</v>
      </c>
      <c r="AB332" s="44">
        <v>0</v>
      </c>
      <c r="AC332" s="44">
        <f t="shared" si="138"/>
        <v>12</v>
      </c>
      <c r="AD332" s="44">
        <f t="shared" si="141"/>
        <v>33</v>
      </c>
      <c r="AE332" s="111">
        <f t="shared" si="142"/>
        <v>18102.810000000001</v>
      </c>
      <c r="AF332" s="51" t="s">
        <v>571</v>
      </c>
      <c r="AG332" s="115"/>
      <c r="AH332" s="35">
        <v>12</v>
      </c>
      <c r="AI332" s="36">
        <v>0</v>
      </c>
      <c r="AJ332" s="36">
        <v>0</v>
      </c>
      <c r="AK332" s="36"/>
      <c r="AL332" s="36">
        <v>0</v>
      </c>
      <c r="AM332" s="36">
        <v>0</v>
      </c>
      <c r="AN332" s="46">
        <v>0</v>
      </c>
      <c r="AO332" s="100">
        <f t="shared" si="137"/>
        <v>12</v>
      </c>
      <c r="AP332" s="3">
        <f t="shared" si="139"/>
        <v>6582.84</v>
      </c>
    </row>
    <row r="333" spans="1:42" x14ac:dyDescent="0.2">
      <c r="A333" s="35" t="s">
        <v>707</v>
      </c>
      <c r="B333" s="37" t="s">
        <v>565</v>
      </c>
      <c r="C333" s="37" t="s">
        <v>571</v>
      </c>
      <c r="D333" s="52"/>
      <c r="E333" s="38" t="s">
        <v>770</v>
      </c>
      <c r="F333" s="36" t="s">
        <v>564</v>
      </c>
      <c r="G333" s="36" t="s">
        <v>605</v>
      </c>
      <c r="H333" s="39">
        <v>77</v>
      </c>
      <c r="I333" s="40">
        <v>31985.93</v>
      </c>
      <c r="J333" s="39">
        <v>92</v>
      </c>
      <c r="K333" s="40">
        <v>46979.96</v>
      </c>
      <c r="L333" s="37" t="s">
        <v>571</v>
      </c>
      <c r="M333" s="47">
        <v>471.14529411764715</v>
      </c>
      <c r="N333" s="48">
        <v>0</v>
      </c>
      <c r="O333" s="36">
        <v>113</v>
      </c>
      <c r="P333" s="47">
        <f t="shared" si="143"/>
        <v>53239.418235294128</v>
      </c>
      <c r="Q333" s="36">
        <v>0</v>
      </c>
      <c r="R333" s="43">
        <f t="shared" si="144"/>
        <v>113</v>
      </c>
      <c r="S333" s="43">
        <f t="shared" si="145"/>
        <v>0</v>
      </c>
      <c r="T333" s="47">
        <f t="shared" si="146"/>
        <v>0</v>
      </c>
      <c r="U333" s="44">
        <f>O333</f>
        <v>113</v>
      </c>
      <c r="V333" s="45">
        <f t="shared" si="147"/>
        <v>53239.418235294128</v>
      </c>
      <c r="W333" s="36">
        <v>68</v>
      </c>
      <c r="X333" s="86">
        <v>32037.880000000008</v>
      </c>
      <c r="Y333" s="199">
        <v>442.51</v>
      </c>
      <c r="Z333" s="44">
        <v>0</v>
      </c>
      <c r="AA333" s="41">
        <f t="shared" si="140"/>
        <v>0</v>
      </c>
      <c r="AB333" s="44">
        <v>0</v>
      </c>
      <c r="AC333" s="44">
        <f t="shared" si="138"/>
        <v>40</v>
      </c>
      <c r="AD333" s="44">
        <f t="shared" si="141"/>
        <v>40</v>
      </c>
      <c r="AE333" s="111">
        <f t="shared" si="142"/>
        <v>17700.400000000001</v>
      </c>
      <c r="AF333" s="51" t="s">
        <v>571</v>
      </c>
      <c r="AG333" s="115"/>
      <c r="AH333" s="35">
        <v>0</v>
      </c>
      <c r="AI333" s="36">
        <v>0</v>
      </c>
      <c r="AJ333" s="36">
        <v>0</v>
      </c>
      <c r="AK333" s="36"/>
      <c r="AL333" s="36">
        <v>0</v>
      </c>
      <c r="AM333" s="36">
        <v>0</v>
      </c>
      <c r="AN333" s="46">
        <v>40</v>
      </c>
      <c r="AO333" s="100">
        <f t="shared" si="137"/>
        <v>40</v>
      </c>
      <c r="AP333" s="3">
        <f t="shared" si="139"/>
        <v>17700.400000000001</v>
      </c>
    </row>
    <row r="334" spans="1:42" x14ac:dyDescent="0.2">
      <c r="A334" s="35" t="s">
        <v>48</v>
      </c>
      <c r="B334" s="37" t="s">
        <v>565</v>
      </c>
      <c r="C334" s="37" t="s">
        <v>578</v>
      </c>
      <c r="D334" s="52">
        <v>46752</v>
      </c>
      <c r="E334" s="38" t="s">
        <v>772</v>
      </c>
      <c r="F334" s="36" t="s">
        <v>559</v>
      </c>
      <c r="G334" s="36" t="s">
        <v>616</v>
      </c>
      <c r="H334" s="39">
        <v>181</v>
      </c>
      <c r="I334" s="40">
        <v>12937.879999999994</v>
      </c>
      <c r="J334" s="39">
        <v>144</v>
      </c>
      <c r="K334" s="40">
        <v>10293.119999999999</v>
      </c>
      <c r="L334" s="37" t="s">
        <v>571</v>
      </c>
      <c r="M334" s="41">
        <v>72.098947368421051</v>
      </c>
      <c r="N334" s="42">
        <v>0</v>
      </c>
      <c r="O334" s="36">
        <v>286</v>
      </c>
      <c r="P334" s="41">
        <f t="shared" si="143"/>
        <v>20620.298947368421</v>
      </c>
      <c r="Q334" s="36">
        <v>212</v>
      </c>
      <c r="R334" s="43">
        <f t="shared" si="144"/>
        <v>74</v>
      </c>
      <c r="S334" s="43">
        <f t="shared" si="145"/>
        <v>0</v>
      </c>
      <c r="T334" s="41">
        <f t="shared" si="146"/>
        <v>0</v>
      </c>
      <c r="U334" s="44">
        <f>O334</f>
        <v>286</v>
      </c>
      <c r="V334" s="45">
        <f t="shared" si="147"/>
        <v>20620.298947368421</v>
      </c>
      <c r="W334" s="36">
        <v>171</v>
      </c>
      <c r="X334" s="86">
        <v>12328.92</v>
      </c>
      <c r="Y334" s="199">
        <v>126.88</v>
      </c>
      <c r="Z334" s="44">
        <v>60</v>
      </c>
      <c r="AA334" s="41">
        <f t="shared" si="140"/>
        <v>7612.7999999999993</v>
      </c>
      <c r="AB334" s="44">
        <v>0</v>
      </c>
      <c r="AC334" s="44">
        <f t="shared" si="138"/>
        <v>79</v>
      </c>
      <c r="AD334" s="44">
        <f t="shared" si="141"/>
        <v>139</v>
      </c>
      <c r="AE334" s="111">
        <f t="shared" si="142"/>
        <v>17636.32</v>
      </c>
      <c r="AF334" s="51" t="s">
        <v>571</v>
      </c>
      <c r="AG334" s="115"/>
      <c r="AH334" s="35">
        <v>79</v>
      </c>
      <c r="AI334" s="36">
        <v>0</v>
      </c>
      <c r="AJ334" s="36">
        <v>0</v>
      </c>
      <c r="AK334" s="36"/>
      <c r="AL334" s="36">
        <v>0</v>
      </c>
      <c r="AM334" s="36">
        <v>0</v>
      </c>
      <c r="AN334" s="46">
        <v>0</v>
      </c>
      <c r="AO334" s="100">
        <f t="shared" si="137"/>
        <v>79</v>
      </c>
      <c r="AP334" s="3">
        <f t="shared" si="139"/>
        <v>10023.52</v>
      </c>
    </row>
    <row r="335" spans="1:42" x14ac:dyDescent="0.2">
      <c r="A335" s="35" t="s">
        <v>509</v>
      </c>
      <c r="B335" s="37" t="s">
        <v>565</v>
      </c>
      <c r="C335" s="37" t="s">
        <v>571</v>
      </c>
      <c r="D335" s="52"/>
      <c r="E335" s="38" t="s">
        <v>773</v>
      </c>
      <c r="F335" s="36" t="s">
        <v>555</v>
      </c>
      <c r="G335" s="36" t="s">
        <v>620</v>
      </c>
      <c r="H335" s="39">
        <v>9</v>
      </c>
      <c r="I335" s="40">
        <v>4297.5</v>
      </c>
      <c r="J335" s="39">
        <v>41</v>
      </c>
      <c r="K335" s="40">
        <v>36200</v>
      </c>
      <c r="L335" s="37" t="s">
        <v>571</v>
      </c>
      <c r="M335" s="41">
        <v>700</v>
      </c>
      <c r="N335" s="42">
        <v>0</v>
      </c>
      <c r="O335" s="36">
        <v>0</v>
      </c>
      <c r="P335" s="41">
        <f t="shared" si="143"/>
        <v>0</v>
      </c>
      <c r="Q335" s="36">
        <v>25</v>
      </c>
      <c r="R335" s="43">
        <f t="shared" si="144"/>
        <v>-25</v>
      </c>
      <c r="S335" s="43">
        <f t="shared" si="145"/>
        <v>25</v>
      </c>
      <c r="T335" s="41">
        <f t="shared" si="146"/>
        <v>17500</v>
      </c>
      <c r="U335" s="44">
        <f>Q335</f>
        <v>25</v>
      </c>
      <c r="V335" s="45">
        <f t="shared" si="147"/>
        <v>17500</v>
      </c>
      <c r="W335" s="36">
        <v>32</v>
      </c>
      <c r="X335" s="86">
        <v>22400</v>
      </c>
      <c r="Y335" s="199">
        <v>700</v>
      </c>
      <c r="Z335" s="44">
        <v>0</v>
      </c>
      <c r="AA335" s="41">
        <f t="shared" si="140"/>
        <v>0</v>
      </c>
      <c r="AB335" s="44">
        <v>0</v>
      </c>
      <c r="AC335" s="44">
        <f t="shared" si="138"/>
        <v>25</v>
      </c>
      <c r="AD335" s="44">
        <f t="shared" si="141"/>
        <v>25</v>
      </c>
      <c r="AE335" s="111">
        <f t="shared" si="142"/>
        <v>17500</v>
      </c>
      <c r="AF335" s="51" t="s">
        <v>571</v>
      </c>
      <c r="AG335" s="115"/>
      <c r="AH335" s="35">
        <v>0</v>
      </c>
      <c r="AI335" s="36">
        <v>25</v>
      </c>
      <c r="AJ335" s="36">
        <v>0</v>
      </c>
      <c r="AK335" s="36"/>
      <c r="AL335" s="36">
        <v>0</v>
      </c>
      <c r="AM335" s="36">
        <v>0</v>
      </c>
      <c r="AN335" s="46">
        <v>0</v>
      </c>
      <c r="AO335" s="100">
        <f t="shared" si="137"/>
        <v>25</v>
      </c>
      <c r="AP335" s="3">
        <f t="shared" si="139"/>
        <v>17500</v>
      </c>
    </row>
    <row r="336" spans="1:42" x14ac:dyDescent="0.2">
      <c r="A336" s="35" t="s">
        <v>516</v>
      </c>
      <c r="B336" s="37" t="s">
        <v>562</v>
      </c>
      <c r="C336" s="37" t="s">
        <v>578</v>
      </c>
      <c r="D336" s="52"/>
      <c r="E336" s="38" t="s">
        <v>755</v>
      </c>
      <c r="F336" s="36" t="s">
        <v>560</v>
      </c>
      <c r="G336" s="36" t="s">
        <v>680</v>
      </c>
      <c r="H336" s="39">
        <v>11</v>
      </c>
      <c r="I336" s="40">
        <v>53937.119999999995</v>
      </c>
      <c r="J336" s="39">
        <v>10</v>
      </c>
      <c r="K336" s="40">
        <v>40127.300000000003</v>
      </c>
      <c r="L336" s="37" t="s">
        <v>571</v>
      </c>
      <c r="M336" s="41">
        <v>4100.63</v>
      </c>
      <c r="N336" s="42">
        <v>0</v>
      </c>
      <c r="O336" s="36">
        <v>0</v>
      </c>
      <c r="P336" s="41">
        <f t="shared" si="143"/>
        <v>0</v>
      </c>
      <c r="Q336" s="36">
        <v>10</v>
      </c>
      <c r="R336" s="43">
        <f t="shared" si="144"/>
        <v>-10</v>
      </c>
      <c r="S336" s="43">
        <f t="shared" si="145"/>
        <v>10</v>
      </c>
      <c r="T336" s="41">
        <f t="shared" si="146"/>
        <v>41006.300000000003</v>
      </c>
      <c r="U336" s="44">
        <f>Q336</f>
        <v>10</v>
      </c>
      <c r="V336" s="45">
        <f t="shared" si="147"/>
        <v>41006.300000000003</v>
      </c>
      <c r="W336" s="36">
        <v>12</v>
      </c>
      <c r="X336" s="86">
        <v>49207.56</v>
      </c>
      <c r="Y336" s="199">
        <v>4181.83</v>
      </c>
      <c r="Z336" s="44">
        <v>4</v>
      </c>
      <c r="AA336" s="41">
        <f t="shared" si="140"/>
        <v>16727.32</v>
      </c>
      <c r="AB336" s="44">
        <v>0</v>
      </c>
      <c r="AC336" s="44">
        <f t="shared" si="138"/>
        <v>0</v>
      </c>
      <c r="AD336" s="44">
        <f t="shared" si="141"/>
        <v>4</v>
      </c>
      <c r="AE336" s="111">
        <f t="shared" si="142"/>
        <v>16727.32</v>
      </c>
      <c r="AF336" s="51" t="s">
        <v>571</v>
      </c>
      <c r="AG336" s="115"/>
      <c r="AH336" s="35">
        <v>0</v>
      </c>
      <c r="AI336" s="36">
        <v>0</v>
      </c>
      <c r="AJ336" s="36">
        <v>0</v>
      </c>
      <c r="AK336" s="36"/>
      <c r="AL336" s="36">
        <v>0</v>
      </c>
      <c r="AM336" s="36">
        <v>0</v>
      </c>
      <c r="AN336" s="46">
        <v>0</v>
      </c>
      <c r="AO336" s="100">
        <f t="shared" si="137"/>
        <v>0</v>
      </c>
      <c r="AP336" s="3">
        <f t="shared" si="139"/>
        <v>0</v>
      </c>
    </row>
    <row r="337" spans="1:42" x14ac:dyDescent="0.2">
      <c r="A337" s="35" t="s">
        <v>397</v>
      </c>
      <c r="B337" s="37" t="s">
        <v>565</v>
      </c>
      <c r="C337" s="37" t="s">
        <v>571</v>
      </c>
      <c r="D337" s="52"/>
      <c r="E337" s="38" t="s">
        <v>594</v>
      </c>
      <c r="F337" s="36" t="s">
        <v>555</v>
      </c>
      <c r="G337" s="36" t="s">
        <v>624</v>
      </c>
      <c r="H337" s="39">
        <v>20</v>
      </c>
      <c r="I337" s="40">
        <v>15700</v>
      </c>
      <c r="J337" s="39">
        <v>20</v>
      </c>
      <c r="K337" s="40">
        <v>16700</v>
      </c>
      <c r="L337" s="37" t="s">
        <v>571</v>
      </c>
      <c r="M337" s="41">
        <v>835</v>
      </c>
      <c r="N337" s="42">
        <v>0</v>
      </c>
      <c r="O337" s="36">
        <v>106</v>
      </c>
      <c r="P337" s="41">
        <f t="shared" si="143"/>
        <v>88510</v>
      </c>
      <c r="Q337" s="36">
        <v>96</v>
      </c>
      <c r="R337" s="43">
        <f t="shared" si="144"/>
        <v>10</v>
      </c>
      <c r="S337" s="43">
        <f t="shared" si="145"/>
        <v>0</v>
      </c>
      <c r="T337" s="41">
        <f t="shared" si="146"/>
        <v>0</v>
      </c>
      <c r="U337" s="44">
        <f>O337</f>
        <v>106</v>
      </c>
      <c r="V337" s="45">
        <f t="shared" si="147"/>
        <v>88510</v>
      </c>
      <c r="W337" s="36">
        <v>6</v>
      </c>
      <c r="X337" s="86">
        <v>5010</v>
      </c>
      <c r="Y337" s="199">
        <v>835</v>
      </c>
      <c r="Z337" s="44">
        <v>0</v>
      </c>
      <c r="AA337" s="41">
        <f t="shared" si="140"/>
        <v>0</v>
      </c>
      <c r="AB337" s="44">
        <v>0</v>
      </c>
      <c r="AC337" s="44">
        <f t="shared" si="138"/>
        <v>20</v>
      </c>
      <c r="AD337" s="44">
        <f t="shared" si="141"/>
        <v>20</v>
      </c>
      <c r="AE337" s="111">
        <f t="shared" si="142"/>
        <v>16700</v>
      </c>
      <c r="AF337" s="51" t="s">
        <v>571</v>
      </c>
      <c r="AG337" s="115"/>
      <c r="AH337" s="35">
        <v>0</v>
      </c>
      <c r="AI337" s="36">
        <v>20</v>
      </c>
      <c r="AJ337" s="36">
        <v>0</v>
      </c>
      <c r="AK337" s="36"/>
      <c r="AL337" s="36">
        <v>0</v>
      </c>
      <c r="AM337" s="36">
        <v>0</v>
      </c>
      <c r="AN337" s="46">
        <v>0</v>
      </c>
      <c r="AO337" s="100">
        <f t="shared" si="137"/>
        <v>20</v>
      </c>
      <c r="AP337" s="3">
        <f t="shared" si="139"/>
        <v>16700</v>
      </c>
    </row>
    <row r="338" spans="1:42" x14ac:dyDescent="0.2">
      <c r="A338" s="35" t="s">
        <v>550</v>
      </c>
      <c r="B338" s="37" t="s">
        <v>565</v>
      </c>
      <c r="C338" s="37" t="s">
        <v>578</v>
      </c>
      <c r="D338" s="52">
        <v>46387</v>
      </c>
      <c r="E338" s="38" t="s">
        <v>758</v>
      </c>
      <c r="F338" s="36" t="s">
        <v>555</v>
      </c>
      <c r="G338" s="36" t="s">
        <v>591</v>
      </c>
      <c r="H338" s="39">
        <v>590</v>
      </c>
      <c r="I338" s="40">
        <v>48887.4</v>
      </c>
      <c r="J338" s="39">
        <v>0</v>
      </c>
      <c r="K338" s="40">
        <v>0</v>
      </c>
      <c r="L338" s="37" t="s">
        <v>571</v>
      </c>
      <c r="M338" s="41" t="e">
        <v>#DIV/0!</v>
      </c>
      <c r="N338" s="42">
        <v>0</v>
      </c>
      <c r="O338" s="36">
        <v>0</v>
      </c>
      <c r="P338" s="41" t="e">
        <f t="shared" si="143"/>
        <v>#DIV/0!</v>
      </c>
      <c r="Q338" s="36">
        <v>50</v>
      </c>
      <c r="R338" s="43">
        <f t="shared" si="144"/>
        <v>-50</v>
      </c>
      <c r="S338" s="43">
        <f t="shared" si="145"/>
        <v>50</v>
      </c>
      <c r="T338" s="41" t="e">
        <f t="shared" si="146"/>
        <v>#DIV/0!</v>
      </c>
      <c r="U338" s="44">
        <f>Q338</f>
        <v>50</v>
      </c>
      <c r="V338" s="45" t="e">
        <f t="shared" si="147"/>
        <v>#DIV/0!</v>
      </c>
      <c r="W338" s="36">
        <v>0</v>
      </c>
      <c r="X338" s="86">
        <v>0</v>
      </c>
      <c r="Y338" s="199">
        <v>109.82</v>
      </c>
      <c r="Z338" s="44">
        <v>142</v>
      </c>
      <c r="AA338" s="41">
        <f t="shared" si="140"/>
        <v>15594.439999999999</v>
      </c>
      <c r="AB338" s="44">
        <v>0</v>
      </c>
      <c r="AC338" s="44">
        <f t="shared" si="138"/>
        <v>0</v>
      </c>
      <c r="AD338" s="44">
        <f t="shared" si="141"/>
        <v>142</v>
      </c>
      <c r="AE338" s="111">
        <f t="shared" si="142"/>
        <v>15594.439999999999</v>
      </c>
      <c r="AF338" s="51" t="s">
        <v>578</v>
      </c>
      <c r="AG338" s="115"/>
      <c r="AH338" s="35">
        <v>0</v>
      </c>
      <c r="AI338" s="36">
        <v>0</v>
      </c>
      <c r="AJ338" s="36">
        <v>0</v>
      </c>
      <c r="AK338" s="36"/>
      <c r="AL338" s="36">
        <v>0</v>
      </c>
      <c r="AM338" s="36">
        <v>0</v>
      </c>
      <c r="AN338" s="46">
        <v>0</v>
      </c>
      <c r="AO338" s="100">
        <f t="shared" si="137"/>
        <v>0</v>
      </c>
      <c r="AP338" s="3">
        <f t="shared" si="139"/>
        <v>0</v>
      </c>
    </row>
    <row r="339" spans="1:42" x14ac:dyDescent="0.2">
      <c r="A339" s="49" t="s">
        <v>859</v>
      </c>
      <c r="B339" s="156" t="s">
        <v>562</v>
      </c>
      <c r="C339" s="37" t="s">
        <v>571</v>
      </c>
      <c r="D339" s="52"/>
      <c r="E339" s="38" t="s">
        <v>999</v>
      </c>
      <c r="F339" s="36" t="s">
        <v>560</v>
      </c>
      <c r="G339" s="36" t="s">
        <v>979</v>
      </c>
      <c r="H339" s="39"/>
      <c r="I339" s="40"/>
      <c r="J339" s="39">
        <v>61</v>
      </c>
      <c r="K339" s="40">
        <v>20173.310000000001</v>
      </c>
      <c r="L339" s="51"/>
      <c r="M339" s="41">
        <v>340.62</v>
      </c>
      <c r="N339" s="41"/>
      <c r="O339" s="36"/>
      <c r="P339" s="41"/>
      <c r="Q339" s="36"/>
      <c r="R339" s="43"/>
      <c r="S339" s="43"/>
      <c r="T339" s="41"/>
      <c r="U339" s="44"/>
      <c r="V339" s="45"/>
      <c r="W339" s="36">
        <v>45</v>
      </c>
      <c r="X339" s="86">
        <v>15327.9</v>
      </c>
      <c r="Y339" s="199">
        <v>340.62</v>
      </c>
      <c r="Z339" s="44">
        <v>0</v>
      </c>
      <c r="AA339" s="41">
        <f t="shared" si="140"/>
        <v>0</v>
      </c>
      <c r="AB339" s="44">
        <v>0</v>
      </c>
      <c r="AC339" s="44">
        <f t="shared" si="138"/>
        <v>45</v>
      </c>
      <c r="AD339" s="44">
        <f t="shared" si="141"/>
        <v>45</v>
      </c>
      <c r="AE339" s="111">
        <f t="shared" si="142"/>
        <v>15327.9</v>
      </c>
      <c r="AF339" s="51" t="s">
        <v>571</v>
      </c>
      <c r="AG339" s="115" t="s">
        <v>1071</v>
      </c>
      <c r="AH339" s="35">
        <v>0</v>
      </c>
      <c r="AI339" s="36">
        <v>0</v>
      </c>
      <c r="AJ339" s="36">
        <v>0</v>
      </c>
      <c r="AK339" s="36"/>
      <c r="AL339" s="36">
        <v>45</v>
      </c>
      <c r="AM339" s="36">
        <v>0</v>
      </c>
      <c r="AN339" s="46">
        <v>0</v>
      </c>
      <c r="AO339" s="100">
        <f t="shared" si="137"/>
        <v>45</v>
      </c>
      <c r="AP339" s="3">
        <f t="shared" si="139"/>
        <v>15327.9</v>
      </c>
    </row>
    <row r="340" spans="1:42" x14ac:dyDescent="0.2">
      <c r="A340" s="49" t="s">
        <v>854</v>
      </c>
      <c r="B340" s="37" t="s">
        <v>565</v>
      </c>
      <c r="C340" s="37" t="s">
        <v>571</v>
      </c>
      <c r="D340" s="52"/>
      <c r="E340" s="38" t="s">
        <v>809</v>
      </c>
      <c r="F340" s="36" t="s">
        <v>559</v>
      </c>
      <c r="G340" s="36" t="s">
        <v>980</v>
      </c>
      <c r="H340" s="39"/>
      <c r="I340" s="40"/>
      <c r="J340" s="39">
        <v>250</v>
      </c>
      <c r="K340" s="40">
        <v>30562.5</v>
      </c>
      <c r="L340" s="51"/>
      <c r="M340" s="41">
        <v>152.30000000000001</v>
      </c>
      <c r="N340" s="41"/>
      <c r="O340" s="36"/>
      <c r="P340" s="41"/>
      <c r="Q340" s="36"/>
      <c r="R340" s="43"/>
      <c r="S340" s="43"/>
      <c r="T340" s="41"/>
      <c r="U340" s="44"/>
      <c r="V340" s="45"/>
      <c r="W340" s="36">
        <v>100</v>
      </c>
      <c r="X340" s="86">
        <v>15230</v>
      </c>
      <c r="Y340" s="199">
        <v>152.30000000000001</v>
      </c>
      <c r="Z340" s="44">
        <v>0</v>
      </c>
      <c r="AA340" s="41">
        <f t="shared" si="140"/>
        <v>0</v>
      </c>
      <c r="AB340" s="44">
        <v>0</v>
      </c>
      <c r="AC340" s="44">
        <f t="shared" si="138"/>
        <v>100</v>
      </c>
      <c r="AD340" s="44">
        <f t="shared" si="141"/>
        <v>100</v>
      </c>
      <c r="AE340" s="111">
        <f t="shared" si="142"/>
        <v>15230.000000000002</v>
      </c>
      <c r="AF340" s="51" t="s">
        <v>571</v>
      </c>
      <c r="AG340" s="115"/>
      <c r="AH340" s="35">
        <v>0</v>
      </c>
      <c r="AI340" s="36">
        <v>0</v>
      </c>
      <c r="AJ340" s="36">
        <v>100</v>
      </c>
      <c r="AK340" s="36"/>
      <c r="AL340" s="36">
        <v>0</v>
      </c>
      <c r="AM340" s="36">
        <v>0</v>
      </c>
      <c r="AN340" s="46">
        <v>0</v>
      </c>
      <c r="AO340" s="100">
        <f t="shared" si="137"/>
        <v>100</v>
      </c>
      <c r="AP340" s="3">
        <f t="shared" si="139"/>
        <v>15230.000000000002</v>
      </c>
    </row>
    <row r="341" spans="1:42" x14ac:dyDescent="0.2">
      <c r="A341" s="35" t="s">
        <v>142</v>
      </c>
      <c r="B341" s="37" t="s">
        <v>565</v>
      </c>
      <c r="C341" s="37" t="s">
        <v>578</v>
      </c>
      <c r="D341" s="52">
        <v>46387</v>
      </c>
      <c r="E341" s="38" t="s">
        <v>754</v>
      </c>
      <c r="F341" s="36" t="s">
        <v>559</v>
      </c>
      <c r="G341" s="36" t="s">
        <v>601</v>
      </c>
      <c r="H341" s="39">
        <v>447</v>
      </c>
      <c r="I341" s="40">
        <v>31808.519999999997</v>
      </c>
      <c r="J341" s="39">
        <v>416</v>
      </c>
      <c r="K341" s="40">
        <v>29602.559999999998</v>
      </c>
      <c r="L341" s="37" t="s">
        <v>578</v>
      </c>
      <c r="M341" s="41">
        <v>71.16</v>
      </c>
      <c r="N341" s="42">
        <v>0</v>
      </c>
      <c r="O341" s="36">
        <v>201</v>
      </c>
      <c r="P341" s="41">
        <f>(N341+O341)*M341</f>
        <v>14303.16</v>
      </c>
      <c r="Q341" s="36">
        <v>155</v>
      </c>
      <c r="R341" s="43">
        <f>O341-Q341</f>
        <v>46</v>
      </c>
      <c r="S341" s="43">
        <f>U341-O341</f>
        <v>0</v>
      </c>
      <c r="T341" s="41">
        <f>S341*M341</f>
        <v>0</v>
      </c>
      <c r="U341" s="44">
        <f>O341</f>
        <v>201</v>
      </c>
      <c r="V341" s="45">
        <f>U341*M341</f>
        <v>14303.16</v>
      </c>
      <c r="W341" s="36">
        <v>201</v>
      </c>
      <c r="X341" s="86">
        <v>14303.16</v>
      </c>
      <c r="Y341" s="199">
        <v>71.16</v>
      </c>
      <c r="Z341" s="44">
        <v>137</v>
      </c>
      <c r="AA341" s="41">
        <f t="shared" si="140"/>
        <v>9748.92</v>
      </c>
      <c r="AB341" s="44">
        <v>0</v>
      </c>
      <c r="AC341" s="44">
        <f t="shared" si="138"/>
        <v>74</v>
      </c>
      <c r="AD341" s="44">
        <f t="shared" si="141"/>
        <v>211</v>
      </c>
      <c r="AE341" s="111">
        <f t="shared" si="142"/>
        <v>15014.759999999998</v>
      </c>
      <c r="AF341" s="51" t="s">
        <v>578</v>
      </c>
      <c r="AG341" s="115"/>
      <c r="AH341" s="35">
        <v>74</v>
      </c>
      <c r="AI341" s="36">
        <v>0</v>
      </c>
      <c r="AJ341" s="36">
        <v>0</v>
      </c>
      <c r="AK341" s="36"/>
      <c r="AL341" s="36">
        <v>0</v>
      </c>
      <c r="AM341" s="36">
        <v>0</v>
      </c>
      <c r="AN341" s="46">
        <v>0</v>
      </c>
      <c r="AO341" s="100">
        <f t="shared" ref="AO341" si="148">SUM(AH341:AN341)</f>
        <v>74</v>
      </c>
      <c r="AP341" s="3">
        <f t="shared" si="139"/>
        <v>5265.84</v>
      </c>
    </row>
    <row r="342" spans="1:42" x14ac:dyDescent="0.2">
      <c r="A342" s="35" t="s">
        <v>120</v>
      </c>
      <c r="B342" s="37" t="s">
        <v>565</v>
      </c>
      <c r="C342" s="37" t="s">
        <v>578</v>
      </c>
      <c r="D342" s="52">
        <v>46752</v>
      </c>
      <c r="E342" s="38" t="s">
        <v>772</v>
      </c>
      <c r="F342" s="36" t="s">
        <v>559</v>
      </c>
      <c r="G342" s="36" t="s">
        <v>637</v>
      </c>
      <c r="H342" s="39">
        <v>96</v>
      </c>
      <c r="I342" s="40">
        <v>12984</v>
      </c>
      <c r="J342" s="39">
        <v>0</v>
      </c>
      <c r="K342" s="40">
        <v>0</v>
      </c>
      <c r="L342" s="37" t="s">
        <v>571</v>
      </c>
      <c r="M342" s="41" t="e">
        <v>#DIV/0!</v>
      </c>
      <c r="N342" s="42">
        <v>0</v>
      </c>
      <c r="O342" s="36">
        <v>100</v>
      </c>
      <c r="P342" s="41" t="e">
        <f>(N342+O342)*M342</f>
        <v>#DIV/0!</v>
      </c>
      <c r="Q342" s="36">
        <v>100</v>
      </c>
      <c r="R342" s="43">
        <f>O342-Q342</f>
        <v>0</v>
      </c>
      <c r="S342" s="43">
        <f>U342-O342</f>
        <v>0</v>
      </c>
      <c r="T342" s="41" t="e">
        <f>S342*M342</f>
        <v>#DIV/0!</v>
      </c>
      <c r="U342" s="44">
        <v>100</v>
      </c>
      <c r="V342" s="45" t="e">
        <f>U342*M342</f>
        <v>#DIV/0!</v>
      </c>
      <c r="W342" s="36">
        <v>0</v>
      </c>
      <c r="X342" s="86">
        <v>0</v>
      </c>
      <c r="Y342" s="199">
        <v>143.06</v>
      </c>
      <c r="Z342" s="44">
        <v>100</v>
      </c>
      <c r="AA342" s="41">
        <f t="shared" si="140"/>
        <v>14306</v>
      </c>
      <c r="AB342" s="44">
        <v>0</v>
      </c>
      <c r="AC342" s="44">
        <f t="shared" si="138"/>
        <v>0</v>
      </c>
      <c r="AD342" s="44">
        <f t="shared" si="141"/>
        <v>100</v>
      </c>
      <c r="AE342" s="111">
        <f t="shared" si="142"/>
        <v>14306</v>
      </c>
      <c r="AF342" s="51" t="s">
        <v>571</v>
      </c>
      <c r="AG342" s="115"/>
      <c r="AH342" s="35">
        <v>0</v>
      </c>
      <c r="AI342" s="36">
        <v>0</v>
      </c>
      <c r="AJ342" s="36">
        <v>0</v>
      </c>
      <c r="AK342" s="36"/>
      <c r="AL342" s="36">
        <v>0</v>
      </c>
      <c r="AM342" s="36">
        <v>0</v>
      </c>
      <c r="AN342" s="46">
        <v>0</v>
      </c>
      <c r="AO342" s="100">
        <f>SUM(AH342:AN342)</f>
        <v>0</v>
      </c>
      <c r="AP342" s="3">
        <f t="shared" si="139"/>
        <v>0</v>
      </c>
    </row>
    <row r="343" spans="1:42" x14ac:dyDescent="0.2">
      <c r="A343" s="49" t="s">
        <v>932</v>
      </c>
      <c r="B343" s="37" t="s">
        <v>562</v>
      </c>
      <c r="C343" s="37" t="s">
        <v>571</v>
      </c>
      <c r="D343" s="52"/>
      <c r="E343" s="38" t="s">
        <v>753</v>
      </c>
      <c r="F343" s="36" t="s">
        <v>559</v>
      </c>
      <c r="G343" s="36" t="s">
        <v>964</v>
      </c>
      <c r="H343" s="39"/>
      <c r="I343" s="40"/>
      <c r="J343" s="39"/>
      <c r="K343" s="40"/>
      <c r="L343" s="37"/>
      <c r="M343" s="41"/>
      <c r="N343" s="36"/>
      <c r="O343" s="41"/>
      <c r="P343" s="36"/>
      <c r="Q343" s="43"/>
      <c r="R343" s="43"/>
      <c r="S343" s="41"/>
      <c r="T343" s="44"/>
      <c r="U343" s="45"/>
      <c r="V343" s="36"/>
      <c r="W343" s="45"/>
      <c r="X343" s="46"/>
      <c r="Y343" s="199">
        <v>68.75</v>
      </c>
      <c r="Z343" s="44">
        <v>200</v>
      </c>
      <c r="AA343" s="41">
        <f t="shared" si="140"/>
        <v>13750</v>
      </c>
      <c r="AB343" s="44">
        <v>0</v>
      </c>
      <c r="AC343" s="44">
        <f t="shared" si="138"/>
        <v>0</v>
      </c>
      <c r="AD343" s="44">
        <f t="shared" si="141"/>
        <v>200</v>
      </c>
      <c r="AE343" s="111">
        <f t="shared" si="142"/>
        <v>13750</v>
      </c>
      <c r="AF343" s="51" t="s">
        <v>571</v>
      </c>
      <c r="AG343" s="115"/>
      <c r="AH343" s="35">
        <v>0</v>
      </c>
      <c r="AI343" s="36">
        <v>0</v>
      </c>
      <c r="AJ343" s="36">
        <v>0</v>
      </c>
      <c r="AK343" s="36"/>
      <c r="AL343" s="36">
        <v>0</v>
      </c>
      <c r="AM343" s="36">
        <v>0</v>
      </c>
      <c r="AN343" s="46">
        <v>0</v>
      </c>
      <c r="AO343" s="100">
        <f>SUM(AH343:AN343)</f>
        <v>0</v>
      </c>
      <c r="AP343" s="3">
        <f t="shared" si="139"/>
        <v>0</v>
      </c>
    </row>
    <row r="344" spans="1:42" x14ac:dyDescent="0.2">
      <c r="A344" s="35" t="s">
        <v>342</v>
      </c>
      <c r="B344" s="37" t="s">
        <v>556</v>
      </c>
      <c r="C344" s="37" t="s">
        <v>578</v>
      </c>
      <c r="D344" s="52">
        <v>46387</v>
      </c>
      <c r="E344" s="38" t="s">
        <v>754</v>
      </c>
      <c r="F344" s="36" t="s">
        <v>557</v>
      </c>
      <c r="G344" s="36" t="s">
        <v>597</v>
      </c>
      <c r="H344" s="39">
        <v>99</v>
      </c>
      <c r="I344" s="40">
        <v>37882.35</v>
      </c>
      <c r="J344" s="39">
        <v>298</v>
      </c>
      <c r="K344" s="40">
        <v>114029.69999999998</v>
      </c>
      <c r="L344" s="37" t="s">
        <v>578</v>
      </c>
      <c r="M344" s="41">
        <v>382.65</v>
      </c>
      <c r="N344" s="42">
        <v>0</v>
      </c>
      <c r="O344" s="36">
        <v>814</v>
      </c>
      <c r="P344" s="41">
        <f>(N344+O344)*M344</f>
        <v>311477.09999999998</v>
      </c>
      <c r="Q344" s="36">
        <v>1074</v>
      </c>
      <c r="R344" s="43">
        <f>O344-Q344</f>
        <v>-260</v>
      </c>
      <c r="S344" s="43">
        <f>U344-O344</f>
        <v>0</v>
      </c>
      <c r="T344" s="41">
        <f>S344*M344</f>
        <v>0</v>
      </c>
      <c r="U344" s="44">
        <f>O344</f>
        <v>814</v>
      </c>
      <c r="V344" s="45">
        <f>U344*M344</f>
        <v>311477.09999999998</v>
      </c>
      <c r="W344" s="36">
        <v>600</v>
      </c>
      <c r="X344" s="86">
        <v>229590</v>
      </c>
      <c r="Y344" s="199">
        <v>382.65</v>
      </c>
      <c r="Z344" s="44">
        <v>34</v>
      </c>
      <c r="AA344" s="41">
        <f t="shared" si="140"/>
        <v>13010.099999999999</v>
      </c>
      <c r="AB344" s="44">
        <v>0</v>
      </c>
      <c r="AC344" s="44">
        <f t="shared" si="138"/>
        <v>0</v>
      </c>
      <c r="AD344" s="44">
        <f t="shared" si="141"/>
        <v>34</v>
      </c>
      <c r="AE344" s="111">
        <f t="shared" si="142"/>
        <v>13010.099999999999</v>
      </c>
      <c r="AF344" s="51" t="s">
        <v>571</v>
      </c>
      <c r="AG344" s="115"/>
      <c r="AH344" s="35">
        <v>0</v>
      </c>
      <c r="AI344" s="36">
        <v>0</v>
      </c>
      <c r="AJ344" s="36">
        <v>0</v>
      </c>
      <c r="AK344" s="36"/>
      <c r="AL344" s="36">
        <v>0</v>
      </c>
      <c r="AM344" s="36">
        <v>0</v>
      </c>
      <c r="AN344" s="46">
        <v>0</v>
      </c>
      <c r="AO344" s="100">
        <f>SUM(AH344:AN344)</f>
        <v>0</v>
      </c>
      <c r="AP344" s="3">
        <f t="shared" si="139"/>
        <v>0</v>
      </c>
    </row>
    <row r="345" spans="1:42" x14ac:dyDescent="0.2">
      <c r="A345" s="35" t="s">
        <v>201</v>
      </c>
      <c r="B345" s="37" t="s">
        <v>556</v>
      </c>
      <c r="C345" s="37" t="s">
        <v>578</v>
      </c>
      <c r="D345" s="52">
        <v>46752</v>
      </c>
      <c r="E345" s="38" t="s">
        <v>772</v>
      </c>
      <c r="F345" s="36" t="s">
        <v>559</v>
      </c>
      <c r="G345" s="36" t="s">
        <v>637</v>
      </c>
      <c r="H345" s="39">
        <v>5640</v>
      </c>
      <c r="I345" s="40">
        <v>171838.07999999999</v>
      </c>
      <c r="J345" s="39">
        <v>4052</v>
      </c>
      <c r="K345" s="40">
        <v>128191.13000000002</v>
      </c>
      <c r="L345" s="37" t="s">
        <v>578</v>
      </c>
      <c r="M345" s="41">
        <v>31.970086455331412</v>
      </c>
      <c r="N345" s="42">
        <v>520</v>
      </c>
      <c r="O345" s="36">
        <v>1056</v>
      </c>
      <c r="P345" s="41">
        <f>(N345+O345)*M345</f>
        <v>50384.856253602302</v>
      </c>
      <c r="Q345" s="36">
        <v>1000</v>
      </c>
      <c r="R345" s="43">
        <f>O345-Q345</f>
        <v>56</v>
      </c>
      <c r="S345" s="43">
        <f>U345-O345</f>
        <v>0</v>
      </c>
      <c r="T345" s="41">
        <f>S345*M345</f>
        <v>0</v>
      </c>
      <c r="U345" s="44">
        <f>O345</f>
        <v>1056</v>
      </c>
      <c r="V345" s="45">
        <f>U345*M345</f>
        <v>33760.411296829974</v>
      </c>
      <c r="W345" s="36">
        <v>4164</v>
      </c>
      <c r="X345" s="86">
        <v>133123.44</v>
      </c>
      <c r="Y345" s="199">
        <v>32.14</v>
      </c>
      <c r="Z345" s="44">
        <v>0</v>
      </c>
      <c r="AA345" s="41">
        <f t="shared" si="140"/>
        <v>0</v>
      </c>
      <c r="AB345" s="44">
        <v>0</v>
      </c>
      <c r="AC345" s="44">
        <f t="shared" ref="AC345:AC376" si="149">AB345+AO345</f>
        <v>400</v>
      </c>
      <c r="AD345" s="44">
        <f t="shared" si="141"/>
        <v>400</v>
      </c>
      <c r="AE345" s="111">
        <f t="shared" si="142"/>
        <v>12856</v>
      </c>
      <c r="AF345" s="51" t="s">
        <v>571</v>
      </c>
      <c r="AG345" s="115"/>
      <c r="AH345" s="35">
        <v>400</v>
      </c>
      <c r="AI345" s="36">
        <v>0</v>
      </c>
      <c r="AJ345" s="36">
        <v>0</v>
      </c>
      <c r="AK345" s="36"/>
      <c r="AL345" s="36">
        <v>0</v>
      </c>
      <c r="AM345" s="36">
        <v>0</v>
      </c>
      <c r="AN345" s="46">
        <v>0</v>
      </c>
      <c r="AO345" s="100">
        <f>SUM(AH345:AN345)</f>
        <v>400</v>
      </c>
      <c r="AP345" s="3">
        <f t="shared" si="139"/>
        <v>12856</v>
      </c>
    </row>
    <row r="346" spans="1:42" x14ac:dyDescent="0.2">
      <c r="A346" s="35" t="s">
        <v>192</v>
      </c>
      <c r="B346" s="37" t="s">
        <v>556</v>
      </c>
      <c r="C346" s="37" t="s">
        <v>578</v>
      </c>
      <c r="D346" s="52">
        <v>46752</v>
      </c>
      <c r="E346" s="38" t="s">
        <v>772</v>
      </c>
      <c r="F346" s="36" t="s">
        <v>559</v>
      </c>
      <c r="G346" s="36" t="s">
        <v>616</v>
      </c>
      <c r="H346" s="39">
        <v>1700</v>
      </c>
      <c r="I346" s="40">
        <v>77986.75999999998</v>
      </c>
      <c r="J346" s="39">
        <v>552</v>
      </c>
      <c r="K346" s="40">
        <v>26374.559999999998</v>
      </c>
      <c r="L346" s="37" t="s">
        <v>571</v>
      </c>
      <c r="M346" s="41">
        <v>48.455161290322586</v>
      </c>
      <c r="N346" s="42">
        <v>0</v>
      </c>
      <c r="O346" s="36">
        <v>1426</v>
      </c>
      <c r="P346" s="41">
        <f>(N346+O346)*M346</f>
        <v>69097.060000000012</v>
      </c>
      <c r="Q346" s="36">
        <v>1288</v>
      </c>
      <c r="R346" s="43">
        <f>O346-Q346</f>
        <v>138</v>
      </c>
      <c r="S346" s="43">
        <f>U346-O346</f>
        <v>138</v>
      </c>
      <c r="T346" s="41">
        <f>S346*M346</f>
        <v>6686.8122580645168</v>
      </c>
      <c r="U346" s="44">
        <v>1564</v>
      </c>
      <c r="V346" s="45">
        <f>U346*M346</f>
        <v>75783.872258064526</v>
      </c>
      <c r="W346" s="36">
        <v>1426</v>
      </c>
      <c r="X346" s="86">
        <v>69097.060000000012</v>
      </c>
      <c r="Y346" s="199">
        <v>49.57</v>
      </c>
      <c r="Z346" s="44">
        <v>240</v>
      </c>
      <c r="AA346" s="41">
        <f t="shared" si="140"/>
        <v>11896.8</v>
      </c>
      <c r="AB346" s="44">
        <v>0</v>
      </c>
      <c r="AC346" s="44">
        <f t="shared" si="149"/>
        <v>0</v>
      </c>
      <c r="AD346" s="44">
        <f t="shared" si="141"/>
        <v>240</v>
      </c>
      <c r="AE346" s="111">
        <f t="shared" si="142"/>
        <v>11896.8</v>
      </c>
      <c r="AF346" s="51" t="s">
        <v>571</v>
      </c>
      <c r="AG346" s="115"/>
      <c r="AH346" s="35">
        <v>0</v>
      </c>
      <c r="AI346" s="36">
        <v>0</v>
      </c>
      <c r="AJ346" s="36">
        <v>0</v>
      </c>
      <c r="AK346" s="36"/>
      <c r="AL346" s="36">
        <v>0</v>
      </c>
      <c r="AM346" s="36">
        <v>0</v>
      </c>
      <c r="AN346" s="46">
        <v>0</v>
      </c>
      <c r="AO346" s="100">
        <f>SUM(AH346:AN346)</f>
        <v>0</v>
      </c>
      <c r="AP346" s="3">
        <f t="shared" si="139"/>
        <v>0</v>
      </c>
    </row>
    <row r="347" spans="1:42" x14ac:dyDescent="0.2">
      <c r="A347" s="35" t="s">
        <v>1095</v>
      </c>
      <c r="B347" s="37" t="s">
        <v>565</v>
      </c>
      <c r="C347" s="37" t="s">
        <v>571</v>
      </c>
      <c r="D347" s="52"/>
      <c r="E347" s="38" t="s">
        <v>1098</v>
      </c>
      <c r="F347" s="36" t="s">
        <v>559</v>
      </c>
      <c r="G347" s="36"/>
      <c r="H347" s="39"/>
      <c r="I347" s="40"/>
      <c r="J347" s="39"/>
      <c r="K347" s="40"/>
      <c r="L347" s="51"/>
      <c r="M347" s="41"/>
      <c r="N347" s="41"/>
      <c r="O347" s="36"/>
      <c r="P347" s="41"/>
      <c r="Q347" s="36"/>
      <c r="R347" s="43"/>
      <c r="S347" s="43"/>
      <c r="T347" s="41"/>
      <c r="U347" s="44"/>
      <c r="V347" s="45"/>
      <c r="W347" s="36"/>
      <c r="X347" s="86"/>
      <c r="Y347" s="199">
        <v>86.21</v>
      </c>
      <c r="Z347" s="44">
        <v>130</v>
      </c>
      <c r="AA347" s="41">
        <f t="shared" si="140"/>
        <v>11207.3</v>
      </c>
      <c r="AB347" s="44">
        <v>0</v>
      </c>
      <c r="AC347" s="44">
        <f t="shared" si="149"/>
        <v>0</v>
      </c>
      <c r="AD347" s="44">
        <f t="shared" si="141"/>
        <v>130</v>
      </c>
      <c r="AE347" s="111">
        <f t="shared" si="142"/>
        <v>11207.3</v>
      </c>
      <c r="AF347" s="51" t="s">
        <v>571</v>
      </c>
      <c r="AG347" s="115"/>
      <c r="AH347" s="35">
        <v>0</v>
      </c>
      <c r="AI347" s="36"/>
      <c r="AJ347" s="36"/>
      <c r="AK347" s="36"/>
      <c r="AL347" s="36"/>
      <c r="AM347" s="36"/>
      <c r="AN347" s="46"/>
      <c r="AO347" s="100"/>
      <c r="AP347" s="3">
        <f t="shared" si="139"/>
        <v>0</v>
      </c>
    </row>
    <row r="348" spans="1:42" x14ac:dyDescent="0.2">
      <c r="A348" s="49" t="s">
        <v>853</v>
      </c>
      <c r="B348" s="37" t="s">
        <v>565</v>
      </c>
      <c r="C348" s="37" t="s">
        <v>571</v>
      </c>
      <c r="D348" s="52"/>
      <c r="E348" s="38" t="s">
        <v>770</v>
      </c>
      <c r="F348" s="36" t="s">
        <v>564</v>
      </c>
      <c r="G348" s="36" t="s">
        <v>564</v>
      </c>
      <c r="H348" s="39"/>
      <c r="I348" s="40"/>
      <c r="J348" s="39">
        <v>305</v>
      </c>
      <c r="K348" s="40">
        <v>31314.35</v>
      </c>
      <c r="L348" s="51"/>
      <c r="M348" s="41">
        <v>105.88</v>
      </c>
      <c r="N348" s="41"/>
      <c r="O348" s="36"/>
      <c r="P348" s="41"/>
      <c r="Q348" s="36"/>
      <c r="R348" s="43"/>
      <c r="S348" s="43"/>
      <c r="T348" s="41"/>
      <c r="U348" s="44"/>
      <c r="V348" s="45"/>
      <c r="W348" s="36">
        <v>75</v>
      </c>
      <c r="X348" s="86">
        <v>7941</v>
      </c>
      <c r="Y348" s="199">
        <v>105.88</v>
      </c>
      <c r="Z348" s="44">
        <v>0</v>
      </c>
      <c r="AA348" s="41">
        <f t="shared" si="140"/>
        <v>0</v>
      </c>
      <c r="AB348" s="44">
        <v>0</v>
      </c>
      <c r="AC348" s="44">
        <f t="shared" si="149"/>
        <v>100</v>
      </c>
      <c r="AD348" s="44">
        <f t="shared" si="141"/>
        <v>100</v>
      </c>
      <c r="AE348" s="111">
        <f t="shared" si="142"/>
        <v>10588</v>
      </c>
      <c r="AF348" s="51" t="s">
        <v>571</v>
      </c>
      <c r="AG348" s="115"/>
      <c r="AH348" s="35">
        <v>0</v>
      </c>
      <c r="AI348" s="36">
        <v>0</v>
      </c>
      <c r="AJ348" s="36">
        <v>0</v>
      </c>
      <c r="AK348" s="36"/>
      <c r="AL348" s="36">
        <v>0</v>
      </c>
      <c r="AM348" s="36">
        <v>0</v>
      </c>
      <c r="AN348" s="46">
        <v>100</v>
      </c>
      <c r="AO348" s="100">
        <f t="shared" ref="AO348:AO389" si="150">SUM(AH348:AN348)</f>
        <v>100</v>
      </c>
      <c r="AP348" s="3">
        <f t="shared" si="139"/>
        <v>10588</v>
      </c>
    </row>
    <row r="349" spans="1:42" x14ac:dyDescent="0.2">
      <c r="A349" s="35" t="s">
        <v>242</v>
      </c>
      <c r="B349" s="37" t="s">
        <v>565</v>
      </c>
      <c r="C349" s="37" t="s">
        <v>578</v>
      </c>
      <c r="D349" s="52">
        <v>46387</v>
      </c>
      <c r="E349" s="38" t="s">
        <v>754</v>
      </c>
      <c r="F349" s="36" t="s">
        <v>559</v>
      </c>
      <c r="G349" s="36" t="s">
        <v>598</v>
      </c>
      <c r="H349" s="39">
        <v>113</v>
      </c>
      <c r="I349" s="40">
        <v>15829.04</v>
      </c>
      <c r="J349" s="39">
        <v>0</v>
      </c>
      <c r="K349" s="40">
        <v>0</v>
      </c>
      <c r="L349" s="37" t="s">
        <v>571</v>
      </c>
      <c r="M349" s="41">
        <v>140.07999999999998</v>
      </c>
      <c r="N349" s="42">
        <v>0</v>
      </c>
      <c r="O349" s="36">
        <v>114</v>
      </c>
      <c r="P349" s="41">
        <f t="shared" ref="P349:P358" si="151">(N349+O349)*M349</f>
        <v>15969.119999999999</v>
      </c>
      <c r="Q349" s="36">
        <v>54</v>
      </c>
      <c r="R349" s="43">
        <f t="shared" ref="R349:R358" si="152">O349-Q349</f>
        <v>60</v>
      </c>
      <c r="S349" s="43">
        <f t="shared" ref="S349:S358" si="153">U349-O349</f>
        <v>0</v>
      </c>
      <c r="T349" s="41">
        <f t="shared" ref="T349:T358" si="154">S349*M349</f>
        <v>0</v>
      </c>
      <c r="U349" s="44">
        <f>O349</f>
        <v>114</v>
      </c>
      <c r="V349" s="45">
        <f t="shared" ref="V349:V358" si="155">U349*M349</f>
        <v>15969.119999999999</v>
      </c>
      <c r="W349" s="36">
        <v>118</v>
      </c>
      <c r="X349" s="86">
        <v>16529.439999999999</v>
      </c>
      <c r="Y349" s="199">
        <v>140.08000000000001</v>
      </c>
      <c r="Z349" s="44">
        <v>40</v>
      </c>
      <c r="AA349" s="41">
        <f t="shared" si="140"/>
        <v>5603.2000000000007</v>
      </c>
      <c r="AB349" s="44">
        <v>0</v>
      </c>
      <c r="AC349" s="44">
        <f t="shared" si="149"/>
        <v>34</v>
      </c>
      <c r="AD349" s="44">
        <f t="shared" si="141"/>
        <v>74</v>
      </c>
      <c r="AE349" s="111">
        <f t="shared" si="142"/>
        <v>10365.92</v>
      </c>
      <c r="AF349" s="51" t="s">
        <v>571</v>
      </c>
      <c r="AG349" s="115"/>
      <c r="AH349" s="35">
        <v>34</v>
      </c>
      <c r="AI349" s="36">
        <v>0</v>
      </c>
      <c r="AJ349" s="36">
        <v>0</v>
      </c>
      <c r="AK349" s="36"/>
      <c r="AL349" s="36">
        <v>0</v>
      </c>
      <c r="AM349" s="36">
        <v>0</v>
      </c>
      <c r="AN349" s="46">
        <v>0</v>
      </c>
      <c r="AO349" s="100">
        <f t="shared" si="150"/>
        <v>34</v>
      </c>
      <c r="AP349" s="3">
        <f t="shared" si="139"/>
        <v>4762.72</v>
      </c>
    </row>
    <row r="350" spans="1:42" x14ac:dyDescent="0.2">
      <c r="A350" s="35" t="s">
        <v>50</v>
      </c>
      <c r="B350" s="37" t="s">
        <v>565</v>
      </c>
      <c r="C350" s="37" t="s">
        <v>578</v>
      </c>
      <c r="D350" s="52">
        <v>46387</v>
      </c>
      <c r="E350" s="38" t="s">
        <v>754</v>
      </c>
      <c r="F350" s="36" t="s">
        <v>559</v>
      </c>
      <c r="G350" s="36" t="s">
        <v>601</v>
      </c>
      <c r="H350" s="39">
        <v>0</v>
      </c>
      <c r="I350" s="40">
        <v>0</v>
      </c>
      <c r="J350" s="39">
        <v>120</v>
      </c>
      <c r="K350" s="40">
        <v>17268</v>
      </c>
      <c r="L350" s="37" t="s">
        <v>571</v>
      </c>
      <c r="M350" s="41">
        <v>143.9</v>
      </c>
      <c r="N350" s="42">
        <v>0</v>
      </c>
      <c r="O350" s="36">
        <v>183</v>
      </c>
      <c r="P350" s="41">
        <f t="shared" si="151"/>
        <v>26333.7</v>
      </c>
      <c r="Q350" s="36">
        <v>29</v>
      </c>
      <c r="R350" s="43">
        <f t="shared" si="152"/>
        <v>154</v>
      </c>
      <c r="S350" s="43">
        <f t="shared" si="153"/>
        <v>0</v>
      </c>
      <c r="T350" s="41">
        <f t="shared" si="154"/>
        <v>0</v>
      </c>
      <c r="U350" s="44">
        <v>183</v>
      </c>
      <c r="V350" s="45">
        <f t="shared" si="155"/>
        <v>26333.7</v>
      </c>
      <c r="W350" s="36">
        <v>183</v>
      </c>
      <c r="X350" s="86">
        <v>26333.7</v>
      </c>
      <c r="Y350" s="199">
        <v>143.9</v>
      </c>
      <c r="Z350" s="44">
        <v>50</v>
      </c>
      <c r="AA350" s="41">
        <f t="shared" si="140"/>
        <v>7195</v>
      </c>
      <c r="AB350" s="44">
        <v>0</v>
      </c>
      <c r="AC350" s="44">
        <f t="shared" si="149"/>
        <v>22</v>
      </c>
      <c r="AD350" s="44">
        <f t="shared" si="141"/>
        <v>72</v>
      </c>
      <c r="AE350" s="111">
        <f t="shared" si="142"/>
        <v>10360.800000000001</v>
      </c>
      <c r="AF350" s="51" t="s">
        <v>571</v>
      </c>
      <c r="AG350" s="115"/>
      <c r="AH350" s="35">
        <v>22</v>
      </c>
      <c r="AI350" s="36">
        <v>0</v>
      </c>
      <c r="AJ350" s="36">
        <v>0</v>
      </c>
      <c r="AK350" s="36"/>
      <c r="AL350" s="36">
        <v>0</v>
      </c>
      <c r="AM350" s="36">
        <v>0</v>
      </c>
      <c r="AN350" s="46">
        <v>0</v>
      </c>
      <c r="AO350" s="100">
        <f t="shared" si="150"/>
        <v>22</v>
      </c>
      <c r="AP350" s="3">
        <f t="shared" si="139"/>
        <v>3165.8</v>
      </c>
    </row>
    <row r="351" spans="1:42" x14ac:dyDescent="0.2">
      <c r="A351" s="35" t="s">
        <v>128</v>
      </c>
      <c r="B351" s="37" t="s">
        <v>565</v>
      </c>
      <c r="C351" s="37" t="s">
        <v>578</v>
      </c>
      <c r="D351" s="52">
        <v>46752</v>
      </c>
      <c r="E351" s="38" t="s">
        <v>772</v>
      </c>
      <c r="F351" s="36" t="s">
        <v>559</v>
      </c>
      <c r="G351" s="36" t="s">
        <v>637</v>
      </c>
      <c r="H351" s="39">
        <v>375</v>
      </c>
      <c r="I351" s="40">
        <v>24217.5</v>
      </c>
      <c r="J351" s="39">
        <v>0</v>
      </c>
      <c r="K351" s="40">
        <v>0</v>
      </c>
      <c r="L351" s="37" t="s">
        <v>571</v>
      </c>
      <c r="M351" s="41" t="e">
        <v>#DIV/0!</v>
      </c>
      <c r="N351" s="42">
        <v>0</v>
      </c>
      <c r="O351" s="36">
        <v>160</v>
      </c>
      <c r="P351" s="41" t="e">
        <f t="shared" si="151"/>
        <v>#DIV/0!</v>
      </c>
      <c r="Q351" s="36">
        <v>100</v>
      </c>
      <c r="R351" s="43">
        <f t="shared" si="152"/>
        <v>60</v>
      </c>
      <c r="S351" s="43">
        <f t="shared" si="153"/>
        <v>0</v>
      </c>
      <c r="T351" s="41" t="e">
        <f t="shared" si="154"/>
        <v>#DIV/0!</v>
      </c>
      <c r="U351" s="44">
        <v>160</v>
      </c>
      <c r="V351" s="45" t="e">
        <f t="shared" si="155"/>
        <v>#DIV/0!</v>
      </c>
      <c r="W351" s="36">
        <v>0</v>
      </c>
      <c r="X351" s="86">
        <v>0</v>
      </c>
      <c r="Y351" s="199">
        <v>68.31</v>
      </c>
      <c r="Z351" s="44">
        <v>150</v>
      </c>
      <c r="AA351" s="41">
        <f t="shared" si="140"/>
        <v>10246.5</v>
      </c>
      <c r="AB351" s="44">
        <v>0</v>
      </c>
      <c r="AC351" s="44">
        <f t="shared" si="149"/>
        <v>0</v>
      </c>
      <c r="AD351" s="44">
        <f t="shared" si="141"/>
        <v>150</v>
      </c>
      <c r="AE351" s="111">
        <f t="shared" si="142"/>
        <v>10246.5</v>
      </c>
      <c r="AF351" s="51" t="s">
        <v>571</v>
      </c>
      <c r="AG351" s="115"/>
      <c r="AH351" s="35">
        <v>0</v>
      </c>
      <c r="AI351" s="36">
        <v>0</v>
      </c>
      <c r="AJ351" s="36">
        <v>0</v>
      </c>
      <c r="AK351" s="36"/>
      <c r="AL351" s="36">
        <v>0</v>
      </c>
      <c r="AM351" s="36">
        <v>0</v>
      </c>
      <c r="AN351" s="46">
        <v>0</v>
      </c>
      <c r="AO351" s="100">
        <f t="shared" si="150"/>
        <v>0</v>
      </c>
      <c r="AP351" s="3">
        <f t="shared" si="139"/>
        <v>0</v>
      </c>
    </row>
    <row r="352" spans="1:42" x14ac:dyDescent="0.2">
      <c r="A352" s="35" t="s">
        <v>203</v>
      </c>
      <c r="B352" s="37" t="s">
        <v>565</v>
      </c>
      <c r="C352" s="37" t="s">
        <v>578</v>
      </c>
      <c r="D352" s="52">
        <v>46752</v>
      </c>
      <c r="E352" s="38" t="s">
        <v>772</v>
      </c>
      <c r="F352" s="36" t="s">
        <v>559</v>
      </c>
      <c r="G352" s="36" t="s">
        <v>665</v>
      </c>
      <c r="H352" s="39">
        <v>0</v>
      </c>
      <c r="I352" s="40">
        <v>0</v>
      </c>
      <c r="J352" s="39">
        <v>0</v>
      </c>
      <c r="K352" s="40">
        <v>0</v>
      </c>
      <c r="L352" s="37" t="s">
        <v>571</v>
      </c>
      <c r="M352" s="41" t="e">
        <v>#DIV/0!</v>
      </c>
      <c r="N352" s="42">
        <v>0</v>
      </c>
      <c r="O352" s="36">
        <v>50</v>
      </c>
      <c r="P352" s="41" t="e">
        <f t="shared" si="151"/>
        <v>#DIV/0!</v>
      </c>
      <c r="Q352" s="36">
        <v>50</v>
      </c>
      <c r="R352" s="43">
        <f t="shared" si="152"/>
        <v>0</v>
      </c>
      <c r="S352" s="43">
        <f t="shared" si="153"/>
        <v>0</v>
      </c>
      <c r="T352" s="41" t="e">
        <f t="shared" si="154"/>
        <v>#DIV/0!</v>
      </c>
      <c r="U352" s="44">
        <v>50</v>
      </c>
      <c r="V352" s="45" t="e">
        <f t="shared" si="155"/>
        <v>#DIV/0!</v>
      </c>
      <c r="W352" s="36">
        <v>0</v>
      </c>
      <c r="X352" s="86">
        <v>0</v>
      </c>
      <c r="Y352" s="199">
        <v>203.08</v>
      </c>
      <c r="Z352" s="44">
        <v>50</v>
      </c>
      <c r="AA352" s="41">
        <f t="shared" si="140"/>
        <v>10154</v>
      </c>
      <c r="AB352" s="44">
        <v>0</v>
      </c>
      <c r="AC352" s="44">
        <f t="shared" si="149"/>
        <v>0</v>
      </c>
      <c r="AD352" s="44">
        <f t="shared" si="141"/>
        <v>50</v>
      </c>
      <c r="AE352" s="111">
        <f t="shared" si="142"/>
        <v>10154</v>
      </c>
      <c r="AF352" s="51" t="s">
        <v>571</v>
      </c>
      <c r="AG352" s="115"/>
      <c r="AH352" s="35">
        <v>0</v>
      </c>
      <c r="AI352" s="36">
        <v>0</v>
      </c>
      <c r="AJ352" s="36">
        <v>0</v>
      </c>
      <c r="AK352" s="36"/>
      <c r="AL352" s="36">
        <v>0</v>
      </c>
      <c r="AM352" s="36">
        <v>0</v>
      </c>
      <c r="AN352" s="46">
        <v>0</v>
      </c>
      <c r="AO352" s="100">
        <f t="shared" si="150"/>
        <v>0</v>
      </c>
      <c r="AP352" s="3">
        <f t="shared" si="139"/>
        <v>0</v>
      </c>
    </row>
    <row r="353" spans="1:42" x14ac:dyDescent="0.2">
      <c r="A353" s="35" t="s">
        <v>208</v>
      </c>
      <c r="B353" s="37" t="s">
        <v>565</v>
      </c>
      <c r="C353" s="37" t="s">
        <v>578</v>
      </c>
      <c r="D353" s="52">
        <v>46752</v>
      </c>
      <c r="E353" s="38" t="s">
        <v>772</v>
      </c>
      <c r="F353" s="36" t="s">
        <v>559</v>
      </c>
      <c r="G353" s="36" t="s">
        <v>659</v>
      </c>
      <c r="H353" s="39">
        <v>100</v>
      </c>
      <c r="I353" s="40">
        <v>6592</v>
      </c>
      <c r="J353" s="39">
        <v>260</v>
      </c>
      <c r="K353" s="40">
        <v>17715.5</v>
      </c>
      <c r="L353" s="37" t="s">
        <v>571</v>
      </c>
      <c r="M353" s="41">
        <v>68.75</v>
      </c>
      <c r="N353" s="42">
        <v>0</v>
      </c>
      <c r="O353" s="36">
        <v>150</v>
      </c>
      <c r="P353" s="41">
        <f t="shared" si="151"/>
        <v>10312.5</v>
      </c>
      <c r="Q353" s="36">
        <v>0</v>
      </c>
      <c r="R353" s="43">
        <f t="shared" si="152"/>
        <v>150</v>
      </c>
      <c r="S353" s="43">
        <f t="shared" si="153"/>
        <v>68</v>
      </c>
      <c r="T353" s="41">
        <f t="shared" si="154"/>
        <v>4675</v>
      </c>
      <c r="U353" s="44">
        <v>218</v>
      </c>
      <c r="V353" s="45">
        <f t="shared" si="155"/>
        <v>14987.5</v>
      </c>
      <c r="W353" s="36">
        <v>50</v>
      </c>
      <c r="X353" s="86">
        <v>3437.5</v>
      </c>
      <c r="Y353" s="199">
        <v>68.75</v>
      </c>
      <c r="Z353" s="44">
        <v>50</v>
      </c>
      <c r="AA353" s="41">
        <f t="shared" si="140"/>
        <v>3437.5</v>
      </c>
      <c r="AB353" s="44">
        <v>0</v>
      </c>
      <c r="AC353" s="44">
        <f t="shared" si="149"/>
        <v>96</v>
      </c>
      <c r="AD353" s="44">
        <f t="shared" si="141"/>
        <v>146</v>
      </c>
      <c r="AE353" s="111">
        <f t="shared" si="142"/>
        <v>10037.5</v>
      </c>
      <c r="AF353" s="51" t="s">
        <v>571</v>
      </c>
      <c r="AG353" s="115"/>
      <c r="AH353" s="35">
        <v>96</v>
      </c>
      <c r="AI353" s="36">
        <v>0</v>
      </c>
      <c r="AJ353" s="36">
        <v>0</v>
      </c>
      <c r="AK353" s="36"/>
      <c r="AL353" s="36">
        <v>0</v>
      </c>
      <c r="AM353" s="36">
        <v>0</v>
      </c>
      <c r="AN353" s="46">
        <v>0</v>
      </c>
      <c r="AO353" s="100">
        <f t="shared" si="150"/>
        <v>96</v>
      </c>
      <c r="AP353" s="3">
        <f t="shared" si="139"/>
        <v>6600</v>
      </c>
    </row>
    <row r="354" spans="1:42" x14ac:dyDescent="0.2">
      <c r="A354" s="35" t="s">
        <v>335</v>
      </c>
      <c r="B354" s="37" t="s">
        <v>556</v>
      </c>
      <c r="C354" s="37" t="s">
        <v>578</v>
      </c>
      <c r="D354" s="52">
        <v>46387</v>
      </c>
      <c r="E354" s="38" t="s">
        <v>754</v>
      </c>
      <c r="F354" s="36" t="s">
        <v>557</v>
      </c>
      <c r="G354" s="36" t="s">
        <v>618</v>
      </c>
      <c r="H354" s="39">
        <v>126</v>
      </c>
      <c r="I354" s="40">
        <v>50585.22</v>
      </c>
      <c r="J354" s="39">
        <v>0</v>
      </c>
      <c r="K354" s="40">
        <v>0</v>
      </c>
      <c r="L354" s="37" t="s">
        <v>571</v>
      </c>
      <c r="M354" s="41" t="e">
        <v>#DIV/0!</v>
      </c>
      <c r="N354" s="42">
        <v>0</v>
      </c>
      <c r="O354" s="36">
        <v>1</v>
      </c>
      <c r="P354" s="41" t="e">
        <f t="shared" si="151"/>
        <v>#DIV/0!</v>
      </c>
      <c r="Q354" s="36">
        <v>52</v>
      </c>
      <c r="R354" s="43">
        <f t="shared" si="152"/>
        <v>-51</v>
      </c>
      <c r="S354" s="43">
        <f t="shared" si="153"/>
        <v>29</v>
      </c>
      <c r="T354" s="41" t="e">
        <f t="shared" si="154"/>
        <v>#DIV/0!</v>
      </c>
      <c r="U354" s="44">
        <v>30</v>
      </c>
      <c r="V354" s="45" t="e">
        <f t="shared" si="155"/>
        <v>#DIV/0!</v>
      </c>
      <c r="W354" s="36">
        <v>0</v>
      </c>
      <c r="X354" s="86">
        <v>0</v>
      </c>
      <c r="Y354" s="199">
        <v>401.47</v>
      </c>
      <c r="Z354" s="44">
        <v>20</v>
      </c>
      <c r="AA354" s="41">
        <f t="shared" si="140"/>
        <v>8029.4000000000005</v>
      </c>
      <c r="AB354" s="44">
        <v>0</v>
      </c>
      <c r="AC354" s="44">
        <f t="shared" si="149"/>
        <v>4</v>
      </c>
      <c r="AD354" s="44">
        <f t="shared" si="141"/>
        <v>24</v>
      </c>
      <c r="AE354" s="111">
        <f t="shared" si="142"/>
        <v>9635.2800000000007</v>
      </c>
      <c r="AF354" s="51" t="s">
        <v>571</v>
      </c>
      <c r="AG354" s="115"/>
      <c r="AH354" s="35">
        <v>4</v>
      </c>
      <c r="AI354" s="36">
        <v>0</v>
      </c>
      <c r="AJ354" s="36">
        <v>0</v>
      </c>
      <c r="AK354" s="36"/>
      <c r="AL354" s="36">
        <v>0</v>
      </c>
      <c r="AM354" s="36">
        <v>0</v>
      </c>
      <c r="AN354" s="46">
        <v>0</v>
      </c>
      <c r="AO354" s="100">
        <f t="shared" si="150"/>
        <v>4</v>
      </c>
      <c r="AP354" s="3">
        <f t="shared" si="139"/>
        <v>1605.88</v>
      </c>
    </row>
    <row r="355" spans="1:42" x14ac:dyDescent="0.2">
      <c r="A355" s="35" t="s">
        <v>415</v>
      </c>
      <c r="B355" s="37" t="s">
        <v>567</v>
      </c>
      <c r="C355" s="37" t="s">
        <v>571</v>
      </c>
      <c r="D355" s="52"/>
      <c r="E355" s="38" t="s">
        <v>758</v>
      </c>
      <c r="F355" s="36" t="s">
        <v>555</v>
      </c>
      <c r="G355" s="36" t="s">
        <v>666</v>
      </c>
      <c r="H355" s="39">
        <v>394</v>
      </c>
      <c r="I355" s="40">
        <v>11820</v>
      </c>
      <c r="J355" s="39">
        <v>350</v>
      </c>
      <c r="K355" s="40">
        <v>13335</v>
      </c>
      <c r="L355" s="37" t="s">
        <v>571</v>
      </c>
      <c r="M355" s="41">
        <v>38.1</v>
      </c>
      <c r="N355" s="42">
        <v>0</v>
      </c>
      <c r="O355" s="36">
        <v>187</v>
      </c>
      <c r="P355" s="41">
        <f t="shared" si="151"/>
        <v>7124.7</v>
      </c>
      <c r="Q355" s="36">
        <v>0</v>
      </c>
      <c r="R355" s="43">
        <f t="shared" si="152"/>
        <v>187</v>
      </c>
      <c r="S355" s="43">
        <f t="shared" si="153"/>
        <v>0</v>
      </c>
      <c r="T355" s="41">
        <f t="shared" si="154"/>
        <v>0</v>
      </c>
      <c r="U355" s="44">
        <f>O355</f>
        <v>187</v>
      </c>
      <c r="V355" s="45">
        <f t="shared" si="155"/>
        <v>7124.7</v>
      </c>
      <c r="W355" s="36">
        <v>187</v>
      </c>
      <c r="X355" s="86">
        <v>7124.7</v>
      </c>
      <c r="Y355" s="199">
        <v>38.1</v>
      </c>
      <c r="Z355" s="44">
        <v>0</v>
      </c>
      <c r="AA355" s="41">
        <f t="shared" si="140"/>
        <v>0</v>
      </c>
      <c r="AB355" s="44">
        <v>0</v>
      </c>
      <c r="AC355" s="44">
        <f t="shared" si="149"/>
        <v>250</v>
      </c>
      <c r="AD355" s="44">
        <f t="shared" si="141"/>
        <v>250</v>
      </c>
      <c r="AE355" s="111">
        <f t="shared" si="142"/>
        <v>9525</v>
      </c>
      <c r="AF355" s="51" t="s">
        <v>571</v>
      </c>
      <c r="AG355" s="115"/>
      <c r="AH355" s="35">
        <v>0</v>
      </c>
      <c r="AI355" s="36">
        <v>250</v>
      </c>
      <c r="AJ355" s="36">
        <v>0</v>
      </c>
      <c r="AK355" s="36"/>
      <c r="AL355" s="36">
        <v>0</v>
      </c>
      <c r="AM355" s="36">
        <v>0</v>
      </c>
      <c r="AN355" s="46">
        <v>0</v>
      </c>
      <c r="AO355" s="100">
        <f t="shared" si="150"/>
        <v>250</v>
      </c>
      <c r="AP355" s="3">
        <f t="shared" si="139"/>
        <v>9525</v>
      </c>
    </row>
    <row r="356" spans="1:42" x14ac:dyDescent="0.2">
      <c r="A356" s="35" t="s">
        <v>204</v>
      </c>
      <c r="B356" s="37" t="s">
        <v>565</v>
      </c>
      <c r="C356" s="37" t="s">
        <v>578</v>
      </c>
      <c r="D356" s="52">
        <v>46752</v>
      </c>
      <c r="E356" s="38" t="s">
        <v>772</v>
      </c>
      <c r="F356" s="36" t="s">
        <v>559</v>
      </c>
      <c r="G356" s="36" t="s">
        <v>637</v>
      </c>
      <c r="H356" s="39">
        <v>1550</v>
      </c>
      <c r="I356" s="40">
        <v>53785</v>
      </c>
      <c r="J356" s="39">
        <v>1980</v>
      </c>
      <c r="K356" s="40">
        <v>71333.900000000009</v>
      </c>
      <c r="L356" s="37" t="s">
        <v>578</v>
      </c>
      <c r="M356" s="41">
        <v>36.700000000000003</v>
      </c>
      <c r="N356" s="42">
        <v>0</v>
      </c>
      <c r="O356" s="36">
        <v>500</v>
      </c>
      <c r="P356" s="41">
        <f t="shared" si="151"/>
        <v>18350</v>
      </c>
      <c r="Q356" s="36">
        <v>339</v>
      </c>
      <c r="R356" s="43">
        <f t="shared" si="152"/>
        <v>161</v>
      </c>
      <c r="S356" s="43">
        <f t="shared" si="153"/>
        <v>0</v>
      </c>
      <c r="T356" s="41">
        <f t="shared" si="154"/>
        <v>0</v>
      </c>
      <c r="U356" s="44">
        <f>O356</f>
        <v>500</v>
      </c>
      <c r="V356" s="45">
        <f t="shared" si="155"/>
        <v>18350</v>
      </c>
      <c r="W356" s="36">
        <v>1600</v>
      </c>
      <c r="X356" s="86">
        <v>58720</v>
      </c>
      <c r="Y356" s="199">
        <v>36.700000000000003</v>
      </c>
      <c r="Z356" s="44">
        <v>253</v>
      </c>
      <c r="AA356" s="41">
        <f t="shared" si="140"/>
        <v>9285.1</v>
      </c>
      <c r="AB356" s="44">
        <v>0</v>
      </c>
      <c r="AC356" s="44">
        <f t="shared" si="149"/>
        <v>0</v>
      </c>
      <c r="AD356" s="44">
        <f t="shared" si="141"/>
        <v>253</v>
      </c>
      <c r="AE356" s="111">
        <f t="shared" si="142"/>
        <v>9285.1</v>
      </c>
      <c r="AF356" s="51" t="s">
        <v>571</v>
      </c>
      <c r="AG356" s="115"/>
      <c r="AH356" s="35">
        <v>0</v>
      </c>
      <c r="AI356" s="36">
        <v>0</v>
      </c>
      <c r="AJ356" s="36">
        <v>0</v>
      </c>
      <c r="AK356" s="36"/>
      <c r="AL356" s="36">
        <v>0</v>
      </c>
      <c r="AM356" s="36">
        <v>0</v>
      </c>
      <c r="AN356" s="46">
        <v>0</v>
      </c>
      <c r="AO356" s="100">
        <f t="shared" si="150"/>
        <v>0</v>
      </c>
      <c r="AP356" s="3">
        <f t="shared" si="139"/>
        <v>0</v>
      </c>
    </row>
    <row r="357" spans="1:42" x14ac:dyDescent="0.2">
      <c r="A357" s="35" t="s">
        <v>227</v>
      </c>
      <c r="B357" s="37" t="s">
        <v>556</v>
      </c>
      <c r="C357" s="37" t="s">
        <v>578</v>
      </c>
      <c r="D357" s="52">
        <v>46387</v>
      </c>
      <c r="E357" s="38" t="s">
        <v>754</v>
      </c>
      <c r="F357" s="36" t="s">
        <v>559</v>
      </c>
      <c r="G357" s="36" t="s">
        <v>601</v>
      </c>
      <c r="H357" s="39">
        <v>0</v>
      </c>
      <c r="I357" s="40">
        <v>0</v>
      </c>
      <c r="J357" s="39">
        <v>9</v>
      </c>
      <c r="K357" s="40">
        <v>8145</v>
      </c>
      <c r="L357" s="37" t="s">
        <v>571</v>
      </c>
      <c r="M357" s="41">
        <v>905</v>
      </c>
      <c r="N357" s="42">
        <v>1</v>
      </c>
      <c r="O357" s="36">
        <v>7</v>
      </c>
      <c r="P357" s="41">
        <f t="shared" si="151"/>
        <v>7240</v>
      </c>
      <c r="Q357" s="36">
        <v>7</v>
      </c>
      <c r="R357" s="43">
        <f t="shared" si="152"/>
        <v>0</v>
      </c>
      <c r="S357" s="43">
        <f t="shared" si="153"/>
        <v>1</v>
      </c>
      <c r="T357" s="41">
        <f t="shared" si="154"/>
        <v>905</v>
      </c>
      <c r="U357" s="44">
        <v>8</v>
      </c>
      <c r="V357" s="45">
        <f t="shared" si="155"/>
        <v>7240</v>
      </c>
      <c r="W357" s="36">
        <v>2</v>
      </c>
      <c r="X357" s="86">
        <v>1810</v>
      </c>
      <c r="Y357" s="199">
        <v>905</v>
      </c>
      <c r="Z357" s="44">
        <v>10</v>
      </c>
      <c r="AA357" s="41">
        <f t="shared" si="140"/>
        <v>9050</v>
      </c>
      <c r="AB357" s="44">
        <v>0</v>
      </c>
      <c r="AC357" s="44">
        <f t="shared" si="149"/>
        <v>0</v>
      </c>
      <c r="AD357" s="44">
        <f t="shared" si="141"/>
        <v>10</v>
      </c>
      <c r="AE357" s="111">
        <f t="shared" si="142"/>
        <v>9050</v>
      </c>
      <c r="AF357" s="51" t="s">
        <v>571</v>
      </c>
      <c r="AG357" s="115"/>
      <c r="AH357" s="35">
        <v>0</v>
      </c>
      <c r="AI357" s="36">
        <v>0</v>
      </c>
      <c r="AJ357" s="36">
        <v>0</v>
      </c>
      <c r="AK357" s="36"/>
      <c r="AL357" s="36">
        <v>0</v>
      </c>
      <c r="AM357" s="36">
        <v>0</v>
      </c>
      <c r="AN357" s="46">
        <v>0</v>
      </c>
      <c r="AO357" s="100">
        <f t="shared" si="150"/>
        <v>0</v>
      </c>
      <c r="AP357" s="3">
        <f t="shared" si="139"/>
        <v>0</v>
      </c>
    </row>
    <row r="358" spans="1:42" x14ac:dyDescent="0.2">
      <c r="A358" s="35" t="s">
        <v>202</v>
      </c>
      <c r="B358" s="37" t="s">
        <v>565</v>
      </c>
      <c r="C358" s="37" t="s">
        <v>578</v>
      </c>
      <c r="D358" s="52">
        <v>46752</v>
      </c>
      <c r="E358" s="38" t="s">
        <v>772</v>
      </c>
      <c r="F358" s="36" t="s">
        <v>559</v>
      </c>
      <c r="G358" s="36" t="s">
        <v>665</v>
      </c>
      <c r="H358" s="39">
        <v>1068</v>
      </c>
      <c r="I358" s="40">
        <v>43279.520000000004</v>
      </c>
      <c r="J358" s="39">
        <v>0</v>
      </c>
      <c r="K358" s="40">
        <v>0</v>
      </c>
      <c r="L358" s="37" t="s">
        <v>571</v>
      </c>
      <c r="M358" s="41">
        <v>41.82</v>
      </c>
      <c r="N358" s="42">
        <v>0</v>
      </c>
      <c r="O358" s="36">
        <v>100</v>
      </c>
      <c r="P358" s="41">
        <f t="shared" si="151"/>
        <v>4182</v>
      </c>
      <c r="Q358" s="36">
        <v>0</v>
      </c>
      <c r="R358" s="43">
        <f t="shared" si="152"/>
        <v>100</v>
      </c>
      <c r="S358" s="43">
        <f t="shared" si="153"/>
        <v>0</v>
      </c>
      <c r="T358" s="41">
        <f t="shared" si="154"/>
        <v>0</v>
      </c>
      <c r="U358" s="44">
        <v>100</v>
      </c>
      <c r="V358" s="45">
        <f t="shared" si="155"/>
        <v>4182</v>
      </c>
      <c r="W358" s="36">
        <v>100</v>
      </c>
      <c r="X358" s="86">
        <v>4182</v>
      </c>
      <c r="Y358" s="199">
        <v>41.82</v>
      </c>
      <c r="Z358" s="44">
        <v>200</v>
      </c>
      <c r="AA358" s="41">
        <f t="shared" si="140"/>
        <v>8364</v>
      </c>
      <c r="AB358" s="44">
        <v>0</v>
      </c>
      <c r="AC358" s="44">
        <f t="shared" si="149"/>
        <v>0</v>
      </c>
      <c r="AD358" s="44">
        <f t="shared" si="141"/>
        <v>200</v>
      </c>
      <c r="AE358" s="111">
        <f t="shared" si="142"/>
        <v>8364</v>
      </c>
      <c r="AF358" s="51" t="s">
        <v>571</v>
      </c>
      <c r="AG358" s="115"/>
      <c r="AH358" s="35">
        <v>0</v>
      </c>
      <c r="AI358" s="36">
        <v>0</v>
      </c>
      <c r="AJ358" s="36">
        <v>0</v>
      </c>
      <c r="AK358" s="36"/>
      <c r="AL358" s="36">
        <v>0</v>
      </c>
      <c r="AM358" s="36">
        <v>0</v>
      </c>
      <c r="AN358" s="46">
        <v>0</v>
      </c>
      <c r="AO358" s="100">
        <f t="shared" si="150"/>
        <v>0</v>
      </c>
      <c r="AP358" s="3">
        <f t="shared" si="139"/>
        <v>0</v>
      </c>
    </row>
    <row r="359" spans="1:42" x14ac:dyDescent="0.2">
      <c r="A359" s="49" t="s">
        <v>866</v>
      </c>
      <c r="B359" s="37" t="s">
        <v>565</v>
      </c>
      <c r="C359" s="37" t="s">
        <v>571</v>
      </c>
      <c r="D359" s="52"/>
      <c r="E359" s="38" t="s">
        <v>791</v>
      </c>
      <c r="F359" s="36" t="s">
        <v>557</v>
      </c>
      <c r="G359" s="36" t="s">
        <v>634</v>
      </c>
      <c r="H359" s="39"/>
      <c r="I359" s="40"/>
      <c r="J359" s="39">
        <v>5</v>
      </c>
      <c r="K359" s="40">
        <v>3463.65</v>
      </c>
      <c r="L359" s="51"/>
      <c r="M359" s="41">
        <v>830.61</v>
      </c>
      <c r="N359" s="41"/>
      <c r="O359" s="36"/>
      <c r="P359" s="41"/>
      <c r="Q359" s="36"/>
      <c r="R359" s="43"/>
      <c r="S359" s="43"/>
      <c r="T359" s="41"/>
      <c r="U359" s="44"/>
      <c r="V359" s="45"/>
      <c r="W359" s="36">
        <v>10</v>
      </c>
      <c r="X359" s="86">
        <v>8306.1</v>
      </c>
      <c r="Y359" s="199">
        <v>830.61</v>
      </c>
      <c r="Z359" s="44">
        <v>0</v>
      </c>
      <c r="AA359" s="41">
        <f t="shared" si="140"/>
        <v>0</v>
      </c>
      <c r="AB359" s="44">
        <v>0</v>
      </c>
      <c r="AC359" s="44">
        <f t="shared" si="149"/>
        <v>10</v>
      </c>
      <c r="AD359" s="44">
        <f t="shared" si="141"/>
        <v>10</v>
      </c>
      <c r="AE359" s="111">
        <f t="shared" si="142"/>
        <v>8306.1</v>
      </c>
      <c r="AF359" s="51" t="s">
        <v>571</v>
      </c>
      <c r="AG359" s="115"/>
      <c r="AH359" s="35">
        <v>0</v>
      </c>
      <c r="AI359" s="36">
        <v>0</v>
      </c>
      <c r="AJ359" s="36">
        <v>0</v>
      </c>
      <c r="AK359" s="36"/>
      <c r="AL359" s="36">
        <v>0</v>
      </c>
      <c r="AM359" s="36">
        <v>0</v>
      </c>
      <c r="AN359" s="46">
        <v>10</v>
      </c>
      <c r="AO359" s="100">
        <f t="shared" si="150"/>
        <v>10</v>
      </c>
      <c r="AP359" s="3">
        <f t="shared" si="139"/>
        <v>8306.1</v>
      </c>
    </row>
    <row r="360" spans="1:42" x14ac:dyDescent="0.2">
      <c r="A360" s="35" t="s">
        <v>86</v>
      </c>
      <c r="B360" s="37" t="s">
        <v>556</v>
      </c>
      <c r="C360" s="37" t="s">
        <v>578</v>
      </c>
      <c r="D360" s="52">
        <v>46387</v>
      </c>
      <c r="E360" s="38" t="s">
        <v>754</v>
      </c>
      <c r="F360" s="36" t="s">
        <v>559</v>
      </c>
      <c r="G360" s="36" t="s">
        <v>661</v>
      </c>
      <c r="H360" s="39">
        <v>528</v>
      </c>
      <c r="I360" s="40">
        <v>126661.92</v>
      </c>
      <c r="J360" s="39">
        <v>0</v>
      </c>
      <c r="K360" s="40">
        <v>0</v>
      </c>
      <c r="L360" s="37" t="s">
        <v>571</v>
      </c>
      <c r="M360" s="41" t="e">
        <v>#DIV/0!</v>
      </c>
      <c r="N360" s="42">
        <v>0</v>
      </c>
      <c r="O360" s="36">
        <v>66</v>
      </c>
      <c r="P360" s="41" t="e">
        <f>(N360+O360)*M360</f>
        <v>#DIV/0!</v>
      </c>
      <c r="Q360" s="36">
        <v>66</v>
      </c>
      <c r="R360" s="43">
        <f>O360-Q360</f>
        <v>0</v>
      </c>
      <c r="S360" s="43">
        <f>U360-O360</f>
        <v>0</v>
      </c>
      <c r="T360" s="41" t="e">
        <f>S360*M360</f>
        <v>#DIV/0!</v>
      </c>
      <c r="U360" s="44">
        <v>66</v>
      </c>
      <c r="V360" s="45" t="e">
        <f>U360*M360</f>
        <v>#DIV/0!</v>
      </c>
      <c r="W360" s="36">
        <v>0</v>
      </c>
      <c r="X360" s="86">
        <v>0</v>
      </c>
      <c r="Y360" s="199">
        <v>239.89</v>
      </c>
      <c r="Z360" s="44">
        <v>0</v>
      </c>
      <c r="AA360" s="41">
        <f t="shared" si="140"/>
        <v>0</v>
      </c>
      <c r="AB360" s="44">
        <v>0</v>
      </c>
      <c r="AC360" s="44">
        <f t="shared" si="149"/>
        <v>34</v>
      </c>
      <c r="AD360" s="44">
        <f t="shared" si="141"/>
        <v>34</v>
      </c>
      <c r="AE360" s="111">
        <f t="shared" si="142"/>
        <v>8156.2599999999993</v>
      </c>
      <c r="AF360" s="51" t="s">
        <v>571</v>
      </c>
      <c r="AG360" s="115"/>
      <c r="AH360" s="35">
        <v>34</v>
      </c>
      <c r="AI360" s="36">
        <v>0</v>
      </c>
      <c r="AJ360" s="36">
        <v>0</v>
      </c>
      <c r="AK360" s="36"/>
      <c r="AL360" s="36">
        <v>0</v>
      </c>
      <c r="AM360" s="36">
        <v>0</v>
      </c>
      <c r="AN360" s="46">
        <v>0</v>
      </c>
      <c r="AO360" s="100">
        <f t="shared" si="150"/>
        <v>34</v>
      </c>
      <c r="AP360" s="3">
        <f t="shared" si="139"/>
        <v>8156.2599999999993</v>
      </c>
    </row>
    <row r="361" spans="1:42" x14ac:dyDescent="0.2">
      <c r="A361" s="35" t="s">
        <v>429</v>
      </c>
      <c r="B361" s="37" t="s">
        <v>565</v>
      </c>
      <c r="C361" s="37" t="s">
        <v>571</v>
      </c>
      <c r="D361" s="52"/>
      <c r="E361" s="38" t="s">
        <v>594</v>
      </c>
      <c r="F361" s="36" t="s">
        <v>555</v>
      </c>
      <c r="G361" s="36" t="s">
        <v>624</v>
      </c>
      <c r="H361" s="39">
        <v>20</v>
      </c>
      <c r="I361" s="40">
        <v>15700</v>
      </c>
      <c r="J361" s="39">
        <v>15</v>
      </c>
      <c r="K361" s="40">
        <v>12525</v>
      </c>
      <c r="L361" s="37" t="s">
        <v>571</v>
      </c>
      <c r="M361" s="41">
        <v>835</v>
      </c>
      <c r="N361" s="42">
        <v>0</v>
      </c>
      <c r="O361" s="36">
        <v>113</v>
      </c>
      <c r="P361" s="41">
        <f>(N361+O361)*M361</f>
        <v>94355</v>
      </c>
      <c r="Q361" s="36">
        <v>98</v>
      </c>
      <c r="R361" s="43">
        <f>O361-Q361</f>
        <v>15</v>
      </c>
      <c r="S361" s="43">
        <f>U361-O361</f>
        <v>0</v>
      </c>
      <c r="T361" s="41">
        <f>S361*M361</f>
        <v>0</v>
      </c>
      <c r="U361" s="44">
        <f>O361</f>
        <v>113</v>
      </c>
      <c r="V361" s="45">
        <f>U361*M361</f>
        <v>94355</v>
      </c>
      <c r="W361" s="36">
        <v>13</v>
      </c>
      <c r="X361" s="86">
        <v>10855</v>
      </c>
      <c r="Y361" s="199">
        <v>835</v>
      </c>
      <c r="Z361" s="44">
        <v>0</v>
      </c>
      <c r="AA361" s="41">
        <f t="shared" si="140"/>
        <v>0</v>
      </c>
      <c r="AB361" s="44">
        <v>0</v>
      </c>
      <c r="AC361" s="44">
        <f t="shared" si="149"/>
        <v>9</v>
      </c>
      <c r="AD361" s="44">
        <f t="shared" si="141"/>
        <v>9</v>
      </c>
      <c r="AE361" s="111">
        <f t="shared" si="142"/>
        <v>7515</v>
      </c>
      <c r="AF361" s="51" t="s">
        <v>571</v>
      </c>
      <c r="AG361" s="115"/>
      <c r="AH361" s="35">
        <v>0</v>
      </c>
      <c r="AI361" s="36">
        <v>9</v>
      </c>
      <c r="AJ361" s="36">
        <v>0</v>
      </c>
      <c r="AK361" s="36"/>
      <c r="AL361" s="36">
        <v>0</v>
      </c>
      <c r="AM361" s="36">
        <v>0</v>
      </c>
      <c r="AN361" s="46">
        <v>0</v>
      </c>
      <c r="AO361" s="100">
        <f t="shared" si="150"/>
        <v>9</v>
      </c>
      <c r="AP361" s="3">
        <f t="shared" si="139"/>
        <v>7515</v>
      </c>
    </row>
    <row r="362" spans="1:42" x14ac:dyDescent="0.2">
      <c r="A362" s="49" t="s">
        <v>951</v>
      </c>
      <c r="B362" s="37" t="s">
        <v>554</v>
      </c>
      <c r="C362" s="37" t="s">
        <v>571</v>
      </c>
      <c r="D362" s="52"/>
      <c r="E362" s="38" t="s">
        <v>760</v>
      </c>
      <c r="F362" s="36" t="s">
        <v>563</v>
      </c>
      <c r="G362" s="36" t="s">
        <v>965</v>
      </c>
      <c r="H362" s="39"/>
      <c r="I362" s="40"/>
      <c r="J362" s="39"/>
      <c r="K362" s="40"/>
      <c r="L362" s="37"/>
      <c r="M362" s="41"/>
      <c r="N362" s="36"/>
      <c r="O362" s="41"/>
      <c r="P362" s="36"/>
      <c r="Q362" s="43"/>
      <c r="R362" s="43"/>
      <c r="S362" s="41"/>
      <c r="T362" s="44"/>
      <c r="U362" s="45"/>
      <c r="V362" s="36"/>
      <c r="W362" s="45"/>
      <c r="X362" s="46"/>
      <c r="Y362" s="199">
        <v>750</v>
      </c>
      <c r="Z362" s="44">
        <v>10</v>
      </c>
      <c r="AA362" s="41">
        <f t="shared" si="140"/>
        <v>7500</v>
      </c>
      <c r="AB362" s="44">
        <v>0</v>
      </c>
      <c r="AC362" s="44">
        <f t="shared" si="149"/>
        <v>0</v>
      </c>
      <c r="AD362" s="44">
        <f t="shared" si="141"/>
        <v>10</v>
      </c>
      <c r="AE362" s="111">
        <f t="shared" si="142"/>
        <v>7500</v>
      </c>
      <c r="AF362" s="51" t="s">
        <v>571</v>
      </c>
      <c r="AG362" s="115" t="s">
        <v>1050</v>
      </c>
      <c r="AH362" s="35">
        <v>0</v>
      </c>
      <c r="AI362" s="36">
        <v>0</v>
      </c>
      <c r="AJ362" s="36">
        <v>0</v>
      </c>
      <c r="AK362" s="36"/>
      <c r="AL362" s="36">
        <v>0</v>
      </c>
      <c r="AM362" s="36">
        <v>0</v>
      </c>
      <c r="AN362" s="46">
        <v>0</v>
      </c>
      <c r="AO362" s="100">
        <f t="shared" si="150"/>
        <v>0</v>
      </c>
      <c r="AP362" s="3">
        <f t="shared" si="139"/>
        <v>0</v>
      </c>
    </row>
    <row r="363" spans="1:42" x14ac:dyDescent="0.2">
      <c r="A363" s="49" t="s">
        <v>952</v>
      </c>
      <c r="B363" s="37" t="s">
        <v>554</v>
      </c>
      <c r="C363" s="37" t="s">
        <v>571</v>
      </c>
      <c r="D363" s="52"/>
      <c r="E363" s="38" t="s">
        <v>760</v>
      </c>
      <c r="F363" s="36" t="s">
        <v>563</v>
      </c>
      <c r="G363" s="36" t="s">
        <v>966</v>
      </c>
      <c r="H363" s="39"/>
      <c r="I363" s="40"/>
      <c r="J363" s="39"/>
      <c r="K363" s="40"/>
      <c r="L363" s="37"/>
      <c r="M363" s="41"/>
      <c r="N363" s="36"/>
      <c r="O363" s="41"/>
      <c r="P363" s="36"/>
      <c r="Q363" s="43"/>
      <c r="R363" s="43"/>
      <c r="S363" s="41"/>
      <c r="T363" s="44"/>
      <c r="U363" s="45"/>
      <c r="V363" s="36"/>
      <c r="W363" s="45"/>
      <c r="X363" s="46"/>
      <c r="Y363" s="199">
        <v>750</v>
      </c>
      <c r="Z363" s="44">
        <v>10</v>
      </c>
      <c r="AA363" s="41">
        <f t="shared" si="140"/>
        <v>7500</v>
      </c>
      <c r="AB363" s="44">
        <v>0</v>
      </c>
      <c r="AC363" s="44">
        <f t="shared" si="149"/>
        <v>0</v>
      </c>
      <c r="AD363" s="44">
        <f t="shared" si="141"/>
        <v>10</v>
      </c>
      <c r="AE363" s="111">
        <f t="shared" si="142"/>
        <v>7500</v>
      </c>
      <c r="AF363" s="51" t="s">
        <v>571</v>
      </c>
      <c r="AG363" s="115" t="s">
        <v>1050</v>
      </c>
      <c r="AH363" s="35">
        <v>0</v>
      </c>
      <c r="AI363" s="36">
        <v>0</v>
      </c>
      <c r="AJ363" s="36">
        <v>0</v>
      </c>
      <c r="AK363" s="36"/>
      <c r="AL363" s="36">
        <v>0</v>
      </c>
      <c r="AM363" s="36">
        <v>0</v>
      </c>
      <c r="AN363" s="46">
        <v>0</v>
      </c>
      <c r="AO363" s="100">
        <f t="shared" si="150"/>
        <v>0</v>
      </c>
      <c r="AP363" s="3">
        <f t="shared" si="139"/>
        <v>0</v>
      </c>
    </row>
    <row r="364" spans="1:42" x14ac:dyDescent="0.2">
      <c r="A364" s="35" t="s">
        <v>548</v>
      </c>
      <c r="B364" s="37" t="s">
        <v>567</v>
      </c>
      <c r="C364" s="37" t="s">
        <v>571</v>
      </c>
      <c r="D364" s="52"/>
      <c r="E364" s="38" t="s">
        <v>758</v>
      </c>
      <c r="F364" s="36" t="s">
        <v>555</v>
      </c>
      <c r="G364" s="36" t="s">
        <v>666</v>
      </c>
      <c r="H364" s="39">
        <v>0</v>
      </c>
      <c r="I364" s="40">
        <v>0</v>
      </c>
      <c r="J364" s="39">
        <v>0</v>
      </c>
      <c r="K364" s="40">
        <v>0</v>
      </c>
      <c r="L364" s="37" t="s">
        <v>571</v>
      </c>
      <c r="M364" s="41" t="e">
        <v>#DIV/0!</v>
      </c>
      <c r="N364" s="42">
        <v>0</v>
      </c>
      <c r="O364" s="36">
        <v>0</v>
      </c>
      <c r="P364" s="41" t="e">
        <f>(N364+O364)*M364</f>
        <v>#DIV/0!</v>
      </c>
      <c r="Q364" s="36">
        <v>70</v>
      </c>
      <c r="R364" s="43">
        <f>O364-Q364</f>
        <v>-70</v>
      </c>
      <c r="S364" s="43">
        <f>U364-O364</f>
        <v>70</v>
      </c>
      <c r="T364" s="41" t="e">
        <f>S364*M364</f>
        <v>#DIV/0!</v>
      </c>
      <c r="U364" s="44">
        <f>Q364</f>
        <v>70</v>
      </c>
      <c r="V364" s="45" t="e">
        <f>U364*M364</f>
        <v>#DIV/0!</v>
      </c>
      <c r="W364" s="36">
        <v>0</v>
      </c>
      <c r="X364" s="86">
        <v>0</v>
      </c>
      <c r="Y364" s="199">
        <v>70</v>
      </c>
      <c r="Z364" s="44">
        <v>0</v>
      </c>
      <c r="AA364" s="41">
        <f t="shared" si="140"/>
        <v>0</v>
      </c>
      <c r="AB364" s="44">
        <v>0</v>
      </c>
      <c r="AC364" s="44">
        <f t="shared" si="149"/>
        <v>100</v>
      </c>
      <c r="AD364" s="44">
        <f t="shared" si="141"/>
        <v>100</v>
      </c>
      <c r="AE364" s="111">
        <f t="shared" si="142"/>
        <v>7000</v>
      </c>
      <c r="AF364" s="51" t="s">
        <v>571</v>
      </c>
      <c r="AG364" s="115"/>
      <c r="AH364" s="35">
        <v>0</v>
      </c>
      <c r="AI364" s="36">
        <v>100</v>
      </c>
      <c r="AJ364" s="36">
        <v>0</v>
      </c>
      <c r="AK364" s="36"/>
      <c r="AL364" s="36">
        <v>0</v>
      </c>
      <c r="AM364" s="36">
        <v>0</v>
      </c>
      <c r="AN364" s="46">
        <v>0</v>
      </c>
      <c r="AO364" s="100">
        <f t="shared" si="150"/>
        <v>100</v>
      </c>
      <c r="AP364" s="3">
        <f t="shared" si="139"/>
        <v>7000</v>
      </c>
    </row>
    <row r="365" spans="1:42" x14ac:dyDescent="0.2">
      <c r="A365" s="49" t="s">
        <v>940</v>
      </c>
      <c r="B365" s="37" t="s">
        <v>562</v>
      </c>
      <c r="C365" s="37" t="s">
        <v>571</v>
      </c>
      <c r="D365" s="52"/>
      <c r="E365" s="38" t="s">
        <v>753</v>
      </c>
      <c r="F365" s="36" t="s">
        <v>559</v>
      </c>
      <c r="G365" s="36" t="s">
        <v>670</v>
      </c>
      <c r="H365" s="39"/>
      <c r="I365" s="40"/>
      <c r="J365" s="39"/>
      <c r="K365" s="40"/>
      <c r="L365" s="37"/>
      <c r="M365" s="41"/>
      <c r="N365" s="36"/>
      <c r="O365" s="41"/>
      <c r="P365" s="36"/>
      <c r="Q365" s="43"/>
      <c r="R365" s="43"/>
      <c r="S365" s="41"/>
      <c r="T365" s="44"/>
      <c r="U365" s="45"/>
      <c r="V365" s="36"/>
      <c r="W365" s="45"/>
      <c r="X365" s="46"/>
      <c r="Y365" s="199">
        <v>101.36</v>
      </c>
      <c r="Z365" s="44">
        <v>69</v>
      </c>
      <c r="AA365" s="41">
        <f t="shared" si="140"/>
        <v>6993.84</v>
      </c>
      <c r="AB365" s="44">
        <v>0</v>
      </c>
      <c r="AC365" s="44">
        <f t="shared" si="149"/>
        <v>0</v>
      </c>
      <c r="AD365" s="44">
        <f t="shared" si="141"/>
        <v>69</v>
      </c>
      <c r="AE365" s="111">
        <f t="shared" si="142"/>
        <v>6993.84</v>
      </c>
      <c r="AF365" s="51" t="s">
        <v>571</v>
      </c>
      <c r="AG365" s="115"/>
      <c r="AH365" s="35">
        <v>0</v>
      </c>
      <c r="AI365" s="36">
        <v>0</v>
      </c>
      <c r="AJ365" s="36">
        <v>0</v>
      </c>
      <c r="AK365" s="36"/>
      <c r="AL365" s="36">
        <v>0</v>
      </c>
      <c r="AM365" s="36">
        <v>0</v>
      </c>
      <c r="AN365" s="46">
        <v>0</v>
      </c>
      <c r="AO365" s="100">
        <f t="shared" si="150"/>
        <v>0</v>
      </c>
      <c r="AP365" s="3">
        <f t="shared" si="139"/>
        <v>0</v>
      </c>
    </row>
    <row r="366" spans="1:42" x14ac:dyDescent="0.2">
      <c r="A366" s="35" t="s">
        <v>42</v>
      </c>
      <c r="B366" s="37" t="s">
        <v>565</v>
      </c>
      <c r="C366" s="37" t="s">
        <v>571</v>
      </c>
      <c r="D366" s="52"/>
      <c r="E366" s="38" t="s">
        <v>759</v>
      </c>
      <c r="F366" s="36" t="s">
        <v>561</v>
      </c>
      <c r="G366" s="36" t="s">
        <v>658</v>
      </c>
      <c r="H366" s="39">
        <v>0</v>
      </c>
      <c r="I366" s="40">
        <v>0</v>
      </c>
      <c r="J366" s="39">
        <v>80</v>
      </c>
      <c r="K366" s="40">
        <v>12311.2</v>
      </c>
      <c r="L366" s="37" t="s">
        <v>571</v>
      </c>
      <c r="M366" s="47">
        <v>156.06535211267604</v>
      </c>
      <c r="N366" s="48">
        <v>0</v>
      </c>
      <c r="O366" s="36">
        <v>132</v>
      </c>
      <c r="P366" s="47">
        <f>(N366+O366)*M366</f>
        <v>20600.626478873237</v>
      </c>
      <c r="Q366" s="36">
        <v>60</v>
      </c>
      <c r="R366" s="43">
        <f>O366-Q366</f>
        <v>72</v>
      </c>
      <c r="S366" s="43">
        <f>U366-O366</f>
        <v>0</v>
      </c>
      <c r="T366" s="47">
        <f>S366*M366</f>
        <v>0</v>
      </c>
      <c r="U366" s="44">
        <v>132</v>
      </c>
      <c r="V366" s="45">
        <f>U366*M366</f>
        <v>20600.626478873237</v>
      </c>
      <c r="W366" s="36">
        <v>142</v>
      </c>
      <c r="X366" s="86">
        <v>22161.279999999999</v>
      </c>
      <c r="Y366" s="199">
        <v>153.88999999999999</v>
      </c>
      <c r="Z366" s="44">
        <v>0</v>
      </c>
      <c r="AA366" s="41">
        <f t="shared" si="140"/>
        <v>0</v>
      </c>
      <c r="AB366" s="44">
        <v>0</v>
      </c>
      <c r="AC366" s="44">
        <f t="shared" si="149"/>
        <v>40</v>
      </c>
      <c r="AD366" s="44">
        <f t="shared" si="141"/>
        <v>40</v>
      </c>
      <c r="AE366" s="111">
        <f t="shared" si="142"/>
        <v>6155.5999999999995</v>
      </c>
      <c r="AF366" s="51" t="s">
        <v>571</v>
      </c>
      <c r="AG366" s="115"/>
      <c r="AH366" s="35">
        <v>0</v>
      </c>
      <c r="AI366" s="36">
        <v>0</v>
      </c>
      <c r="AJ366" s="36">
        <v>0</v>
      </c>
      <c r="AK366" s="36"/>
      <c r="AL366" s="36">
        <v>0</v>
      </c>
      <c r="AM366" s="36">
        <v>40</v>
      </c>
      <c r="AN366" s="46">
        <v>0</v>
      </c>
      <c r="AO366" s="100">
        <f t="shared" si="150"/>
        <v>40</v>
      </c>
      <c r="AP366" s="3">
        <f t="shared" si="139"/>
        <v>6155.5999999999995</v>
      </c>
    </row>
    <row r="367" spans="1:42" x14ac:dyDescent="0.2">
      <c r="A367" s="35" t="s">
        <v>136</v>
      </c>
      <c r="B367" s="37" t="s">
        <v>565</v>
      </c>
      <c r="C367" s="37" t="s">
        <v>578</v>
      </c>
      <c r="D367" s="52">
        <v>46387</v>
      </c>
      <c r="E367" s="38" t="s">
        <v>754</v>
      </c>
      <c r="F367" s="36" t="s">
        <v>559</v>
      </c>
      <c r="G367" s="36" t="s">
        <v>647</v>
      </c>
      <c r="H367" s="39">
        <v>0</v>
      </c>
      <c r="I367" s="40">
        <v>0</v>
      </c>
      <c r="J367" s="39">
        <v>26</v>
      </c>
      <c r="K367" s="40">
        <v>7058.08</v>
      </c>
      <c r="L367" s="37" t="s">
        <v>571</v>
      </c>
      <c r="M367" s="41">
        <v>294.05478260869563</v>
      </c>
      <c r="N367" s="42">
        <v>0</v>
      </c>
      <c r="O367" s="36">
        <v>138</v>
      </c>
      <c r="P367" s="41">
        <f>(N367+O367)*M367</f>
        <v>40579.56</v>
      </c>
      <c r="Q367" s="36">
        <v>75</v>
      </c>
      <c r="R367" s="43">
        <f>O367-Q367</f>
        <v>63</v>
      </c>
      <c r="S367" s="43">
        <f>U367-O367</f>
        <v>-4</v>
      </c>
      <c r="T367" s="41">
        <f>S367*M367</f>
        <v>-1176.2191304347825</v>
      </c>
      <c r="U367" s="44">
        <v>134</v>
      </c>
      <c r="V367" s="45">
        <f>U367*M367</f>
        <v>39403.340869565218</v>
      </c>
      <c r="W367" s="36">
        <v>138</v>
      </c>
      <c r="X367" s="86">
        <v>40579.56</v>
      </c>
      <c r="Y367" s="199">
        <v>295.33999999999997</v>
      </c>
      <c r="Z367" s="44">
        <v>16</v>
      </c>
      <c r="AA367" s="41">
        <f t="shared" si="140"/>
        <v>4725.4399999999996</v>
      </c>
      <c r="AB367" s="44">
        <v>0</v>
      </c>
      <c r="AC367" s="44">
        <f t="shared" si="149"/>
        <v>4</v>
      </c>
      <c r="AD367" s="44">
        <f t="shared" si="141"/>
        <v>20</v>
      </c>
      <c r="AE367" s="111">
        <f t="shared" si="142"/>
        <v>5906.7999999999993</v>
      </c>
      <c r="AF367" s="51" t="s">
        <v>571</v>
      </c>
      <c r="AG367" s="115"/>
      <c r="AH367" s="35">
        <v>4</v>
      </c>
      <c r="AI367" s="36">
        <v>0</v>
      </c>
      <c r="AJ367" s="36">
        <v>0</v>
      </c>
      <c r="AK367" s="36"/>
      <c r="AL367" s="36">
        <v>0</v>
      </c>
      <c r="AM367" s="36">
        <v>0</v>
      </c>
      <c r="AN367" s="46">
        <v>0</v>
      </c>
      <c r="AO367" s="100">
        <f t="shared" si="150"/>
        <v>4</v>
      </c>
      <c r="AP367" s="3">
        <f t="shared" si="139"/>
        <v>1181.3599999999999</v>
      </c>
    </row>
    <row r="368" spans="1:42" x14ac:dyDescent="0.2">
      <c r="A368" s="49" t="s">
        <v>912</v>
      </c>
      <c r="B368" s="37" t="s">
        <v>562</v>
      </c>
      <c r="C368" s="37" t="s">
        <v>571</v>
      </c>
      <c r="D368" s="52"/>
      <c r="E368" s="38" t="s">
        <v>999</v>
      </c>
      <c r="F368" s="36" t="s">
        <v>558</v>
      </c>
      <c r="G368" s="36" t="s">
        <v>584</v>
      </c>
      <c r="H368" s="39"/>
      <c r="I368" s="40"/>
      <c r="J368" s="39"/>
      <c r="K368" s="40"/>
      <c r="L368" s="51"/>
      <c r="M368" s="41">
        <v>210</v>
      </c>
      <c r="N368" s="41"/>
      <c r="O368" s="36"/>
      <c r="P368" s="41"/>
      <c r="Q368" s="36"/>
      <c r="R368" s="43"/>
      <c r="S368" s="43"/>
      <c r="T368" s="41"/>
      <c r="U368" s="44"/>
      <c r="V368" s="45"/>
      <c r="W368" s="36">
        <v>24</v>
      </c>
      <c r="X368" s="86">
        <v>5040</v>
      </c>
      <c r="Y368" s="199">
        <v>210</v>
      </c>
      <c r="Z368" s="44">
        <v>0</v>
      </c>
      <c r="AA368" s="41">
        <f t="shared" si="140"/>
        <v>0</v>
      </c>
      <c r="AB368" s="44">
        <v>0</v>
      </c>
      <c r="AC368" s="44">
        <f t="shared" si="149"/>
        <v>25</v>
      </c>
      <c r="AD368" s="44">
        <f t="shared" si="141"/>
        <v>25</v>
      </c>
      <c r="AE368" s="111">
        <f t="shared" si="142"/>
        <v>5250</v>
      </c>
      <c r="AF368" s="51" t="s">
        <v>571</v>
      </c>
      <c r="AG368" s="115" t="s">
        <v>1076</v>
      </c>
      <c r="AH368" s="35">
        <v>0</v>
      </c>
      <c r="AI368" s="36">
        <v>0</v>
      </c>
      <c r="AJ368" s="36">
        <v>0</v>
      </c>
      <c r="AK368" s="36"/>
      <c r="AL368" s="36">
        <v>25</v>
      </c>
      <c r="AM368" s="36">
        <v>0</v>
      </c>
      <c r="AN368" s="46">
        <v>0</v>
      </c>
      <c r="AO368" s="100">
        <f t="shared" si="150"/>
        <v>25</v>
      </c>
      <c r="AP368" s="3">
        <f t="shared" si="139"/>
        <v>5250</v>
      </c>
    </row>
    <row r="369" spans="1:42" x14ac:dyDescent="0.2">
      <c r="A369" s="49" t="s">
        <v>868</v>
      </c>
      <c r="B369" s="37" t="s">
        <v>565</v>
      </c>
      <c r="C369" s="37" t="s">
        <v>571</v>
      </c>
      <c r="D369" s="52"/>
      <c r="E369" s="38" t="s">
        <v>791</v>
      </c>
      <c r="F369" s="36" t="s">
        <v>557</v>
      </c>
      <c r="G369" s="36" t="s">
        <v>634</v>
      </c>
      <c r="H369" s="39"/>
      <c r="I369" s="40"/>
      <c r="J369" s="39">
        <v>76</v>
      </c>
      <c r="K369" s="40">
        <v>1500.24</v>
      </c>
      <c r="L369" s="51"/>
      <c r="M369" s="41">
        <v>19.739999999999998</v>
      </c>
      <c r="N369" s="41"/>
      <c r="O369" s="36"/>
      <c r="P369" s="41"/>
      <c r="Q369" s="36"/>
      <c r="R369" s="43"/>
      <c r="S369" s="43"/>
      <c r="T369" s="41"/>
      <c r="U369" s="44"/>
      <c r="V369" s="45"/>
      <c r="W369" s="36">
        <v>500</v>
      </c>
      <c r="X369" s="86">
        <v>9870</v>
      </c>
      <c r="Y369" s="199">
        <v>19.739999999999998</v>
      </c>
      <c r="Z369" s="44">
        <v>0</v>
      </c>
      <c r="AA369" s="41">
        <f t="shared" si="140"/>
        <v>0</v>
      </c>
      <c r="AB369" s="44">
        <v>0</v>
      </c>
      <c r="AC369" s="44">
        <f t="shared" si="149"/>
        <v>250</v>
      </c>
      <c r="AD369" s="44">
        <f t="shared" si="141"/>
        <v>250</v>
      </c>
      <c r="AE369" s="111">
        <f t="shared" si="142"/>
        <v>4935</v>
      </c>
      <c r="AF369" s="51" t="s">
        <v>571</v>
      </c>
      <c r="AG369" s="115"/>
      <c r="AH369" s="35">
        <v>0</v>
      </c>
      <c r="AI369" s="36">
        <v>0</v>
      </c>
      <c r="AJ369" s="36">
        <v>0</v>
      </c>
      <c r="AK369" s="36"/>
      <c r="AL369" s="36">
        <v>0</v>
      </c>
      <c r="AM369" s="36">
        <v>0</v>
      </c>
      <c r="AN369" s="46">
        <v>250</v>
      </c>
      <c r="AO369" s="100">
        <f t="shared" si="150"/>
        <v>250</v>
      </c>
      <c r="AP369" s="3">
        <f t="shared" si="139"/>
        <v>4935</v>
      </c>
    </row>
    <row r="370" spans="1:42" x14ac:dyDescent="0.2">
      <c r="A370" s="35" t="s">
        <v>40</v>
      </c>
      <c r="B370" s="37" t="s">
        <v>565</v>
      </c>
      <c r="C370" s="37" t="s">
        <v>571</v>
      </c>
      <c r="D370" s="52"/>
      <c r="E370" s="38" t="s">
        <v>759</v>
      </c>
      <c r="F370" s="36" t="s">
        <v>561</v>
      </c>
      <c r="G370" s="36" t="s">
        <v>658</v>
      </c>
      <c r="H370" s="39">
        <v>25</v>
      </c>
      <c r="I370" s="40">
        <v>2855</v>
      </c>
      <c r="J370" s="39">
        <v>68</v>
      </c>
      <c r="K370" s="40">
        <v>8371.48</v>
      </c>
      <c r="L370" s="37" t="s">
        <v>571</v>
      </c>
      <c r="M370" s="47">
        <v>123.11</v>
      </c>
      <c r="N370" s="48">
        <v>0</v>
      </c>
      <c r="O370" s="36">
        <v>132</v>
      </c>
      <c r="P370" s="47">
        <f t="shared" ref="P370:P376" si="156">(N370+O370)*M370</f>
        <v>16250.52</v>
      </c>
      <c r="Q370" s="36">
        <v>60</v>
      </c>
      <c r="R370" s="43">
        <f t="shared" ref="R370:R376" si="157">O370-Q370</f>
        <v>72</v>
      </c>
      <c r="S370" s="43">
        <f t="shared" ref="S370:S376" si="158">U370-O370</f>
        <v>0</v>
      </c>
      <c r="T370" s="47">
        <f t="shared" ref="T370:T376" si="159">S370*M370</f>
        <v>0</v>
      </c>
      <c r="U370" s="44">
        <v>132</v>
      </c>
      <c r="V370" s="45">
        <f t="shared" ref="V370:V376" si="160">U370*M370</f>
        <v>16250.52</v>
      </c>
      <c r="W370" s="36">
        <v>132</v>
      </c>
      <c r="X370" s="86">
        <v>16250.52</v>
      </c>
      <c r="Y370" s="199">
        <v>123.11</v>
      </c>
      <c r="Z370" s="44">
        <v>0</v>
      </c>
      <c r="AA370" s="41">
        <f t="shared" si="140"/>
        <v>0</v>
      </c>
      <c r="AB370" s="44">
        <v>0</v>
      </c>
      <c r="AC370" s="44">
        <f t="shared" si="149"/>
        <v>40</v>
      </c>
      <c r="AD370" s="44">
        <f t="shared" si="141"/>
        <v>40</v>
      </c>
      <c r="AE370" s="111">
        <f t="shared" si="142"/>
        <v>4924.3999999999996</v>
      </c>
      <c r="AF370" s="51" t="s">
        <v>571</v>
      </c>
      <c r="AG370" s="115"/>
      <c r="AH370" s="35">
        <v>0</v>
      </c>
      <c r="AI370" s="36">
        <v>0</v>
      </c>
      <c r="AJ370" s="36">
        <v>0</v>
      </c>
      <c r="AK370" s="36"/>
      <c r="AL370" s="36">
        <v>0</v>
      </c>
      <c r="AM370" s="36">
        <v>40</v>
      </c>
      <c r="AN370" s="46">
        <v>0</v>
      </c>
      <c r="AO370" s="100">
        <f t="shared" si="150"/>
        <v>40</v>
      </c>
      <c r="AP370" s="3">
        <f t="shared" si="139"/>
        <v>4924.3999999999996</v>
      </c>
    </row>
    <row r="371" spans="1:42" x14ac:dyDescent="0.2">
      <c r="A371" s="35" t="s">
        <v>546</v>
      </c>
      <c r="B371" s="37" t="s">
        <v>567</v>
      </c>
      <c r="C371" s="37" t="s">
        <v>571</v>
      </c>
      <c r="D371" s="52"/>
      <c r="E371" s="38" t="s">
        <v>758</v>
      </c>
      <c r="F371" s="36" t="s">
        <v>555</v>
      </c>
      <c r="G371" s="36" t="s">
        <v>615</v>
      </c>
      <c r="H371" s="39">
        <v>410</v>
      </c>
      <c r="I371" s="40">
        <v>17379.900000000001</v>
      </c>
      <c r="J371" s="39">
        <v>210</v>
      </c>
      <c r="K371" s="40">
        <v>8901.9</v>
      </c>
      <c r="L371" s="37" t="s">
        <v>571</v>
      </c>
      <c r="M371" s="41">
        <v>44.171121177802945</v>
      </c>
      <c r="N371" s="42">
        <v>0</v>
      </c>
      <c r="O371" s="36">
        <v>0</v>
      </c>
      <c r="P371" s="41">
        <f t="shared" si="156"/>
        <v>0</v>
      </c>
      <c r="Q371" s="36">
        <v>50</v>
      </c>
      <c r="R371" s="43">
        <f t="shared" si="157"/>
        <v>-50</v>
      </c>
      <c r="S371" s="43">
        <f t="shared" si="158"/>
        <v>50</v>
      </c>
      <c r="T371" s="41">
        <f t="shared" si="159"/>
        <v>2208.5560588901471</v>
      </c>
      <c r="U371" s="44">
        <f>Q371</f>
        <v>50</v>
      </c>
      <c r="V371" s="45">
        <f t="shared" si="160"/>
        <v>2208.5560588901471</v>
      </c>
      <c r="W371" s="36">
        <v>883</v>
      </c>
      <c r="X371" s="86">
        <v>39003.1</v>
      </c>
      <c r="Y371" s="199">
        <v>44.22</v>
      </c>
      <c r="Z371" s="44">
        <v>0</v>
      </c>
      <c r="AA371" s="41">
        <f t="shared" si="140"/>
        <v>0</v>
      </c>
      <c r="AB371" s="44">
        <v>0</v>
      </c>
      <c r="AC371" s="44">
        <f t="shared" si="149"/>
        <v>100</v>
      </c>
      <c r="AD371" s="44">
        <f t="shared" si="141"/>
        <v>100</v>
      </c>
      <c r="AE371" s="111">
        <f t="shared" si="142"/>
        <v>4422</v>
      </c>
      <c r="AF371" s="51" t="s">
        <v>571</v>
      </c>
      <c r="AG371" s="115"/>
      <c r="AH371" s="35">
        <v>0</v>
      </c>
      <c r="AI371" s="36">
        <v>100</v>
      </c>
      <c r="AJ371" s="36">
        <v>0</v>
      </c>
      <c r="AK371" s="36"/>
      <c r="AL371" s="36">
        <v>0</v>
      </c>
      <c r="AM371" s="36">
        <v>0</v>
      </c>
      <c r="AN371" s="46">
        <v>0</v>
      </c>
      <c r="AO371" s="100">
        <f t="shared" si="150"/>
        <v>100</v>
      </c>
      <c r="AP371" s="3">
        <f t="shared" si="139"/>
        <v>4422</v>
      </c>
    </row>
    <row r="372" spans="1:42" x14ac:dyDescent="0.2">
      <c r="A372" s="35" t="s">
        <v>300</v>
      </c>
      <c r="B372" s="37" t="s">
        <v>556</v>
      </c>
      <c r="C372" s="37" t="s">
        <v>578</v>
      </c>
      <c r="D372" s="52">
        <v>46387</v>
      </c>
      <c r="E372" s="38" t="s">
        <v>754</v>
      </c>
      <c r="F372" s="36" t="s">
        <v>557</v>
      </c>
      <c r="G372" s="36" t="s">
        <v>667</v>
      </c>
      <c r="H372" s="39">
        <v>704</v>
      </c>
      <c r="I372" s="40">
        <v>72476.800000000003</v>
      </c>
      <c r="J372" s="39">
        <v>214</v>
      </c>
      <c r="K372" s="40">
        <v>22031.3</v>
      </c>
      <c r="L372" s="37" t="s">
        <v>578</v>
      </c>
      <c r="M372" s="41">
        <v>102.94999999999999</v>
      </c>
      <c r="N372" s="42">
        <v>0</v>
      </c>
      <c r="O372" s="36">
        <v>78</v>
      </c>
      <c r="P372" s="41">
        <f t="shared" si="156"/>
        <v>8030.0999999999995</v>
      </c>
      <c r="Q372" s="36">
        <v>61</v>
      </c>
      <c r="R372" s="43">
        <f t="shared" si="157"/>
        <v>17</v>
      </c>
      <c r="S372" s="43">
        <f t="shared" si="158"/>
        <v>0</v>
      </c>
      <c r="T372" s="41">
        <f t="shared" si="159"/>
        <v>0</v>
      </c>
      <c r="U372" s="44">
        <f>O372</f>
        <v>78</v>
      </c>
      <c r="V372" s="45">
        <f t="shared" si="160"/>
        <v>8030.0999999999995</v>
      </c>
      <c r="W372" s="36">
        <v>78</v>
      </c>
      <c r="X372" s="86">
        <v>8030.0999999999995</v>
      </c>
      <c r="Y372" s="199">
        <v>102.95</v>
      </c>
      <c r="Z372" s="44">
        <v>12</v>
      </c>
      <c r="AA372" s="41">
        <f t="shared" si="140"/>
        <v>1235.4000000000001</v>
      </c>
      <c r="AB372" s="44">
        <v>0</v>
      </c>
      <c r="AC372" s="44">
        <f t="shared" si="149"/>
        <v>30</v>
      </c>
      <c r="AD372" s="44">
        <f t="shared" si="141"/>
        <v>42</v>
      </c>
      <c r="AE372" s="111">
        <f t="shared" si="142"/>
        <v>4323.9000000000005</v>
      </c>
      <c r="AF372" s="51" t="s">
        <v>571</v>
      </c>
      <c r="AG372" s="115"/>
      <c r="AH372" s="35">
        <v>30</v>
      </c>
      <c r="AI372" s="36">
        <v>0</v>
      </c>
      <c r="AJ372" s="36">
        <v>0</v>
      </c>
      <c r="AK372" s="36"/>
      <c r="AL372" s="36">
        <v>0</v>
      </c>
      <c r="AM372" s="36">
        <v>0</v>
      </c>
      <c r="AN372" s="46">
        <v>0</v>
      </c>
      <c r="AO372" s="100">
        <f t="shared" si="150"/>
        <v>30</v>
      </c>
      <c r="AP372" s="3">
        <f t="shared" si="139"/>
        <v>3088.5</v>
      </c>
    </row>
    <row r="373" spans="1:42" x14ac:dyDescent="0.2">
      <c r="A373" s="35" t="s">
        <v>715</v>
      </c>
      <c r="B373" s="37" t="s">
        <v>562</v>
      </c>
      <c r="C373" s="37" t="s">
        <v>571</v>
      </c>
      <c r="D373" s="52"/>
      <c r="E373" s="38" t="s">
        <v>770</v>
      </c>
      <c r="F373" s="36" t="s">
        <v>564</v>
      </c>
      <c r="G373" s="36" t="s">
        <v>564</v>
      </c>
      <c r="H373" s="39">
        <v>70</v>
      </c>
      <c r="I373" s="40">
        <v>5239.2900000000009</v>
      </c>
      <c r="J373" s="39">
        <v>122</v>
      </c>
      <c r="K373" s="40">
        <v>10478.58</v>
      </c>
      <c r="L373" s="37" t="s">
        <v>571</v>
      </c>
      <c r="M373" s="47">
        <v>85.89</v>
      </c>
      <c r="N373" s="48">
        <v>0</v>
      </c>
      <c r="O373" s="36">
        <v>61</v>
      </c>
      <c r="P373" s="47">
        <f t="shared" si="156"/>
        <v>5239.29</v>
      </c>
      <c r="Q373" s="36">
        <v>0</v>
      </c>
      <c r="R373" s="43">
        <f t="shared" si="157"/>
        <v>61</v>
      </c>
      <c r="S373" s="43">
        <f t="shared" si="158"/>
        <v>0</v>
      </c>
      <c r="T373" s="47">
        <f t="shared" si="159"/>
        <v>0</v>
      </c>
      <c r="U373" s="44">
        <f>O373</f>
        <v>61</v>
      </c>
      <c r="V373" s="45">
        <f t="shared" si="160"/>
        <v>5239.29</v>
      </c>
      <c r="W373" s="36">
        <v>61</v>
      </c>
      <c r="X373" s="86">
        <v>5239.29</v>
      </c>
      <c r="Y373" s="199">
        <v>85.89</v>
      </c>
      <c r="Z373" s="44">
        <v>0</v>
      </c>
      <c r="AA373" s="41">
        <f t="shared" si="140"/>
        <v>0</v>
      </c>
      <c r="AB373" s="44">
        <v>0</v>
      </c>
      <c r="AC373" s="44">
        <f t="shared" si="149"/>
        <v>50</v>
      </c>
      <c r="AD373" s="44">
        <f t="shared" si="141"/>
        <v>50</v>
      </c>
      <c r="AE373" s="111">
        <f t="shared" si="142"/>
        <v>4294.5</v>
      </c>
      <c r="AF373" s="51" t="s">
        <v>571</v>
      </c>
      <c r="AG373" s="115"/>
      <c r="AH373" s="35">
        <v>0</v>
      </c>
      <c r="AI373" s="36">
        <v>0</v>
      </c>
      <c r="AJ373" s="36">
        <v>0</v>
      </c>
      <c r="AK373" s="36"/>
      <c r="AL373" s="36">
        <v>0</v>
      </c>
      <c r="AM373" s="36">
        <v>0</v>
      </c>
      <c r="AN373" s="46">
        <v>50</v>
      </c>
      <c r="AO373" s="100">
        <f t="shared" si="150"/>
        <v>50</v>
      </c>
      <c r="AP373" s="3">
        <f t="shared" si="139"/>
        <v>4294.5</v>
      </c>
    </row>
    <row r="374" spans="1:42" x14ac:dyDescent="0.2">
      <c r="A374" s="35" t="s">
        <v>351</v>
      </c>
      <c r="B374" s="37" t="s">
        <v>562</v>
      </c>
      <c r="C374" s="37" t="s">
        <v>571</v>
      </c>
      <c r="D374" s="52"/>
      <c r="E374" s="38" t="s">
        <v>754</v>
      </c>
      <c r="F374" s="36" t="s">
        <v>557</v>
      </c>
      <c r="G374" s="36" t="s">
        <v>673</v>
      </c>
      <c r="H374" s="39">
        <v>0</v>
      </c>
      <c r="I374" s="40">
        <v>0</v>
      </c>
      <c r="J374" s="39">
        <v>0</v>
      </c>
      <c r="K374" s="40">
        <v>0</v>
      </c>
      <c r="L374" s="37" t="s">
        <v>571</v>
      </c>
      <c r="M374" s="41">
        <v>267.14999999999998</v>
      </c>
      <c r="N374" s="42">
        <v>0</v>
      </c>
      <c r="O374" s="36">
        <v>11</v>
      </c>
      <c r="P374" s="41">
        <f t="shared" si="156"/>
        <v>2938.6499999999996</v>
      </c>
      <c r="Q374" s="36">
        <v>7</v>
      </c>
      <c r="R374" s="43">
        <f t="shared" si="157"/>
        <v>4</v>
      </c>
      <c r="S374" s="43">
        <f t="shared" si="158"/>
        <v>0</v>
      </c>
      <c r="T374" s="41">
        <f t="shared" si="159"/>
        <v>0</v>
      </c>
      <c r="U374" s="44">
        <f>O374</f>
        <v>11</v>
      </c>
      <c r="V374" s="45">
        <f t="shared" si="160"/>
        <v>2938.6499999999996</v>
      </c>
      <c r="W374" s="36">
        <v>11</v>
      </c>
      <c r="X374" s="86">
        <v>2938.6499999999996</v>
      </c>
      <c r="Y374" s="199">
        <v>267.15000000000003</v>
      </c>
      <c r="Z374" s="44">
        <v>14</v>
      </c>
      <c r="AA374" s="41">
        <f t="shared" si="140"/>
        <v>3740.1000000000004</v>
      </c>
      <c r="AB374" s="44">
        <v>0</v>
      </c>
      <c r="AC374" s="44">
        <f t="shared" si="149"/>
        <v>2</v>
      </c>
      <c r="AD374" s="44">
        <f t="shared" si="141"/>
        <v>16</v>
      </c>
      <c r="AE374" s="111">
        <f t="shared" si="142"/>
        <v>4274.4000000000005</v>
      </c>
      <c r="AF374" s="51" t="s">
        <v>571</v>
      </c>
      <c r="AG374" s="115"/>
      <c r="AH374" s="35">
        <v>2</v>
      </c>
      <c r="AI374" s="36">
        <v>0</v>
      </c>
      <c r="AJ374" s="36">
        <v>0</v>
      </c>
      <c r="AK374" s="36"/>
      <c r="AL374" s="36">
        <v>0</v>
      </c>
      <c r="AM374" s="36">
        <v>0</v>
      </c>
      <c r="AN374" s="46">
        <v>0</v>
      </c>
      <c r="AO374" s="100">
        <f t="shared" si="150"/>
        <v>2</v>
      </c>
      <c r="AP374" s="3">
        <f t="shared" si="139"/>
        <v>534.30000000000007</v>
      </c>
    </row>
    <row r="375" spans="1:42" x14ac:dyDescent="0.2">
      <c r="A375" s="35" t="s">
        <v>200</v>
      </c>
      <c r="B375" s="37" t="s">
        <v>565</v>
      </c>
      <c r="C375" s="37" t="s">
        <v>578</v>
      </c>
      <c r="D375" s="52">
        <v>46752</v>
      </c>
      <c r="E375" s="38" t="s">
        <v>772</v>
      </c>
      <c r="F375" s="36" t="s">
        <v>559</v>
      </c>
      <c r="G375" s="36" t="s">
        <v>637</v>
      </c>
      <c r="H375" s="39">
        <v>414</v>
      </c>
      <c r="I375" s="40">
        <v>16721.46</v>
      </c>
      <c r="J375" s="39">
        <v>0</v>
      </c>
      <c r="K375" s="40">
        <v>0</v>
      </c>
      <c r="L375" s="37" t="s">
        <v>571</v>
      </c>
      <c r="M375" s="41">
        <v>42.720000000000006</v>
      </c>
      <c r="N375" s="42">
        <v>0</v>
      </c>
      <c r="O375" s="36">
        <v>1460</v>
      </c>
      <c r="P375" s="41">
        <f t="shared" si="156"/>
        <v>62371.200000000012</v>
      </c>
      <c r="Q375" s="36">
        <v>0</v>
      </c>
      <c r="R375" s="43">
        <f t="shared" si="157"/>
        <v>1460</v>
      </c>
      <c r="S375" s="43">
        <f t="shared" si="158"/>
        <v>0</v>
      </c>
      <c r="T375" s="41">
        <f t="shared" si="159"/>
        <v>0</v>
      </c>
      <c r="U375" s="44">
        <f>O375</f>
        <v>1460</v>
      </c>
      <c r="V375" s="45">
        <f t="shared" si="160"/>
        <v>62371.200000000012</v>
      </c>
      <c r="W375" s="36">
        <v>1360</v>
      </c>
      <c r="X375" s="86">
        <v>58099.200000000004</v>
      </c>
      <c r="Y375" s="199">
        <v>42.72</v>
      </c>
      <c r="Z375" s="44">
        <v>100</v>
      </c>
      <c r="AA375" s="41">
        <f t="shared" si="140"/>
        <v>4272</v>
      </c>
      <c r="AB375" s="44">
        <v>0</v>
      </c>
      <c r="AC375" s="44">
        <f t="shared" si="149"/>
        <v>0</v>
      </c>
      <c r="AD375" s="44">
        <f t="shared" si="141"/>
        <v>100</v>
      </c>
      <c r="AE375" s="111">
        <f t="shared" si="142"/>
        <v>4272</v>
      </c>
      <c r="AF375" s="51" t="s">
        <v>571</v>
      </c>
      <c r="AG375" s="115"/>
      <c r="AH375" s="35">
        <v>0</v>
      </c>
      <c r="AI375" s="36">
        <v>0</v>
      </c>
      <c r="AJ375" s="36">
        <v>0</v>
      </c>
      <c r="AK375" s="36"/>
      <c r="AL375" s="36">
        <v>0</v>
      </c>
      <c r="AM375" s="36">
        <v>0</v>
      </c>
      <c r="AN375" s="46">
        <v>0</v>
      </c>
      <c r="AO375" s="100">
        <f t="shared" si="150"/>
        <v>0</v>
      </c>
      <c r="AP375" s="3">
        <f t="shared" si="139"/>
        <v>0</v>
      </c>
    </row>
    <row r="376" spans="1:42" x14ac:dyDescent="0.2">
      <c r="A376" s="35" t="s">
        <v>196</v>
      </c>
      <c r="B376" s="37" t="s">
        <v>565</v>
      </c>
      <c r="C376" s="37" t="s">
        <v>578</v>
      </c>
      <c r="D376" s="52">
        <v>46752</v>
      </c>
      <c r="E376" s="38" t="s">
        <v>772</v>
      </c>
      <c r="F376" s="36" t="s">
        <v>559</v>
      </c>
      <c r="G376" s="36" t="s">
        <v>637</v>
      </c>
      <c r="H376" s="39">
        <v>0</v>
      </c>
      <c r="I376" s="40">
        <v>0</v>
      </c>
      <c r="J376" s="39">
        <v>450</v>
      </c>
      <c r="K376" s="40">
        <v>17203.5</v>
      </c>
      <c r="L376" s="37" t="s">
        <v>571</v>
      </c>
      <c r="M376" s="41">
        <v>39.049999999999997</v>
      </c>
      <c r="N376" s="42">
        <v>0</v>
      </c>
      <c r="O376" s="36">
        <v>200</v>
      </c>
      <c r="P376" s="41">
        <f t="shared" si="156"/>
        <v>7809.9999999999991</v>
      </c>
      <c r="Q376" s="36">
        <v>235</v>
      </c>
      <c r="R376" s="43">
        <f t="shared" si="157"/>
        <v>-35</v>
      </c>
      <c r="S376" s="43">
        <f t="shared" si="158"/>
        <v>0</v>
      </c>
      <c r="T376" s="41">
        <f t="shared" si="159"/>
        <v>0</v>
      </c>
      <c r="U376" s="44">
        <v>200</v>
      </c>
      <c r="V376" s="45">
        <f t="shared" si="160"/>
        <v>7809.9999999999991</v>
      </c>
      <c r="W376" s="36">
        <v>100</v>
      </c>
      <c r="X376" s="86">
        <v>3905</v>
      </c>
      <c r="Y376" s="199">
        <v>39.049999999999997</v>
      </c>
      <c r="Z376" s="44">
        <v>100</v>
      </c>
      <c r="AA376" s="41">
        <f t="shared" si="140"/>
        <v>3904.9999999999995</v>
      </c>
      <c r="AB376" s="44">
        <v>0</v>
      </c>
      <c r="AC376" s="44">
        <f t="shared" si="149"/>
        <v>0</v>
      </c>
      <c r="AD376" s="44">
        <f t="shared" si="141"/>
        <v>100</v>
      </c>
      <c r="AE376" s="111">
        <f t="shared" si="142"/>
        <v>3904.9999999999995</v>
      </c>
      <c r="AF376" s="51" t="s">
        <v>571</v>
      </c>
      <c r="AG376" s="115"/>
      <c r="AH376" s="35">
        <v>0</v>
      </c>
      <c r="AI376" s="36">
        <v>0</v>
      </c>
      <c r="AJ376" s="36">
        <v>0</v>
      </c>
      <c r="AK376" s="36"/>
      <c r="AL376" s="36">
        <v>0</v>
      </c>
      <c r="AM376" s="36">
        <v>0</v>
      </c>
      <c r="AN376" s="46">
        <v>0</v>
      </c>
      <c r="AO376" s="100">
        <f t="shared" si="150"/>
        <v>0</v>
      </c>
      <c r="AP376" s="3">
        <f t="shared" si="139"/>
        <v>0</v>
      </c>
    </row>
    <row r="377" spans="1:42" x14ac:dyDescent="0.2">
      <c r="A377" s="49" t="s">
        <v>937</v>
      </c>
      <c r="B377" s="37" t="s">
        <v>556</v>
      </c>
      <c r="C377" s="37" t="s">
        <v>578</v>
      </c>
      <c r="D377" s="52">
        <v>46752</v>
      </c>
      <c r="E377" s="38" t="s">
        <v>772</v>
      </c>
      <c r="F377" s="36" t="s">
        <v>559</v>
      </c>
      <c r="G377" s="36" t="s">
        <v>637</v>
      </c>
      <c r="H377" s="39"/>
      <c r="I377" s="40"/>
      <c r="J377" s="39"/>
      <c r="K377" s="40"/>
      <c r="L377" s="37"/>
      <c r="M377" s="41"/>
      <c r="N377" s="36"/>
      <c r="O377" s="41"/>
      <c r="P377" s="36"/>
      <c r="Q377" s="43"/>
      <c r="R377" s="43"/>
      <c r="S377" s="41"/>
      <c r="T377" s="44"/>
      <c r="U377" s="45"/>
      <c r="V377" s="36"/>
      <c r="W377" s="45"/>
      <c r="X377" s="46"/>
      <c r="Y377" s="199">
        <v>48.21</v>
      </c>
      <c r="Z377" s="44">
        <v>80</v>
      </c>
      <c r="AA377" s="41">
        <f t="shared" si="140"/>
        <v>3856.8</v>
      </c>
      <c r="AB377" s="44">
        <v>0</v>
      </c>
      <c r="AC377" s="44">
        <f t="shared" ref="AC377:AC389" si="161">AB377+AO377</f>
        <v>0</v>
      </c>
      <c r="AD377" s="44">
        <f t="shared" si="141"/>
        <v>80</v>
      </c>
      <c r="AE377" s="111">
        <f t="shared" si="142"/>
        <v>3856.8</v>
      </c>
      <c r="AF377" s="51" t="s">
        <v>571</v>
      </c>
      <c r="AG377" s="115"/>
      <c r="AH377" s="35">
        <v>0</v>
      </c>
      <c r="AI377" s="36">
        <v>0</v>
      </c>
      <c r="AJ377" s="36">
        <v>0</v>
      </c>
      <c r="AK377" s="36"/>
      <c r="AL377" s="36">
        <v>0</v>
      </c>
      <c r="AM377" s="36">
        <v>0</v>
      </c>
      <c r="AN377" s="46">
        <v>0</v>
      </c>
      <c r="AO377" s="100">
        <f t="shared" si="150"/>
        <v>0</v>
      </c>
      <c r="AP377" s="3">
        <f t="shared" si="139"/>
        <v>0</v>
      </c>
    </row>
    <row r="378" spans="1:42" x14ac:dyDescent="0.2">
      <c r="A378" s="35" t="s">
        <v>236</v>
      </c>
      <c r="B378" s="37" t="s">
        <v>565</v>
      </c>
      <c r="C378" s="37" t="s">
        <v>578</v>
      </c>
      <c r="D378" s="52">
        <v>46387</v>
      </c>
      <c r="E378" s="38" t="s">
        <v>754</v>
      </c>
      <c r="F378" s="36" t="s">
        <v>559</v>
      </c>
      <c r="G378" s="36" t="s">
        <v>601</v>
      </c>
      <c r="H378" s="39">
        <v>26</v>
      </c>
      <c r="I378" s="40">
        <v>15402.92</v>
      </c>
      <c r="J378" s="39">
        <v>12</v>
      </c>
      <c r="K378" s="40">
        <v>7109.04</v>
      </c>
      <c r="L378" s="37" t="s">
        <v>578</v>
      </c>
      <c r="M378" s="41">
        <v>592.41999999999996</v>
      </c>
      <c r="N378" s="42">
        <v>0</v>
      </c>
      <c r="O378" s="36">
        <v>30</v>
      </c>
      <c r="P378" s="41">
        <f>(N378+O378)*M378</f>
        <v>17772.599999999999</v>
      </c>
      <c r="Q378" s="36">
        <v>10</v>
      </c>
      <c r="R378" s="43">
        <f t="shared" ref="R378:R384" si="162">O378-Q378</f>
        <v>20</v>
      </c>
      <c r="S378" s="43">
        <f t="shared" ref="S378:S384" si="163">U378-O378</f>
        <v>2</v>
      </c>
      <c r="T378" s="41">
        <f t="shared" ref="T378:T384" si="164">S378*M378</f>
        <v>1184.8399999999999</v>
      </c>
      <c r="U378" s="44">
        <v>32</v>
      </c>
      <c r="V378" s="45">
        <f t="shared" ref="V378:V384" si="165">U378*M378</f>
        <v>18957.439999999999</v>
      </c>
      <c r="W378" s="36">
        <v>24</v>
      </c>
      <c r="X378" s="86">
        <v>14218.08</v>
      </c>
      <c r="Y378" s="199">
        <v>592.41999999999996</v>
      </c>
      <c r="Z378" s="44">
        <v>6</v>
      </c>
      <c r="AA378" s="41">
        <f t="shared" si="140"/>
        <v>3554.5199999999995</v>
      </c>
      <c r="AB378" s="44">
        <v>0</v>
      </c>
      <c r="AC378" s="44">
        <f t="shared" si="161"/>
        <v>0</v>
      </c>
      <c r="AD378" s="44">
        <f t="shared" si="141"/>
        <v>6</v>
      </c>
      <c r="AE378" s="111">
        <f t="shared" si="142"/>
        <v>3554.5199999999995</v>
      </c>
      <c r="AF378" s="51" t="s">
        <v>571</v>
      </c>
      <c r="AG378" s="115"/>
      <c r="AH378" s="35">
        <v>0</v>
      </c>
      <c r="AI378" s="36">
        <v>0</v>
      </c>
      <c r="AJ378" s="36">
        <v>0</v>
      </c>
      <c r="AK378" s="36"/>
      <c r="AL378" s="36">
        <v>0</v>
      </c>
      <c r="AM378" s="36">
        <v>0</v>
      </c>
      <c r="AN378" s="46">
        <v>0</v>
      </c>
      <c r="AO378" s="100">
        <f t="shared" si="150"/>
        <v>0</v>
      </c>
      <c r="AP378" s="3">
        <f t="shared" si="139"/>
        <v>0</v>
      </c>
    </row>
    <row r="379" spans="1:42" x14ac:dyDescent="0.2">
      <c r="A379" s="35" t="s">
        <v>140</v>
      </c>
      <c r="B379" s="37" t="s">
        <v>565</v>
      </c>
      <c r="C379" s="37" t="s">
        <v>578</v>
      </c>
      <c r="D379" s="52">
        <v>46387</v>
      </c>
      <c r="E379" s="38" t="s">
        <v>754</v>
      </c>
      <c r="F379" s="36" t="s">
        <v>559</v>
      </c>
      <c r="G379" s="36" t="s">
        <v>647</v>
      </c>
      <c r="H379" s="39">
        <v>150</v>
      </c>
      <c r="I379" s="40">
        <v>45150</v>
      </c>
      <c r="J379" s="39">
        <v>38</v>
      </c>
      <c r="K379" s="40">
        <v>13300</v>
      </c>
      <c r="L379" s="37" t="s">
        <v>571</v>
      </c>
      <c r="M379" s="41">
        <v>301</v>
      </c>
      <c r="N379" s="42">
        <v>0</v>
      </c>
      <c r="O379" s="36">
        <v>62</v>
      </c>
      <c r="P379" s="41">
        <f>(N379+O379)*M379</f>
        <v>18662</v>
      </c>
      <c r="Q379" s="36">
        <v>12</v>
      </c>
      <c r="R379" s="43">
        <f t="shared" si="162"/>
        <v>50</v>
      </c>
      <c r="S379" s="43">
        <f t="shared" si="163"/>
        <v>0</v>
      </c>
      <c r="T379" s="41">
        <f t="shared" si="164"/>
        <v>0</v>
      </c>
      <c r="U379" s="44">
        <v>62</v>
      </c>
      <c r="V379" s="45">
        <f t="shared" si="165"/>
        <v>18662</v>
      </c>
      <c r="W379" s="36">
        <v>50</v>
      </c>
      <c r="X379" s="86">
        <v>15050</v>
      </c>
      <c r="Y379" s="199">
        <v>350</v>
      </c>
      <c r="Z379" s="44">
        <v>8</v>
      </c>
      <c r="AA379" s="41">
        <f t="shared" si="140"/>
        <v>2800</v>
      </c>
      <c r="AB379" s="44">
        <v>0</v>
      </c>
      <c r="AC379" s="44">
        <f t="shared" si="161"/>
        <v>0</v>
      </c>
      <c r="AD379" s="44">
        <f t="shared" si="141"/>
        <v>8</v>
      </c>
      <c r="AE379" s="111">
        <f t="shared" si="142"/>
        <v>2800</v>
      </c>
      <c r="AF379" s="51" t="s">
        <v>571</v>
      </c>
      <c r="AG379" s="115"/>
      <c r="AH379" s="35">
        <v>0</v>
      </c>
      <c r="AI379" s="36">
        <v>0</v>
      </c>
      <c r="AJ379" s="36">
        <v>0</v>
      </c>
      <c r="AK379" s="36"/>
      <c r="AL379" s="36">
        <v>0</v>
      </c>
      <c r="AM379" s="36">
        <v>0</v>
      </c>
      <c r="AN379" s="46">
        <v>0</v>
      </c>
      <c r="AO379" s="100">
        <f t="shared" si="150"/>
        <v>0</v>
      </c>
      <c r="AP379" s="3">
        <f t="shared" ref="AP379:AP442" si="166">AC379*Y379</f>
        <v>0</v>
      </c>
    </row>
    <row r="380" spans="1:42" x14ac:dyDescent="0.2">
      <c r="A380" s="35" t="s">
        <v>388</v>
      </c>
      <c r="B380" s="37" t="s">
        <v>562</v>
      </c>
      <c r="C380" s="37" t="s">
        <v>578</v>
      </c>
      <c r="D380" s="52">
        <v>46387</v>
      </c>
      <c r="E380" s="38" t="s">
        <v>758</v>
      </c>
      <c r="F380" s="36" t="s">
        <v>555</v>
      </c>
      <c r="G380" s="36" t="s">
        <v>600</v>
      </c>
      <c r="H380" s="39">
        <v>0</v>
      </c>
      <c r="I380" s="40">
        <v>0</v>
      </c>
      <c r="J380" s="39">
        <v>24</v>
      </c>
      <c r="K380" s="40">
        <v>5592</v>
      </c>
      <c r="L380" s="37" t="s">
        <v>571</v>
      </c>
      <c r="M380" s="41">
        <v>233</v>
      </c>
      <c r="N380" s="42">
        <v>0</v>
      </c>
      <c r="O380" s="36">
        <v>24</v>
      </c>
      <c r="P380" s="41">
        <f>(N380+O380)*M380</f>
        <v>5592</v>
      </c>
      <c r="Q380" s="36">
        <v>24</v>
      </c>
      <c r="R380" s="43">
        <f t="shared" si="162"/>
        <v>0</v>
      </c>
      <c r="S380" s="43">
        <f t="shared" si="163"/>
        <v>0</v>
      </c>
      <c r="T380" s="41">
        <f t="shared" si="164"/>
        <v>0</v>
      </c>
      <c r="U380" s="44">
        <f>O380</f>
        <v>24</v>
      </c>
      <c r="V380" s="45">
        <f t="shared" si="165"/>
        <v>5592</v>
      </c>
      <c r="W380" s="36">
        <v>24</v>
      </c>
      <c r="X380" s="86">
        <v>5592</v>
      </c>
      <c r="Y380" s="199">
        <v>233</v>
      </c>
      <c r="Z380" s="44">
        <v>12</v>
      </c>
      <c r="AA380" s="41">
        <f t="shared" si="140"/>
        <v>2796</v>
      </c>
      <c r="AB380" s="44">
        <v>0</v>
      </c>
      <c r="AC380" s="44">
        <f t="shared" si="161"/>
        <v>0</v>
      </c>
      <c r="AD380" s="44">
        <f t="shared" si="141"/>
        <v>12</v>
      </c>
      <c r="AE380" s="111">
        <f t="shared" si="142"/>
        <v>2796</v>
      </c>
      <c r="AF380" s="51" t="s">
        <v>571</v>
      </c>
      <c r="AG380" s="115"/>
      <c r="AH380" s="35">
        <v>0</v>
      </c>
      <c r="AI380" s="36">
        <v>0</v>
      </c>
      <c r="AJ380" s="36">
        <v>0</v>
      </c>
      <c r="AK380" s="36"/>
      <c r="AL380" s="36">
        <v>0</v>
      </c>
      <c r="AM380" s="36">
        <v>0</v>
      </c>
      <c r="AN380" s="46">
        <v>0</v>
      </c>
      <c r="AO380" s="100">
        <f t="shared" si="150"/>
        <v>0</v>
      </c>
      <c r="AP380" s="3">
        <f t="shared" si="166"/>
        <v>0</v>
      </c>
    </row>
    <row r="381" spans="1:42" x14ac:dyDescent="0.2">
      <c r="A381" s="35" t="s">
        <v>28</v>
      </c>
      <c r="B381" s="37" t="s">
        <v>562</v>
      </c>
      <c r="C381" s="37" t="s">
        <v>571</v>
      </c>
      <c r="D381" s="52"/>
      <c r="E381" s="38" t="s">
        <v>770</v>
      </c>
      <c r="F381" s="36" t="s">
        <v>564</v>
      </c>
      <c r="G381" s="36" t="s">
        <v>564</v>
      </c>
      <c r="H381" s="39">
        <v>37</v>
      </c>
      <c r="I381" s="40">
        <v>3761.05</v>
      </c>
      <c r="J381" s="39">
        <v>0</v>
      </c>
      <c r="K381" s="40">
        <v>0</v>
      </c>
      <c r="L381" s="37" t="s">
        <v>571</v>
      </c>
      <c r="M381" s="47">
        <v>101.65</v>
      </c>
      <c r="N381" s="48">
        <v>0</v>
      </c>
      <c r="O381" s="36">
        <v>66</v>
      </c>
      <c r="P381" s="47">
        <f>(N381+O381)*M381</f>
        <v>6708.9000000000005</v>
      </c>
      <c r="Q381" s="36">
        <v>0</v>
      </c>
      <c r="R381" s="43">
        <f t="shared" si="162"/>
        <v>66</v>
      </c>
      <c r="S381" s="43">
        <f t="shared" si="163"/>
        <v>8</v>
      </c>
      <c r="T381" s="47">
        <f t="shared" si="164"/>
        <v>813.2</v>
      </c>
      <c r="U381" s="44">
        <v>74</v>
      </c>
      <c r="V381" s="45">
        <f t="shared" si="165"/>
        <v>7522.1</v>
      </c>
      <c r="W381" s="36">
        <v>74</v>
      </c>
      <c r="X381" s="86">
        <v>7522.1</v>
      </c>
      <c r="Y381" s="199">
        <v>101.65</v>
      </c>
      <c r="Z381" s="44">
        <v>0</v>
      </c>
      <c r="AA381" s="41">
        <f t="shared" si="140"/>
        <v>0</v>
      </c>
      <c r="AB381" s="44">
        <v>0</v>
      </c>
      <c r="AC381" s="44">
        <f t="shared" si="161"/>
        <v>25</v>
      </c>
      <c r="AD381" s="44">
        <f t="shared" si="141"/>
        <v>25</v>
      </c>
      <c r="AE381" s="111">
        <f t="shared" si="142"/>
        <v>2541.25</v>
      </c>
      <c r="AF381" s="51" t="s">
        <v>571</v>
      </c>
      <c r="AG381" s="115"/>
      <c r="AH381" s="35">
        <v>0</v>
      </c>
      <c r="AI381" s="36">
        <v>0</v>
      </c>
      <c r="AJ381" s="36">
        <v>0</v>
      </c>
      <c r="AK381" s="36"/>
      <c r="AL381" s="36">
        <v>0</v>
      </c>
      <c r="AM381" s="36">
        <v>0</v>
      </c>
      <c r="AN381" s="46">
        <v>25</v>
      </c>
      <c r="AO381" s="100">
        <f t="shared" si="150"/>
        <v>25</v>
      </c>
      <c r="AP381" s="3">
        <f t="shared" si="166"/>
        <v>2541.25</v>
      </c>
    </row>
    <row r="382" spans="1:42" x14ac:dyDescent="0.2">
      <c r="A382" s="35" t="s">
        <v>552</v>
      </c>
      <c r="B382" s="37" t="s">
        <v>556</v>
      </c>
      <c r="C382" s="37" t="s">
        <v>578</v>
      </c>
      <c r="D382" s="52">
        <v>46752</v>
      </c>
      <c r="E382" s="38" t="s">
        <v>772</v>
      </c>
      <c r="F382" s="36" t="s">
        <v>559</v>
      </c>
      <c r="G382" s="36" t="s">
        <v>689</v>
      </c>
      <c r="H382" s="39">
        <v>51</v>
      </c>
      <c r="I382" s="40">
        <v>2407.1999999999998</v>
      </c>
      <c r="J382" s="39">
        <v>751</v>
      </c>
      <c r="K382" s="40">
        <v>35447.199999999997</v>
      </c>
      <c r="L382" s="51"/>
      <c r="M382" s="41">
        <v>48.21</v>
      </c>
      <c r="N382" s="41"/>
      <c r="O382" s="36">
        <v>0</v>
      </c>
      <c r="P382" s="41">
        <v>0</v>
      </c>
      <c r="Q382" s="36">
        <v>28</v>
      </c>
      <c r="R382" s="43">
        <f t="shared" si="162"/>
        <v>-28</v>
      </c>
      <c r="S382" s="43">
        <f t="shared" si="163"/>
        <v>0</v>
      </c>
      <c r="T382" s="41">
        <f t="shared" si="164"/>
        <v>0</v>
      </c>
      <c r="U382" s="44">
        <v>0</v>
      </c>
      <c r="V382" s="45">
        <f t="shared" si="165"/>
        <v>0</v>
      </c>
      <c r="W382" s="36">
        <v>50</v>
      </c>
      <c r="X382" s="86">
        <v>2410.5</v>
      </c>
      <c r="Y382" s="199">
        <v>48.21</v>
      </c>
      <c r="Z382" s="44">
        <v>50</v>
      </c>
      <c r="AA382" s="41">
        <f t="shared" si="140"/>
        <v>2410.5</v>
      </c>
      <c r="AB382" s="44">
        <v>0</v>
      </c>
      <c r="AC382" s="44">
        <f t="shared" si="161"/>
        <v>0</v>
      </c>
      <c r="AD382" s="44">
        <f t="shared" si="141"/>
        <v>50</v>
      </c>
      <c r="AE382" s="111">
        <f t="shared" si="142"/>
        <v>2410.5</v>
      </c>
      <c r="AF382" s="51" t="s">
        <v>571</v>
      </c>
      <c r="AG382" s="115"/>
      <c r="AH382" s="35">
        <v>0</v>
      </c>
      <c r="AI382" s="36">
        <v>0</v>
      </c>
      <c r="AJ382" s="36">
        <v>0</v>
      </c>
      <c r="AK382" s="36"/>
      <c r="AL382" s="36">
        <v>0</v>
      </c>
      <c r="AM382" s="36">
        <v>0</v>
      </c>
      <c r="AN382" s="46">
        <v>0</v>
      </c>
      <c r="AO382" s="100">
        <f t="shared" si="150"/>
        <v>0</v>
      </c>
      <c r="AP382" s="3">
        <f t="shared" si="166"/>
        <v>0</v>
      </c>
    </row>
    <row r="383" spans="1:42" x14ac:dyDescent="0.2">
      <c r="A383" s="35" t="s">
        <v>349</v>
      </c>
      <c r="B383" s="37" t="s">
        <v>562</v>
      </c>
      <c r="C383" s="37" t="s">
        <v>578</v>
      </c>
      <c r="D383" s="52">
        <v>46387</v>
      </c>
      <c r="E383" s="38" t="s">
        <v>754</v>
      </c>
      <c r="F383" s="36" t="s">
        <v>557</v>
      </c>
      <c r="G383" s="36" t="s">
        <v>662</v>
      </c>
      <c r="H383" s="39">
        <v>111</v>
      </c>
      <c r="I383" s="40">
        <v>57490.69</v>
      </c>
      <c r="J383" s="39">
        <v>21</v>
      </c>
      <c r="K383" s="40">
        <v>20743.59</v>
      </c>
      <c r="L383" s="37" t="s">
        <v>571</v>
      </c>
      <c r="M383" s="41">
        <v>987.79</v>
      </c>
      <c r="N383" s="42">
        <v>0</v>
      </c>
      <c r="O383" s="36">
        <v>16</v>
      </c>
      <c r="P383" s="41">
        <f>(N383+O383)*M383</f>
        <v>15804.64</v>
      </c>
      <c r="Q383" s="36">
        <v>16</v>
      </c>
      <c r="R383" s="43">
        <f t="shared" si="162"/>
        <v>0</v>
      </c>
      <c r="S383" s="43">
        <f t="shared" si="163"/>
        <v>0</v>
      </c>
      <c r="T383" s="41">
        <f t="shared" si="164"/>
        <v>0</v>
      </c>
      <c r="U383" s="44">
        <v>16</v>
      </c>
      <c r="V383" s="45">
        <f t="shared" si="165"/>
        <v>15804.64</v>
      </c>
      <c r="W383" s="36">
        <v>16</v>
      </c>
      <c r="X383" s="86">
        <v>15804.64</v>
      </c>
      <c r="Y383" s="199">
        <v>987.79</v>
      </c>
      <c r="Z383" s="44">
        <v>2</v>
      </c>
      <c r="AA383" s="41">
        <f t="shared" si="140"/>
        <v>1975.58</v>
      </c>
      <c r="AB383" s="44">
        <v>0</v>
      </c>
      <c r="AC383" s="44">
        <f t="shared" si="161"/>
        <v>0</v>
      </c>
      <c r="AD383" s="44">
        <f t="shared" si="141"/>
        <v>2</v>
      </c>
      <c r="AE383" s="111">
        <f t="shared" si="142"/>
        <v>1975.58</v>
      </c>
      <c r="AF383" s="51" t="s">
        <v>571</v>
      </c>
      <c r="AG383" s="115"/>
      <c r="AH383" s="35">
        <v>0</v>
      </c>
      <c r="AI383" s="36">
        <v>0</v>
      </c>
      <c r="AJ383" s="36">
        <v>0</v>
      </c>
      <c r="AK383" s="36"/>
      <c r="AL383" s="36">
        <v>0</v>
      </c>
      <c r="AM383" s="36">
        <v>0</v>
      </c>
      <c r="AN383" s="46">
        <v>0</v>
      </c>
      <c r="AO383" s="100">
        <f t="shared" si="150"/>
        <v>0</v>
      </c>
      <c r="AP383" s="3">
        <f t="shared" si="166"/>
        <v>0</v>
      </c>
    </row>
    <row r="384" spans="1:42" x14ac:dyDescent="0.2">
      <c r="A384" s="35" t="s">
        <v>339</v>
      </c>
      <c r="B384" s="37" t="s">
        <v>556</v>
      </c>
      <c r="C384" s="37" t="s">
        <v>578</v>
      </c>
      <c r="D384" s="52">
        <v>46752</v>
      </c>
      <c r="E384" s="38" t="s">
        <v>772</v>
      </c>
      <c r="F384" s="36" t="s">
        <v>557</v>
      </c>
      <c r="G384" s="36" t="s">
        <v>669</v>
      </c>
      <c r="H384" s="39">
        <v>600</v>
      </c>
      <c r="I384" s="40">
        <v>10320</v>
      </c>
      <c r="J384" s="39">
        <v>200</v>
      </c>
      <c r="K384" s="40">
        <v>3440</v>
      </c>
      <c r="L384" s="37" t="s">
        <v>571</v>
      </c>
      <c r="M384" s="41">
        <v>18.68</v>
      </c>
      <c r="N384" s="42">
        <v>0</v>
      </c>
      <c r="O384" s="36">
        <v>400</v>
      </c>
      <c r="P384" s="41">
        <f>(N384+O384)*M384</f>
        <v>7472</v>
      </c>
      <c r="Q384" s="36">
        <v>300</v>
      </c>
      <c r="R384" s="43">
        <f t="shared" si="162"/>
        <v>100</v>
      </c>
      <c r="S384" s="43">
        <f t="shared" si="163"/>
        <v>0</v>
      </c>
      <c r="T384" s="41">
        <f t="shared" si="164"/>
        <v>0</v>
      </c>
      <c r="U384" s="44">
        <f>O384</f>
        <v>400</v>
      </c>
      <c r="V384" s="45">
        <f t="shared" si="165"/>
        <v>7472</v>
      </c>
      <c r="W384" s="36">
        <v>100</v>
      </c>
      <c r="X384" s="86">
        <v>1868</v>
      </c>
      <c r="Y384" s="199">
        <v>18.68</v>
      </c>
      <c r="Z384" s="44">
        <v>100</v>
      </c>
      <c r="AA384" s="41">
        <f t="shared" si="140"/>
        <v>1868</v>
      </c>
      <c r="AB384" s="44">
        <v>0</v>
      </c>
      <c r="AC384" s="44">
        <f t="shared" si="161"/>
        <v>0</v>
      </c>
      <c r="AD384" s="44">
        <f t="shared" si="141"/>
        <v>100</v>
      </c>
      <c r="AE384" s="111">
        <f t="shared" si="142"/>
        <v>1868</v>
      </c>
      <c r="AF384" s="51" t="s">
        <v>571</v>
      </c>
      <c r="AG384" s="115"/>
      <c r="AH384" s="35">
        <v>0</v>
      </c>
      <c r="AI384" s="36">
        <v>0</v>
      </c>
      <c r="AJ384" s="36">
        <v>0</v>
      </c>
      <c r="AK384" s="36"/>
      <c r="AL384" s="36">
        <v>0</v>
      </c>
      <c r="AM384" s="36">
        <v>0</v>
      </c>
      <c r="AN384" s="46">
        <v>0</v>
      </c>
      <c r="AO384" s="100">
        <f t="shared" si="150"/>
        <v>0</v>
      </c>
      <c r="AP384" s="3">
        <f t="shared" si="166"/>
        <v>0</v>
      </c>
    </row>
    <row r="385" spans="1:42" x14ac:dyDescent="0.2">
      <c r="A385" s="49" t="s">
        <v>860</v>
      </c>
      <c r="B385" s="37" t="s">
        <v>562</v>
      </c>
      <c r="C385" s="37" t="s">
        <v>578</v>
      </c>
      <c r="D385" s="52">
        <v>46387</v>
      </c>
      <c r="E385" s="38" t="s">
        <v>754</v>
      </c>
      <c r="F385" s="36" t="s">
        <v>559</v>
      </c>
      <c r="G385" s="36" t="s">
        <v>598</v>
      </c>
      <c r="H385" s="39"/>
      <c r="I385" s="40"/>
      <c r="J385" s="39">
        <v>20</v>
      </c>
      <c r="K385" s="40">
        <v>17860</v>
      </c>
      <c r="L385" s="51"/>
      <c r="M385" s="41">
        <v>893</v>
      </c>
      <c r="N385" s="41"/>
      <c r="O385" s="36"/>
      <c r="P385" s="41"/>
      <c r="Q385" s="36"/>
      <c r="R385" s="43"/>
      <c r="S385" s="43"/>
      <c r="T385" s="41"/>
      <c r="U385" s="44"/>
      <c r="V385" s="45"/>
      <c r="W385" s="36">
        <v>10</v>
      </c>
      <c r="X385" s="86">
        <v>8930</v>
      </c>
      <c r="Y385" s="199">
        <v>893</v>
      </c>
      <c r="Z385" s="44">
        <v>0</v>
      </c>
      <c r="AA385" s="41">
        <f t="shared" ref="AA385:AA447" si="167">Z385*Y385</f>
        <v>0</v>
      </c>
      <c r="AB385" s="44">
        <v>0</v>
      </c>
      <c r="AC385" s="44">
        <f t="shared" si="161"/>
        <v>2</v>
      </c>
      <c r="AD385" s="44">
        <f t="shared" ref="AD385:AD447" si="168">AC385+Z385</f>
        <v>2</v>
      </c>
      <c r="AE385" s="111">
        <f t="shared" ref="AE385:AE447" si="169">AD385*Y385</f>
        <v>1786</v>
      </c>
      <c r="AF385" s="51" t="s">
        <v>571</v>
      </c>
      <c r="AG385" s="115"/>
      <c r="AH385" s="35">
        <v>2</v>
      </c>
      <c r="AI385" s="36">
        <v>0</v>
      </c>
      <c r="AJ385" s="36">
        <v>0</v>
      </c>
      <c r="AK385" s="36"/>
      <c r="AL385" s="36">
        <v>0</v>
      </c>
      <c r="AM385" s="36">
        <v>0</v>
      </c>
      <c r="AN385" s="46">
        <v>0</v>
      </c>
      <c r="AO385" s="100">
        <f t="shared" si="150"/>
        <v>2</v>
      </c>
      <c r="AP385" s="3">
        <f t="shared" si="166"/>
        <v>1786</v>
      </c>
    </row>
    <row r="386" spans="1:42" x14ac:dyDescent="0.2">
      <c r="A386" s="35" t="s">
        <v>205</v>
      </c>
      <c r="B386" s="37" t="s">
        <v>565</v>
      </c>
      <c r="C386" s="37" t="s">
        <v>578</v>
      </c>
      <c r="D386" s="52">
        <v>46752</v>
      </c>
      <c r="E386" s="38" t="s">
        <v>772</v>
      </c>
      <c r="F386" s="36" t="s">
        <v>559</v>
      </c>
      <c r="G386" s="36" t="s">
        <v>637</v>
      </c>
      <c r="H386" s="39">
        <v>0</v>
      </c>
      <c r="I386" s="40">
        <v>0</v>
      </c>
      <c r="J386" s="39">
        <v>620</v>
      </c>
      <c r="K386" s="40">
        <v>29213.599999999999</v>
      </c>
      <c r="L386" s="37" t="s">
        <v>571</v>
      </c>
      <c r="M386" s="41">
        <v>47.28</v>
      </c>
      <c r="N386" s="42">
        <v>0</v>
      </c>
      <c r="O386" s="36">
        <v>100</v>
      </c>
      <c r="P386" s="41">
        <f>(N386+O386)*M386</f>
        <v>4728</v>
      </c>
      <c r="Q386" s="36">
        <v>41</v>
      </c>
      <c r="R386" s="43">
        <f>O386-Q386</f>
        <v>59</v>
      </c>
      <c r="S386" s="43">
        <f>U386-O386</f>
        <v>0</v>
      </c>
      <c r="T386" s="41">
        <f>S386*M386</f>
        <v>0</v>
      </c>
      <c r="U386" s="44">
        <v>100</v>
      </c>
      <c r="V386" s="45">
        <f>U386*M386</f>
        <v>4728</v>
      </c>
      <c r="W386" s="36">
        <v>100</v>
      </c>
      <c r="X386" s="86">
        <v>4728</v>
      </c>
      <c r="Y386" s="199">
        <v>47.28</v>
      </c>
      <c r="Z386" s="44">
        <v>37</v>
      </c>
      <c r="AA386" s="41">
        <f t="shared" si="167"/>
        <v>1749.3600000000001</v>
      </c>
      <c r="AB386" s="44">
        <v>0</v>
      </c>
      <c r="AC386" s="44">
        <f t="shared" si="161"/>
        <v>0</v>
      </c>
      <c r="AD386" s="44">
        <f t="shared" si="168"/>
        <v>37</v>
      </c>
      <c r="AE386" s="111">
        <f t="shared" si="169"/>
        <v>1749.3600000000001</v>
      </c>
      <c r="AF386" s="51" t="s">
        <v>571</v>
      </c>
      <c r="AG386" s="115"/>
      <c r="AH386" s="35">
        <v>0</v>
      </c>
      <c r="AI386" s="36">
        <v>0</v>
      </c>
      <c r="AJ386" s="36">
        <v>0</v>
      </c>
      <c r="AK386" s="36"/>
      <c r="AL386" s="36">
        <v>0</v>
      </c>
      <c r="AM386" s="36">
        <v>0</v>
      </c>
      <c r="AN386" s="46">
        <v>0</v>
      </c>
      <c r="AO386" s="100">
        <f t="shared" si="150"/>
        <v>0</v>
      </c>
      <c r="AP386" s="3">
        <f t="shared" si="166"/>
        <v>0</v>
      </c>
    </row>
    <row r="387" spans="1:42" x14ac:dyDescent="0.2">
      <c r="A387" s="49" t="s">
        <v>953</v>
      </c>
      <c r="B387" s="37" t="s">
        <v>565</v>
      </c>
      <c r="C387" s="37" t="s">
        <v>578</v>
      </c>
      <c r="D387" s="52">
        <v>46387</v>
      </c>
      <c r="E387" s="38" t="s">
        <v>754</v>
      </c>
      <c r="F387" s="36" t="s">
        <v>564</v>
      </c>
      <c r="G387" s="36" t="s">
        <v>967</v>
      </c>
      <c r="H387" s="39"/>
      <c r="I387" s="40"/>
      <c r="J387" s="39"/>
      <c r="K387" s="40"/>
      <c r="L387" s="37"/>
      <c r="M387" s="41"/>
      <c r="N387" s="36"/>
      <c r="O387" s="41"/>
      <c r="P387" s="36"/>
      <c r="Q387" s="43"/>
      <c r="R387" s="43"/>
      <c r="S387" s="41"/>
      <c r="T387" s="44"/>
      <c r="U387" s="45"/>
      <c r="V387" s="36"/>
      <c r="W387" s="45"/>
      <c r="X387" s="46"/>
      <c r="Y387" s="199">
        <v>396.8</v>
      </c>
      <c r="Z387" s="44">
        <v>4</v>
      </c>
      <c r="AA387" s="41">
        <f t="shared" si="167"/>
        <v>1587.2</v>
      </c>
      <c r="AB387" s="44">
        <v>0</v>
      </c>
      <c r="AC387" s="44">
        <f t="shared" si="161"/>
        <v>0</v>
      </c>
      <c r="AD387" s="44">
        <f t="shared" si="168"/>
        <v>4</v>
      </c>
      <c r="AE387" s="111">
        <f t="shared" si="169"/>
        <v>1587.2</v>
      </c>
      <c r="AF387" s="51" t="s">
        <v>571</v>
      </c>
      <c r="AG387" s="115"/>
      <c r="AH387" s="35">
        <v>0</v>
      </c>
      <c r="AI387" s="36">
        <v>0</v>
      </c>
      <c r="AJ387" s="36">
        <v>0</v>
      </c>
      <c r="AK387" s="36"/>
      <c r="AL387" s="36">
        <v>0</v>
      </c>
      <c r="AM387" s="36">
        <v>0</v>
      </c>
      <c r="AN387" s="46">
        <v>0</v>
      </c>
      <c r="AO387" s="100">
        <f t="shared" si="150"/>
        <v>0</v>
      </c>
      <c r="AP387" s="3">
        <f t="shared" si="166"/>
        <v>0</v>
      </c>
    </row>
    <row r="388" spans="1:42" x14ac:dyDescent="0.2">
      <c r="A388" s="35" t="s">
        <v>138</v>
      </c>
      <c r="B388" s="37" t="s">
        <v>565</v>
      </c>
      <c r="C388" s="37" t="s">
        <v>571</v>
      </c>
      <c r="D388" s="52">
        <v>46387</v>
      </c>
      <c r="E388" s="38" t="s">
        <v>754</v>
      </c>
      <c r="F388" s="36" t="s">
        <v>559</v>
      </c>
      <c r="G388" s="36" t="s">
        <v>647</v>
      </c>
      <c r="H388" s="39">
        <v>0</v>
      </c>
      <c r="I388" s="40">
        <v>0</v>
      </c>
      <c r="J388" s="39">
        <v>36</v>
      </c>
      <c r="K388" s="40">
        <v>9574.2000000000007</v>
      </c>
      <c r="L388" s="37" t="s">
        <v>571</v>
      </c>
      <c r="M388" s="41">
        <v>291.59999999999997</v>
      </c>
      <c r="N388" s="42">
        <v>0</v>
      </c>
      <c r="O388" s="36">
        <v>31</v>
      </c>
      <c r="P388" s="41">
        <f>(N388+O388)*M388</f>
        <v>9039.5999999999985</v>
      </c>
      <c r="Q388" s="36">
        <v>20</v>
      </c>
      <c r="R388" s="43">
        <f>O388-Q388</f>
        <v>11</v>
      </c>
      <c r="S388" s="43">
        <f>U388-O388</f>
        <v>0</v>
      </c>
      <c r="T388" s="41">
        <f>S388*M388</f>
        <v>0</v>
      </c>
      <c r="U388" s="44">
        <v>31</v>
      </c>
      <c r="V388" s="45">
        <f>U388*M388</f>
        <v>9039.5999999999985</v>
      </c>
      <c r="W388" s="36">
        <v>31</v>
      </c>
      <c r="X388" s="86">
        <v>9039.5999999999985</v>
      </c>
      <c r="Y388" s="199">
        <v>291.60000000000002</v>
      </c>
      <c r="Z388" s="44">
        <v>4</v>
      </c>
      <c r="AA388" s="41">
        <f t="shared" si="167"/>
        <v>1166.4000000000001</v>
      </c>
      <c r="AB388" s="44">
        <v>0</v>
      </c>
      <c r="AC388" s="44">
        <f t="shared" si="161"/>
        <v>0</v>
      </c>
      <c r="AD388" s="44">
        <f t="shared" si="168"/>
        <v>4</v>
      </c>
      <c r="AE388" s="111">
        <f t="shared" si="169"/>
        <v>1166.4000000000001</v>
      </c>
      <c r="AF388" s="51" t="s">
        <v>571</v>
      </c>
      <c r="AG388" s="115"/>
      <c r="AH388" s="35">
        <v>0</v>
      </c>
      <c r="AI388" s="36">
        <v>0</v>
      </c>
      <c r="AJ388" s="36">
        <v>0</v>
      </c>
      <c r="AK388" s="36"/>
      <c r="AL388" s="36">
        <v>0</v>
      </c>
      <c r="AM388" s="36">
        <v>0</v>
      </c>
      <c r="AN388" s="46">
        <v>0</v>
      </c>
      <c r="AO388" s="100">
        <f t="shared" si="150"/>
        <v>0</v>
      </c>
      <c r="AP388" s="3">
        <f t="shared" si="166"/>
        <v>0</v>
      </c>
    </row>
    <row r="389" spans="1:42" x14ac:dyDescent="0.2">
      <c r="A389" s="49" t="s">
        <v>936</v>
      </c>
      <c r="B389" s="37" t="s">
        <v>565</v>
      </c>
      <c r="C389" s="37" t="s">
        <v>578</v>
      </c>
      <c r="D389" s="52">
        <v>46752</v>
      </c>
      <c r="E389" s="38" t="s">
        <v>772</v>
      </c>
      <c r="F389" s="36" t="s">
        <v>559</v>
      </c>
      <c r="G389" s="36" t="s">
        <v>637</v>
      </c>
      <c r="H389" s="39"/>
      <c r="I389" s="40"/>
      <c r="J389" s="39"/>
      <c r="K389" s="40"/>
      <c r="L389" s="37"/>
      <c r="M389" s="41"/>
      <c r="N389" s="36"/>
      <c r="O389" s="41"/>
      <c r="P389" s="36"/>
      <c r="Q389" s="43"/>
      <c r="R389" s="43"/>
      <c r="S389" s="41"/>
      <c r="T389" s="44"/>
      <c r="U389" s="45"/>
      <c r="V389" s="36"/>
      <c r="W389" s="45"/>
      <c r="X389" s="46"/>
      <c r="Y389" s="199">
        <v>37.630000000000003</v>
      </c>
      <c r="Z389" s="44">
        <v>27</v>
      </c>
      <c r="AA389" s="41">
        <f t="shared" si="167"/>
        <v>1016.0100000000001</v>
      </c>
      <c r="AB389" s="44">
        <v>0</v>
      </c>
      <c r="AC389" s="44">
        <f t="shared" si="161"/>
        <v>0</v>
      </c>
      <c r="AD389" s="44">
        <f t="shared" si="168"/>
        <v>27</v>
      </c>
      <c r="AE389" s="111">
        <f t="shared" si="169"/>
        <v>1016.0100000000001</v>
      </c>
      <c r="AF389" s="51" t="s">
        <v>571</v>
      </c>
      <c r="AG389" s="115"/>
      <c r="AH389" s="35">
        <v>0</v>
      </c>
      <c r="AI389" s="36">
        <v>0</v>
      </c>
      <c r="AJ389" s="36">
        <v>0</v>
      </c>
      <c r="AK389" s="36"/>
      <c r="AL389" s="36">
        <v>0</v>
      </c>
      <c r="AM389" s="36">
        <v>0</v>
      </c>
      <c r="AN389" s="46">
        <v>0</v>
      </c>
      <c r="AO389" s="100">
        <f t="shared" si="150"/>
        <v>0</v>
      </c>
      <c r="AP389" s="3">
        <f t="shared" si="166"/>
        <v>0</v>
      </c>
    </row>
    <row r="390" spans="1:42" x14ac:dyDescent="0.2">
      <c r="A390" s="35" t="s">
        <v>1022</v>
      </c>
      <c r="B390" s="37" t="s">
        <v>562</v>
      </c>
      <c r="C390" s="37" t="s">
        <v>571</v>
      </c>
      <c r="D390" s="52"/>
      <c r="E390" s="38" t="s">
        <v>1025</v>
      </c>
      <c r="F390" s="36"/>
      <c r="G390" s="36"/>
      <c r="H390" s="39"/>
      <c r="I390" s="40"/>
      <c r="J390" s="39"/>
      <c r="K390" s="40"/>
      <c r="L390" s="37"/>
      <c r="M390" s="41"/>
      <c r="N390" s="42"/>
      <c r="O390" s="36"/>
      <c r="P390" s="41"/>
      <c r="Q390" s="36"/>
      <c r="R390" s="43"/>
      <c r="S390" s="43"/>
      <c r="T390" s="41"/>
      <c r="U390" s="44"/>
      <c r="V390" s="45"/>
      <c r="W390" s="36"/>
      <c r="X390" s="86"/>
      <c r="Y390" s="199">
        <v>26.42</v>
      </c>
      <c r="Z390" s="44">
        <v>18</v>
      </c>
      <c r="AA390" s="41">
        <f t="shared" si="167"/>
        <v>475.56000000000006</v>
      </c>
      <c r="AB390" s="44">
        <v>0</v>
      </c>
      <c r="AC390" s="44">
        <v>0</v>
      </c>
      <c r="AD390" s="44">
        <f t="shared" si="168"/>
        <v>18</v>
      </c>
      <c r="AE390" s="111">
        <f t="shared" si="169"/>
        <v>475.56000000000006</v>
      </c>
      <c r="AF390" s="51" t="s">
        <v>571</v>
      </c>
      <c r="AG390" s="115"/>
      <c r="AH390" s="35">
        <v>0</v>
      </c>
      <c r="AI390" s="36">
        <v>0</v>
      </c>
      <c r="AJ390" s="36">
        <v>0</v>
      </c>
      <c r="AK390" s="36"/>
      <c r="AL390" s="36">
        <v>0</v>
      </c>
      <c r="AM390" s="36">
        <v>0</v>
      </c>
      <c r="AN390" s="46">
        <v>0</v>
      </c>
      <c r="AO390" s="100"/>
      <c r="AP390" s="3">
        <f t="shared" si="166"/>
        <v>0</v>
      </c>
    </row>
    <row r="391" spans="1:42" x14ac:dyDescent="0.2">
      <c r="A391" s="35" t="s">
        <v>553</v>
      </c>
      <c r="B391" s="37" t="s">
        <v>562</v>
      </c>
      <c r="C391" s="37" t="s">
        <v>578</v>
      </c>
      <c r="D391" s="52">
        <v>46752</v>
      </c>
      <c r="E391" s="38" t="s">
        <v>772</v>
      </c>
      <c r="F391" s="36" t="s">
        <v>559</v>
      </c>
      <c r="G391" s="36" t="s">
        <v>637</v>
      </c>
      <c r="H391" s="39">
        <v>0</v>
      </c>
      <c r="I391" s="40">
        <v>0</v>
      </c>
      <c r="J391" s="39">
        <v>0</v>
      </c>
      <c r="K391" s="40">
        <v>0</v>
      </c>
      <c r="L391" s="51"/>
      <c r="M391" s="41" t="e">
        <v>#DIV/0!</v>
      </c>
      <c r="N391" s="41"/>
      <c r="O391" s="36">
        <v>0</v>
      </c>
      <c r="P391" s="41">
        <v>0</v>
      </c>
      <c r="Q391" s="36">
        <v>3</v>
      </c>
      <c r="R391" s="43">
        <f t="shared" ref="R391:R400" si="170">O391-Q391</f>
        <v>-3</v>
      </c>
      <c r="S391" s="43">
        <f t="shared" ref="S391:S400" si="171">U391-O391</f>
        <v>0</v>
      </c>
      <c r="T391" s="41" t="e">
        <f t="shared" ref="T391:T400" si="172">S391*M391</f>
        <v>#DIV/0!</v>
      </c>
      <c r="U391" s="44">
        <v>0</v>
      </c>
      <c r="V391" s="45" t="e">
        <f t="shared" ref="V391:V400" si="173">U391*M391</f>
        <v>#DIV/0!</v>
      </c>
      <c r="W391" s="36">
        <v>0</v>
      </c>
      <c r="X391" s="86">
        <v>0</v>
      </c>
      <c r="Y391" s="199">
        <v>48.21</v>
      </c>
      <c r="Z391" s="44">
        <v>6</v>
      </c>
      <c r="AA391" s="41">
        <f t="shared" si="167"/>
        <v>289.26</v>
      </c>
      <c r="AB391" s="44">
        <v>0</v>
      </c>
      <c r="AC391" s="44">
        <f t="shared" ref="AC391:AC404" si="174">AB391+AO391</f>
        <v>0</v>
      </c>
      <c r="AD391" s="44">
        <f t="shared" si="168"/>
        <v>6</v>
      </c>
      <c r="AE391" s="111">
        <f t="shared" si="169"/>
        <v>289.26</v>
      </c>
      <c r="AF391" s="51" t="s">
        <v>571</v>
      </c>
      <c r="AG391" s="115"/>
      <c r="AH391" s="35">
        <v>0</v>
      </c>
      <c r="AI391" s="36">
        <v>0</v>
      </c>
      <c r="AJ391" s="36">
        <v>0</v>
      </c>
      <c r="AK391" s="36"/>
      <c r="AL391" s="36">
        <v>0</v>
      </c>
      <c r="AM391" s="36">
        <v>0</v>
      </c>
      <c r="AN391" s="46">
        <v>0</v>
      </c>
      <c r="AO391" s="100">
        <f t="shared" ref="AO391:AO404" si="175">SUM(AH391:AN391)</f>
        <v>0</v>
      </c>
      <c r="AP391" s="3">
        <f t="shared" si="166"/>
        <v>0</v>
      </c>
    </row>
    <row r="392" spans="1:42" x14ac:dyDescent="0.2">
      <c r="A392" s="35" t="s">
        <v>333</v>
      </c>
      <c r="B392" s="37" t="s">
        <v>565</v>
      </c>
      <c r="C392" s="37" t="s">
        <v>578</v>
      </c>
      <c r="D392" s="52">
        <v>46387</v>
      </c>
      <c r="E392" s="38" t="s">
        <v>754</v>
      </c>
      <c r="F392" s="36" t="s">
        <v>557</v>
      </c>
      <c r="G392" s="36" t="s">
        <v>592</v>
      </c>
      <c r="H392" s="39">
        <v>116</v>
      </c>
      <c r="I392" s="40">
        <v>52200</v>
      </c>
      <c r="J392" s="39">
        <v>52</v>
      </c>
      <c r="K392" s="40">
        <v>23400</v>
      </c>
      <c r="L392" s="37" t="s">
        <v>578</v>
      </c>
      <c r="M392" s="41">
        <v>450</v>
      </c>
      <c r="N392" s="42">
        <v>0</v>
      </c>
      <c r="O392" s="36">
        <v>121</v>
      </c>
      <c r="P392" s="41">
        <f t="shared" ref="P392:P400" si="176">(N392+O392)*M392</f>
        <v>54450</v>
      </c>
      <c r="Q392" s="36">
        <v>18</v>
      </c>
      <c r="R392" s="43">
        <f t="shared" si="170"/>
        <v>103</v>
      </c>
      <c r="S392" s="43">
        <f t="shared" si="171"/>
        <v>0</v>
      </c>
      <c r="T392" s="41">
        <f t="shared" si="172"/>
        <v>0</v>
      </c>
      <c r="U392" s="44">
        <f>O392</f>
        <v>121</v>
      </c>
      <c r="V392" s="45">
        <f t="shared" si="173"/>
        <v>54450</v>
      </c>
      <c r="W392" s="36">
        <v>260</v>
      </c>
      <c r="X392" s="86">
        <v>117000</v>
      </c>
      <c r="Y392" s="199">
        <v>271.93</v>
      </c>
      <c r="Z392" s="44">
        <v>1</v>
      </c>
      <c r="AA392" s="41">
        <f t="shared" si="167"/>
        <v>271.93</v>
      </c>
      <c r="AB392" s="44">
        <v>0</v>
      </c>
      <c r="AC392" s="44">
        <f t="shared" si="174"/>
        <v>0</v>
      </c>
      <c r="AD392" s="44">
        <f t="shared" si="168"/>
        <v>1</v>
      </c>
      <c r="AE392" s="111">
        <f t="shared" si="169"/>
        <v>271.93</v>
      </c>
      <c r="AF392" s="51" t="s">
        <v>571</v>
      </c>
      <c r="AG392" s="115"/>
      <c r="AH392" s="35">
        <v>0</v>
      </c>
      <c r="AI392" s="36">
        <v>0</v>
      </c>
      <c r="AJ392" s="36">
        <v>0</v>
      </c>
      <c r="AK392" s="36"/>
      <c r="AL392" s="36">
        <v>0</v>
      </c>
      <c r="AM392" s="36">
        <v>0</v>
      </c>
      <c r="AN392" s="46">
        <v>0</v>
      </c>
      <c r="AO392" s="100">
        <f t="shared" si="175"/>
        <v>0</v>
      </c>
      <c r="AP392" s="3">
        <f t="shared" si="166"/>
        <v>0</v>
      </c>
    </row>
    <row r="393" spans="1:42" x14ac:dyDescent="0.2">
      <c r="A393" s="35" t="s">
        <v>468</v>
      </c>
      <c r="B393" s="37" t="s">
        <v>562</v>
      </c>
      <c r="C393" s="37" t="s">
        <v>571</v>
      </c>
      <c r="D393" s="52"/>
      <c r="E393" s="38" t="s">
        <v>755</v>
      </c>
      <c r="F393" s="36" t="s">
        <v>568</v>
      </c>
      <c r="G393" s="36" t="s">
        <v>677</v>
      </c>
      <c r="H393" s="39">
        <v>1430</v>
      </c>
      <c r="I393" s="40">
        <v>265330</v>
      </c>
      <c r="J393" s="39">
        <v>0</v>
      </c>
      <c r="K393" s="40">
        <v>0</v>
      </c>
      <c r="L393" s="37" t="s">
        <v>578</v>
      </c>
      <c r="M393" s="41" t="e">
        <v>#DIV/0!</v>
      </c>
      <c r="N393" s="42">
        <v>0</v>
      </c>
      <c r="O393" s="36">
        <v>0</v>
      </c>
      <c r="P393" s="41" t="e">
        <f t="shared" si="176"/>
        <v>#DIV/0!</v>
      </c>
      <c r="Q393" s="36">
        <v>1200</v>
      </c>
      <c r="R393" s="43">
        <f t="shared" si="170"/>
        <v>-1200</v>
      </c>
      <c r="S393" s="43">
        <f t="shared" si="171"/>
        <v>500</v>
      </c>
      <c r="T393" s="41" t="e">
        <f t="shared" si="172"/>
        <v>#DIV/0!</v>
      </c>
      <c r="U393" s="44">
        <v>500</v>
      </c>
      <c r="V393" s="45" t="e">
        <f t="shared" si="173"/>
        <v>#DIV/0!</v>
      </c>
      <c r="W393" s="36">
        <v>0</v>
      </c>
      <c r="X393" s="86">
        <v>0</v>
      </c>
      <c r="Y393" s="199">
        <v>269.67</v>
      </c>
      <c r="Z393" s="44">
        <v>0</v>
      </c>
      <c r="AA393" s="41">
        <f t="shared" si="167"/>
        <v>0</v>
      </c>
      <c r="AB393" s="44">
        <v>0</v>
      </c>
      <c r="AC393" s="44">
        <f t="shared" si="174"/>
        <v>0</v>
      </c>
      <c r="AD393" s="44">
        <f t="shared" si="168"/>
        <v>0</v>
      </c>
      <c r="AE393" s="111">
        <f t="shared" si="169"/>
        <v>0</v>
      </c>
      <c r="AF393" s="51" t="s">
        <v>571</v>
      </c>
      <c r="AG393" s="115" t="s">
        <v>1087</v>
      </c>
      <c r="AH393" s="35">
        <v>0</v>
      </c>
      <c r="AI393" s="36">
        <v>0</v>
      </c>
      <c r="AJ393" s="36">
        <v>0</v>
      </c>
      <c r="AK393" s="36"/>
      <c r="AL393" s="36">
        <v>0</v>
      </c>
      <c r="AM393" s="36">
        <v>0</v>
      </c>
      <c r="AN393" s="46">
        <v>0</v>
      </c>
      <c r="AO393" s="100">
        <f t="shared" si="175"/>
        <v>0</v>
      </c>
      <c r="AP393" s="3">
        <f t="shared" si="166"/>
        <v>0</v>
      </c>
    </row>
    <row r="394" spans="1:42" x14ac:dyDescent="0.2">
      <c r="A394" s="35" t="s">
        <v>277</v>
      </c>
      <c r="B394" s="37" t="s">
        <v>556</v>
      </c>
      <c r="C394" s="37" t="s">
        <v>571</v>
      </c>
      <c r="D394" s="52"/>
      <c r="E394" s="38" t="s">
        <v>778</v>
      </c>
      <c r="F394" s="36" t="s">
        <v>560</v>
      </c>
      <c r="G394" s="36" t="s">
        <v>612</v>
      </c>
      <c r="H394" s="39">
        <v>0</v>
      </c>
      <c r="I394" s="40">
        <v>0</v>
      </c>
      <c r="J394" s="39">
        <v>55</v>
      </c>
      <c r="K394" s="40">
        <v>47520</v>
      </c>
      <c r="L394" s="37" t="s">
        <v>578</v>
      </c>
      <c r="M394" s="41">
        <v>864</v>
      </c>
      <c r="N394" s="42">
        <v>0</v>
      </c>
      <c r="O394" s="36">
        <v>145</v>
      </c>
      <c r="P394" s="41">
        <f t="shared" si="176"/>
        <v>125280</v>
      </c>
      <c r="Q394" s="36">
        <v>0</v>
      </c>
      <c r="R394" s="43">
        <f t="shared" si="170"/>
        <v>145</v>
      </c>
      <c r="S394" s="43">
        <f t="shared" si="171"/>
        <v>0</v>
      </c>
      <c r="T394" s="41">
        <f t="shared" si="172"/>
        <v>0</v>
      </c>
      <c r="U394" s="44">
        <f>O394</f>
        <v>145</v>
      </c>
      <c r="V394" s="45">
        <f t="shared" si="173"/>
        <v>125280</v>
      </c>
      <c r="W394" s="36">
        <v>145</v>
      </c>
      <c r="X394" s="86">
        <v>125280</v>
      </c>
      <c r="Y394" s="199">
        <v>0</v>
      </c>
      <c r="Z394" s="44">
        <v>0</v>
      </c>
      <c r="AA394" s="41">
        <f t="shared" si="167"/>
        <v>0</v>
      </c>
      <c r="AB394" s="44">
        <v>0</v>
      </c>
      <c r="AC394" s="44">
        <f t="shared" si="174"/>
        <v>0</v>
      </c>
      <c r="AD394" s="44">
        <f t="shared" si="168"/>
        <v>0</v>
      </c>
      <c r="AE394" s="111">
        <f t="shared" si="169"/>
        <v>0</v>
      </c>
      <c r="AF394" s="51" t="s">
        <v>571</v>
      </c>
      <c r="AG394" s="115"/>
      <c r="AH394" s="35">
        <v>0</v>
      </c>
      <c r="AI394" s="36">
        <v>0</v>
      </c>
      <c r="AJ394" s="36">
        <v>0</v>
      </c>
      <c r="AK394" s="36"/>
      <c r="AL394" s="36">
        <v>0</v>
      </c>
      <c r="AM394" s="36">
        <v>0</v>
      </c>
      <c r="AN394" s="46">
        <v>0</v>
      </c>
      <c r="AO394" s="100">
        <f t="shared" si="175"/>
        <v>0</v>
      </c>
      <c r="AP394" s="3">
        <f t="shared" si="166"/>
        <v>0</v>
      </c>
    </row>
    <row r="395" spans="1:42" x14ac:dyDescent="0.2">
      <c r="A395" s="35" t="s">
        <v>280</v>
      </c>
      <c r="B395" s="37" t="s">
        <v>565</v>
      </c>
      <c r="C395" s="37" t="s">
        <v>571</v>
      </c>
      <c r="D395" s="52"/>
      <c r="E395" s="38" t="s">
        <v>763</v>
      </c>
      <c r="F395" s="36" t="s">
        <v>560</v>
      </c>
      <c r="G395" s="36" t="s">
        <v>612</v>
      </c>
      <c r="H395" s="39">
        <v>57</v>
      </c>
      <c r="I395" s="40">
        <v>75282.180000000008</v>
      </c>
      <c r="J395" s="39">
        <v>34</v>
      </c>
      <c r="K395" s="40">
        <v>44905.16</v>
      </c>
      <c r="L395" s="37" t="s">
        <v>578</v>
      </c>
      <c r="M395" s="41">
        <v>1532.4337142857144</v>
      </c>
      <c r="N395" s="42">
        <v>0</v>
      </c>
      <c r="O395" s="36">
        <v>70</v>
      </c>
      <c r="P395" s="41">
        <f t="shared" si="176"/>
        <v>107270.36</v>
      </c>
      <c r="Q395" s="36">
        <v>121</v>
      </c>
      <c r="R395" s="43">
        <f t="shared" si="170"/>
        <v>-51</v>
      </c>
      <c r="S395" s="43">
        <f t="shared" si="171"/>
        <v>0</v>
      </c>
      <c r="T395" s="41">
        <f t="shared" si="172"/>
        <v>0</v>
      </c>
      <c r="U395" s="44">
        <v>70</v>
      </c>
      <c r="V395" s="45">
        <f t="shared" si="173"/>
        <v>107270.36</v>
      </c>
      <c r="W395" s="36">
        <v>70</v>
      </c>
      <c r="X395" s="86">
        <v>107270.36</v>
      </c>
      <c r="Y395" s="199">
        <v>0</v>
      </c>
      <c r="Z395" s="44">
        <v>0</v>
      </c>
      <c r="AA395" s="41">
        <f t="shared" si="167"/>
        <v>0</v>
      </c>
      <c r="AB395" s="44">
        <v>0</v>
      </c>
      <c r="AC395" s="44">
        <f t="shared" si="174"/>
        <v>0</v>
      </c>
      <c r="AD395" s="44">
        <f t="shared" si="168"/>
        <v>0</v>
      </c>
      <c r="AE395" s="111">
        <f t="shared" si="169"/>
        <v>0</v>
      </c>
      <c r="AF395" s="51" t="s">
        <v>571</v>
      </c>
      <c r="AG395" s="115" t="s">
        <v>746</v>
      </c>
      <c r="AH395" s="35">
        <v>0</v>
      </c>
      <c r="AI395" s="36">
        <v>0</v>
      </c>
      <c r="AJ395" s="36">
        <v>0</v>
      </c>
      <c r="AK395" s="36"/>
      <c r="AL395" s="36">
        <v>0</v>
      </c>
      <c r="AM395" s="36">
        <v>0</v>
      </c>
      <c r="AN395" s="46">
        <v>0</v>
      </c>
      <c r="AO395" s="100">
        <f t="shared" si="175"/>
        <v>0</v>
      </c>
      <c r="AP395" s="3">
        <f t="shared" si="166"/>
        <v>0</v>
      </c>
    </row>
    <row r="396" spans="1:42" x14ac:dyDescent="0.2">
      <c r="A396" s="35" t="s">
        <v>436</v>
      </c>
      <c r="B396" s="37" t="s">
        <v>556</v>
      </c>
      <c r="C396" s="37" t="s">
        <v>571</v>
      </c>
      <c r="D396" s="52"/>
      <c r="E396" s="38" t="s">
        <v>775</v>
      </c>
      <c r="F396" s="36" t="s">
        <v>555</v>
      </c>
      <c r="G396" s="36" t="s">
        <v>631</v>
      </c>
      <c r="H396" s="39">
        <v>100</v>
      </c>
      <c r="I396" s="40">
        <v>16643</v>
      </c>
      <c r="J396" s="39">
        <v>885</v>
      </c>
      <c r="K396" s="40">
        <v>130647.54999999999</v>
      </c>
      <c r="L396" s="37" t="s">
        <v>578</v>
      </c>
      <c r="M396" s="41">
        <v>166.42999999999998</v>
      </c>
      <c r="N396" s="42">
        <v>0</v>
      </c>
      <c r="O396" s="36">
        <v>434</v>
      </c>
      <c r="P396" s="41">
        <f t="shared" si="176"/>
        <v>72230.62</v>
      </c>
      <c r="Q396" s="36">
        <v>1000</v>
      </c>
      <c r="R396" s="43">
        <f t="shared" si="170"/>
        <v>-566</v>
      </c>
      <c r="S396" s="43">
        <f t="shared" si="171"/>
        <v>566</v>
      </c>
      <c r="T396" s="41">
        <f t="shared" si="172"/>
        <v>94199.37999999999</v>
      </c>
      <c r="U396" s="44">
        <v>1000</v>
      </c>
      <c r="V396" s="45">
        <f t="shared" si="173"/>
        <v>166429.99999999997</v>
      </c>
      <c r="W396" s="36">
        <v>434</v>
      </c>
      <c r="X396" s="86">
        <v>72230.62</v>
      </c>
      <c r="Y396" s="199">
        <v>0</v>
      </c>
      <c r="Z396" s="44">
        <v>0</v>
      </c>
      <c r="AA396" s="41">
        <f t="shared" si="167"/>
        <v>0</v>
      </c>
      <c r="AB396" s="44">
        <v>0</v>
      </c>
      <c r="AC396" s="44">
        <f t="shared" si="174"/>
        <v>0</v>
      </c>
      <c r="AD396" s="44">
        <f t="shared" si="168"/>
        <v>0</v>
      </c>
      <c r="AE396" s="111">
        <f t="shared" si="169"/>
        <v>0</v>
      </c>
      <c r="AF396" s="51" t="s">
        <v>571</v>
      </c>
      <c r="AG396" s="115"/>
      <c r="AH396" s="35">
        <v>0</v>
      </c>
      <c r="AI396" s="36">
        <v>0</v>
      </c>
      <c r="AJ396" s="36">
        <v>0</v>
      </c>
      <c r="AK396" s="36"/>
      <c r="AL396" s="36">
        <v>0</v>
      </c>
      <c r="AM396" s="36">
        <v>0</v>
      </c>
      <c r="AN396" s="46">
        <v>0</v>
      </c>
      <c r="AO396" s="100">
        <f t="shared" si="175"/>
        <v>0</v>
      </c>
      <c r="AP396" s="3">
        <f t="shared" si="166"/>
        <v>0</v>
      </c>
    </row>
    <row r="397" spans="1:42" x14ac:dyDescent="0.2">
      <c r="A397" s="35" t="s">
        <v>435</v>
      </c>
      <c r="B397" s="37" t="s">
        <v>556</v>
      </c>
      <c r="C397" s="37" t="s">
        <v>571</v>
      </c>
      <c r="D397" s="52"/>
      <c r="E397" s="38" t="s">
        <v>775</v>
      </c>
      <c r="F397" s="36" t="s">
        <v>555</v>
      </c>
      <c r="G397" s="36" t="s">
        <v>631</v>
      </c>
      <c r="H397" s="39">
        <v>0</v>
      </c>
      <c r="I397" s="40">
        <v>0</v>
      </c>
      <c r="J397" s="39">
        <v>774</v>
      </c>
      <c r="K397" s="40">
        <v>114126.30000000002</v>
      </c>
      <c r="L397" s="37" t="s">
        <v>578</v>
      </c>
      <c r="M397" s="41">
        <v>147.44999999999999</v>
      </c>
      <c r="N397" s="42">
        <v>0</v>
      </c>
      <c r="O397" s="36">
        <v>346</v>
      </c>
      <c r="P397" s="41">
        <f t="shared" si="176"/>
        <v>51017.7</v>
      </c>
      <c r="Q397" s="36">
        <v>1000</v>
      </c>
      <c r="R397" s="43">
        <f t="shared" si="170"/>
        <v>-654</v>
      </c>
      <c r="S397" s="43">
        <f t="shared" si="171"/>
        <v>654</v>
      </c>
      <c r="T397" s="41">
        <f t="shared" si="172"/>
        <v>96432.299999999988</v>
      </c>
      <c r="U397" s="44">
        <v>1000</v>
      </c>
      <c r="V397" s="45">
        <f t="shared" si="173"/>
        <v>147450</v>
      </c>
      <c r="W397" s="36">
        <v>356</v>
      </c>
      <c r="X397" s="86">
        <v>52492.2</v>
      </c>
      <c r="Y397" s="199">
        <v>0</v>
      </c>
      <c r="Z397" s="44">
        <v>0</v>
      </c>
      <c r="AA397" s="41">
        <f t="shared" si="167"/>
        <v>0</v>
      </c>
      <c r="AB397" s="44">
        <v>0</v>
      </c>
      <c r="AC397" s="44">
        <f t="shared" si="174"/>
        <v>0</v>
      </c>
      <c r="AD397" s="44">
        <f t="shared" si="168"/>
        <v>0</v>
      </c>
      <c r="AE397" s="111">
        <f t="shared" si="169"/>
        <v>0</v>
      </c>
      <c r="AF397" s="51" t="s">
        <v>571</v>
      </c>
      <c r="AG397" s="115"/>
      <c r="AH397" s="35">
        <v>0</v>
      </c>
      <c r="AI397" s="36">
        <v>0</v>
      </c>
      <c r="AJ397" s="36">
        <v>0</v>
      </c>
      <c r="AK397" s="36"/>
      <c r="AL397" s="36">
        <v>0</v>
      </c>
      <c r="AM397" s="36">
        <v>0</v>
      </c>
      <c r="AN397" s="46">
        <v>0</v>
      </c>
      <c r="AO397" s="100">
        <f t="shared" si="175"/>
        <v>0</v>
      </c>
      <c r="AP397" s="3">
        <f t="shared" si="166"/>
        <v>0</v>
      </c>
    </row>
    <row r="398" spans="1:42" x14ac:dyDescent="0.2">
      <c r="A398" s="35" t="s">
        <v>416</v>
      </c>
      <c r="B398" s="37" t="s">
        <v>565</v>
      </c>
      <c r="C398" s="37" t="s">
        <v>571</v>
      </c>
      <c r="D398" s="52"/>
      <c r="E398" s="38" t="s">
        <v>758</v>
      </c>
      <c r="F398" s="36" t="s">
        <v>555</v>
      </c>
      <c r="G398" s="36" t="s">
        <v>600</v>
      </c>
      <c r="H398" s="39">
        <v>40</v>
      </c>
      <c r="I398" s="40">
        <v>66800</v>
      </c>
      <c r="J398" s="39">
        <v>30</v>
      </c>
      <c r="K398" s="40">
        <v>56280</v>
      </c>
      <c r="L398" s="37" t="s">
        <v>578</v>
      </c>
      <c r="M398" s="41">
        <v>1876</v>
      </c>
      <c r="N398" s="42">
        <v>0</v>
      </c>
      <c r="O398" s="36">
        <v>20</v>
      </c>
      <c r="P398" s="41">
        <f t="shared" si="176"/>
        <v>37520</v>
      </c>
      <c r="Q398" s="36">
        <v>0</v>
      </c>
      <c r="R398" s="43">
        <f t="shared" si="170"/>
        <v>20</v>
      </c>
      <c r="S398" s="43">
        <f t="shared" si="171"/>
        <v>0</v>
      </c>
      <c r="T398" s="41">
        <f t="shared" si="172"/>
        <v>0</v>
      </c>
      <c r="U398" s="44">
        <f>O398</f>
        <v>20</v>
      </c>
      <c r="V398" s="45">
        <f t="shared" si="173"/>
        <v>37520</v>
      </c>
      <c r="W398" s="36">
        <v>20</v>
      </c>
      <c r="X398" s="86">
        <v>37520</v>
      </c>
      <c r="Y398" s="199">
        <v>0</v>
      </c>
      <c r="Z398" s="44">
        <v>0</v>
      </c>
      <c r="AA398" s="41">
        <f t="shared" si="167"/>
        <v>0</v>
      </c>
      <c r="AB398" s="44">
        <v>0</v>
      </c>
      <c r="AC398" s="44">
        <f t="shared" si="174"/>
        <v>0</v>
      </c>
      <c r="AD398" s="44">
        <f t="shared" si="168"/>
        <v>0</v>
      </c>
      <c r="AE398" s="111">
        <f t="shared" si="169"/>
        <v>0</v>
      </c>
      <c r="AF398" s="51" t="s">
        <v>571</v>
      </c>
      <c r="AG398" s="115"/>
      <c r="AH398" s="35">
        <v>0</v>
      </c>
      <c r="AI398" s="36">
        <v>0</v>
      </c>
      <c r="AJ398" s="36">
        <v>0</v>
      </c>
      <c r="AK398" s="36"/>
      <c r="AL398" s="36">
        <v>0</v>
      </c>
      <c r="AM398" s="36">
        <v>0</v>
      </c>
      <c r="AN398" s="46">
        <v>0</v>
      </c>
      <c r="AO398" s="100">
        <f t="shared" si="175"/>
        <v>0</v>
      </c>
      <c r="AP398" s="3">
        <f t="shared" si="166"/>
        <v>0</v>
      </c>
    </row>
    <row r="399" spans="1:42" x14ac:dyDescent="0.2">
      <c r="A399" s="35" t="s">
        <v>403</v>
      </c>
      <c r="B399" s="37" t="s">
        <v>565</v>
      </c>
      <c r="C399" s="37" t="s">
        <v>571</v>
      </c>
      <c r="D399" s="52"/>
      <c r="E399" s="38" t="s">
        <v>594</v>
      </c>
      <c r="F399" s="36" t="s">
        <v>555</v>
      </c>
      <c r="G399" s="36" t="s">
        <v>620</v>
      </c>
      <c r="H399" s="39">
        <v>24</v>
      </c>
      <c r="I399" s="40">
        <v>20592</v>
      </c>
      <c r="J399" s="39">
        <v>5</v>
      </c>
      <c r="K399" s="40">
        <v>6194.95</v>
      </c>
      <c r="L399" s="37" t="s">
        <v>578</v>
      </c>
      <c r="M399" s="41">
        <v>1400</v>
      </c>
      <c r="N399" s="42">
        <v>0</v>
      </c>
      <c r="O399" s="36">
        <v>25</v>
      </c>
      <c r="P399" s="41">
        <f t="shared" si="176"/>
        <v>35000</v>
      </c>
      <c r="Q399" s="36">
        <v>0</v>
      </c>
      <c r="R399" s="43">
        <f t="shared" si="170"/>
        <v>25</v>
      </c>
      <c r="S399" s="43">
        <f t="shared" si="171"/>
        <v>0</v>
      </c>
      <c r="T399" s="41">
        <f t="shared" si="172"/>
        <v>0</v>
      </c>
      <c r="U399" s="44">
        <f>O399</f>
        <v>25</v>
      </c>
      <c r="V399" s="45">
        <f t="shared" si="173"/>
        <v>35000</v>
      </c>
      <c r="W399" s="36">
        <v>25</v>
      </c>
      <c r="X399" s="86">
        <v>35000</v>
      </c>
      <c r="Y399" s="199">
        <v>0</v>
      </c>
      <c r="Z399" s="44">
        <v>0</v>
      </c>
      <c r="AA399" s="41">
        <f t="shared" si="167"/>
        <v>0</v>
      </c>
      <c r="AB399" s="44">
        <v>0</v>
      </c>
      <c r="AC399" s="44">
        <f t="shared" si="174"/>
        <v>0</v>
      </c>
      <c r="AD399" s="44">
        <f t="shared" si="168"/>
        <v>0</v>
      </c>
      <c r="AE399" s="111">
        <f t="shared" si="169"/>
        <v>0</v>
      </c>
      <c r="AF399" s="51" t="s">
        <v>571</v>
      </c>
      <c r="AG399" s="115"/>
      <c r="AH399" s="35">
        <v>0</v>
      </c>
      <c r="AI399" s="36">
        <v>0</v>
      </c>
      <c r="AJ399" s="36">
        <v>0</v>
      </c>
      <c r="AK399" s="36"/>
      <c r="AL399" s="36">
        <v>0</v>
      </c>
      <c r="AM399" s="36">
        <v>0</v>
      </c>
      <c r="AN399" s="46">
        <v>0</v>
      </c>
      <c r="AO399" s="100">
        <f t="shared" si="175"/>
        <v>0</v>
      </c>
      <c r="AP399" s="3">
        <f t="shared" si="166"/>
        <v>0</v>
      </c>
    </row>
    <row r="400" spans="1:42" x14ac:dyDescent="0.2">
      <c r="A400" s="35" t="s">
        <v>522</v>
      </c>
      <c r="B400" s="37" t="s">
        <v>562</v>
      </c>
      <c r="C400" s="37" t="s">
        <v>571</v>
      </c>
      <c r="D400" s="52"/>
      <c r="E400" s="38" t="s">
        <v>776</v>
      </c>
      <c r="F400" s="36" t="s">
        <v>561</v>
      </c>
      <c r="G400" s="36" t="s">
        <v>589</v>
      </c>
      <c r="H400" s="39">
        <v>686</v>
      </c>
      <c r="I400" s="40">
        <v>64876.880000000005</v>
      </c>
      <c r="J400" s="39">
        <v>0</v>
      </c>
      <c r="K400" s="40">
        <v>0</v>
      </c>
      <c r="L400" s="37" t="s">
        <v>578</v>
      </c>
      <c r="M400" s="41" t="e">
        <v>#DIV/0!</v>
      </c>
      <c r="N400" s="42">
        <v>0</v>
      </c>
      <c r="O400" s="36">
        <v>0</v>
      </c>
      <c r="P400" s="41" t="e">
        <f t="shared" si="176"/>
        <v>#DIV/0!</v>
      </c>
      <c r="Q400" s="36">
        <v>300</v>
      </c>
      <c r="R400" s="43">
        <f t="shared" si="170"/>
        <v>-300</v>
      </c>
      <c r="S400" s="43">
        <f t="shared" si="171"/>
        <v>300</v>
      </c>
      <c r="T400" s="41" t="e">
        <f t="shared" si="172"/>
        <v>#DIV/0!</v>
      </c>
      <c r="U400" s="44">
        <f>Q400</f>
        <v>300</v>
      </c>
      <c r="V400" s="45" t="e">
        <f t="shared" si="173"/>
        <v>#DIV/0!</v>
      </c>
      <c r="W400" s="36">
        <v>0</v>
      </c>
      <c r="X400" s="86">
        <v>0</v>
      </c>
      <c r="Y400" s="199">
        <v>0</v>
      </c>
      <c r="Z400" s="44">
        <v>0</v>
      </c>
      <c r="AA400" s="41">
        <f t="shared" si="167"/>
        <v>0</v>
      </c>
      <c r="AB400" s="44">
        <v>0</v>
      </c>
      <c r="AC400" s="44">
        <f t="shared" si="174"/>
        <v>0</v>
      </c>
      <c r="AD400" s="44">
        <f t="shared" si="168"/>
        <v>0</v>
      </c>
      <c r="AE400" s="111">
        <f t="shared" si="169"/>
        <v>0</v>
      </c>
      <c r="AF400" s="51" t="s">
        <v>571</v>
      </c>
      <c r="AG400" s="115"/>
      <c r="AH400" s="35">
        <v>0</v>
      </c>
      <c r="AI400" s="36">
        <v>0</v>
      </c>
      <c r="AJ400" s="36">
        <v>0</v>
      </c>
      <c r="AK400" s="36"/>
      <c r="AL400" s="36">
        <v>0</v>
      </c>
      <c r="AM400" s="36">
        <v>0</v>
      </c>
      <c r="AN400" s="46">
        <v>0</v>
      </c>
      <c r="AO400" s="100">
        <f t="shared" si="175"/>
        <v>0</v>
      </c>
      <c r="AP400" s="3">
        <f t="shared" si="166"/>
        <v>0</v>
      </c>
    </row>
    <row r="401" spans="1:42" x14ac:dyDescent="0.2">
      <c r="A401" s="35" t="s">
        <v>841</v>
      </c>
      <c r="B401" s="37" t="s">
        <v>556</v>
      </c>
      <c r="C401" s="37" t="s">
        <v>571</v>
      </c>
      <c r="D401" s="52"/>
      <c r="E401" s="38" t="s">
        <v>1017</v>
      </c>
      <c r="F401" s="36" t="s">
        <v>559</v>
      </c>
      <c r="G401" s="36" t="s">
        <v>603</v>
      </c>
      <c r="H401" s="39"/>
      <c r="I401" s="40"/>
      <c r="J401" s="39">
        <v>110</v>
      </c>
      <c r="K401" s="40">
        <v>209550</v>
      </c>
      <c r="L401" s="51"/>
      <c r="M401" s="41">
        <v>1905</v>
      </c>
      <c r="N401" s="41"/>
      <c r="O401" s="36"/>
      <c r="P401" s="41"/>
      <c r="Q401" s="36"/>
      <c r="R401" s="43"/>
      <c r="S401" s="43"/>
      <c r="T401" s="41"/>
      <c r="U401" s="44"/>
      <c r="V401" s="45"/>
      <c r="W401" s="36">
        <v>120</v>
      </c>
      <c r="X401" s="86">
        <v>228600</v>
      </c>
      <c r="Y401" s="199">
        <v>0</v>
      </c>
      <c r="Z401" s="44">
        <v>0</v>
      </c>
      <c r="AA401" s="41">
        <f t="shared" si="167"/>
        <v>0</v>
      </c>
      <c r="AB401" s="44">
        <v>0</v>
      </c>
      <c r="AC401" s="44">
        <f t="shared" si="174"/>
        <v>0</v>
      </c>
      <c r="AD401" s="44">
        <f t="shared" si="168"/>
        <v>0</v>
      </c>
      <c r="AE401" s="111">
        <f t="shared" si="169"/>
        <v>0</v>
      </c>
      <c r="AF401" s="51" t="s">
        <v>571</v>
      </c>
      <c r="AG401" s="115"/>
      <c r="AH401" s="35">
        <v>0</v>
      </c>
      <c r="AI401" s="36">
        <v>0</v>
      </c>
      <c r="AJ401" s="36">
        <v>0</v>
      </c>
      <c r="AK401" s="36"/>
      <c r="AL401" s="36">
        <v>0</v>
      </c>
      <c r="AM401" s="36">
        <v>0</v>
      </c>
      <c r="AN401" s="46">
        <v>0</v>
      </c>
      <c r="AO401" s="100">
        <f t="shared" si="175"/>
        <v>0</v>
      </c>
      <c r="AP401" s="3">
        <f t="shared" si="166"/>
        <v>0</v>
      </c>
    </row>
    <row r="402" spans="1:42" x14ac:dyDescent="0.2">
      <c r="A402" s="35" t="s">
        <v>511</v>
      </c>
      <c r="B402" s="37" t="s">
        <v>565</v>
      </c>
      <c r="C402" s="37" t="s">
        <v>571</v>
      </c>
      <c r="D402" s="52"/>
      <c r="E402" s="38" t="s">
        <v>773</v>
      </c>
      <c r="F402" s="36" t="s">
        <v>555</v>
      </c>
      <c r="G402" s="36" t="s">
        <v>684</v>
      </c>
      <c r="H402" s="39">
        <v>15</v>
      </c>
      <c r="I402" s="40">
        <v>23940</v>
      </c>
      <c r="J402" s="39">
        <v>56</v>
      </c>
      <c r="K402" s="40">
        <v>83932.800000000003</v>
      </c>
      <c r="L402" s="51"/>
      <c r="M402" s="41">
        <v>1062.6451923076922</v>
      </c>
      <c r="N402" s="41"/>
      <c r="O402" s="36">
        <v>0</v>
      </c>
      <c r="P402" s="41">
        <v>0</v>
      </c>
      <c r="Q402" s="36">
        <v>25</v>
      </c>
      <c r="R402" s="43">
        <f>O402-Q402</f>
        <v>-25</v>
      </c>
      <c r="S402" s="43">
        <f>U402-O402</f>
        <v>0</v>
      </c>
      <c r="T402" s="41">
        <f>S402*M402</f>
        <v>0</v>
      </c>
      <c r="U402" s="44">
        <v>0</v>
      </c>
      <c r="V402" s="45">
        <f>U402*M402</f>
        <v>0</v>
      </c>
      <c r="W402" s="36">
        <v>208</v>
      </c>
      <c r="X402" s="86">
        <v>221030.19999999998</v>
      </c>
      <c r="Y402" s="199">
        <v>0</v>
      </c>
      <c r="Z402" s="44">
        <v>0</v>
      </c>
      <c r="AA402" s="41">
        <f t="shared" si="167"/>
        <v>0</v>
      </c>
      <c r="AB402" s="44">
        <v>0</v>
      </c>
      <c r="AC402" s="44">
        <f t="shared" si="174"/>
        <v>0</v>
      </c>
      <c r="AD402" s="44">
        <f t="shared" si="168"/>
        <v>0</v>
      </c>
      <c r="AE402" s="111">
        <f t="shared" si="169"/>
        <v>0</v>
      </c>
      <c r="AF402" s="51" t="s">
        <v>571</v>
      </c>
      <c r="AG402" s="115"/>
      <c r="AH402" s="35">
        <v>0</v>
      </c>
      <c r="AI402" s="36">
        <v>0</v>
      </c>
      <c r="AJ402" s="36">
        <v>0</v>
      </c>
      <c r="AK402" s="36"/>
      <c r="AL402" s="36">
        <v>0</v>
      </c>
      <c r="AM402" s="36">
        <v>0</v>
      </c>
      <c r="AN402" s="46">
        <v>0</v>
      </c>
      <c r="AO402" s="100">
        <f t="shared" si="175"/>
        <v>0</v>
      </c>
      <c r="AP402" s="3">
        <f t="shared" si="166"/>
        <v>0</v>
      </c>
    </row>
    <row r="403" spans="1:42" x14ac:dyDescent="0.2">
      <c r="A403" s="49" t="s">
        <v>864</v>
      </c>
      <c r="B403" s="156" t="s">
        <v>562</v>
      </c>
      <c r="C403" s="37" t="s">
        <v>571</v>
      </c>
      <c r="D403" s="52"/>
      <c r="E403" s="38" t="s">
        <v>1015</v>
      </c>
      <c r="F403" s="36" t="s">
        <v>558</v>
      </c>
      <c r="G403" s="36" t="s">
        <v>582</v>
      </c>
      <c r="H403" s="39"/>
      <c r="I403" s="40"/>
      <c r="J403" s="39">
        <v>4</v>
      </c>
      <c r="K403" s="40">
        <v>5500</v>
      </c>
      <c r="L403" s="51"/>
      <c r="M403" s="41">
        <v>1413.7323943661972</v>
      </c>
      <c r="N403" s="41"/>
      <c r="O403" s="36"/>
      <c r="P403" s="41"/>
      <c r="Q403" s="36"/>
      <c r="R403" s="43"/>
      <c r="S403" s="43"/>
      <c r="T403" s="41"/>
      <c r="U403" s="44"/>
      <c r="V403" s="45"/>
      <c r="W403" s="36">
        <v>71</v>
      </c>
      <c r="X403" s="86">
        <v>100375</v>
      </c>
      <c r="Y403" s="199">
        <v>0</v>
      </c>
      <c r="Z403" s="44">
        <v>0</v>
      </c>
      <c r="AA403" s="41">
        <f t="shared" si="167"/>
        <v>0</v>
      </c>
      <c r="AB403" s="44">
        <v>0</v>
      </c>
      <c r="AC403" s="44">
        <f t="shared" si="174"/>
        <v>0</v>
      </c>
      <c r="AD403" s="44">
        <f t="shared" si="168"/>
        <v>0</v>
      </c>
      <c r="AE403" s="111">
        <f t="shared" si="169"/>
        <v>0</v>
      </c>
      <c r="AF403" s="51" t="s">
        <v>571</v>
      </c>
      <c r="AG403" s="115" t="s">
        <v>1057</v>
      </c>
      <c r="AH403" s="35">
        <v>0</v>
      </c>
      <c r="AI403" s="36">
        <v>0</v>
      </c>
      <c r="AJ403" s="36">
        <v>0</v>
      </c>
      <c r="AK403" s="36"/>
      <c r="AL403" s="36">
        <v>0</v>
      </c>
      <c r="AM403" s="36">
        <v>0</v>
      </c>
      <c r="AN403" s="46">
        <v>0</v>
      </c>
      <c r="AO403" s="100">
        <f t="shared" si="175"/>
        <v>0</v>
      </c>
      <c r="AP403" s="3">
        <f t="shared" si="166"/>
        <v>0</v>
      </c>
    </row>
    <row r="404" spans="1:42" x14ac:dyDescent="0.2">
      <c r="A404" s="35" t="s">
        <v>840</v>
      </c>
      <c r="B404" s="156" t="s">
        <v>556</v>
      </c>
      <c r="C404" s="37" t="s">
        <v>571</v>
      </c>
      <c r="D404" s="52"/>
      <c r="E404" s="38" t="s">
        <v>773</v>
      </c>
      <c r="F404" s="36" t="s">
        <v>555</v>
      </c>
      <c r="G404" s="36" t="s">
        <v>645</v>
      </c>
      <c r="H404" s="39"/>
      <c r="I404" s="40"/>
      <c r="J404" s="39">
        <v>322</v>
      </c>
      <c r="K404" s="40">
        <v>286177.5</v>
      </c>
      <c r="L404" s="51"/>
      <c r="M404" s="41">
        <v>862.09</v>
      </c>
      <c r="N404" s="41"/>
      <c r="O404" s="36"/>
      <c r="P404" s="41"/>
      <c r="Q404" s="36"/>
      <c r="R404" s="43"/>
      <c r="S404" s="43"/>
      <c r="T404" s="41"/>
      <c r="U404" s="44"/>
      <c r="V404" s="45"/>
      <c r="W404" s="36">
        <v>960</v>
      </c>
      <c r="X404" s="86">
        <v>827606.4</v>
      </c>
      <c r="Y404" s="199">
        <v>862.09</v>
      </c>
      <c r="Z404" s="44">
        <v>0</v>
      </c>
      <c r="AA404" s="41">
        <f t="shared" si="167"/>
        <v>0</v>
      </c>
      <c r="AB404" s="44">
        <v>0</v>
      </c>
      <c r="AC404" s="44">
        <f t="shared" si="174"/>
        <v>0</v>
      </c>
      <c r="AD404" s="44">
        <f t="shared" si="168"/>
        <v>0</v>
      </c>
      <c r="AE404" s="111">
        <f t="shared" si="169"/>
        <v>0</v>
      </c>
      <c r="AF404" s="51" t="s">
        <v>571</v>
      </c>
      <c r="AG404" s="115"/>
      <c r="AH404" s="35">
        <v>0</v>
      </c>
      <c r="AI404" s="36">
        <v>0</v>
      </c>
      <c r="AJ404" s="36">
        <v>0</v>
      </c>
      <c r="AK404" s="36"/>
      <c r="AL404" s="36">
        <v>0</v>
      </c>
      <c r="AM404" s="36">
        <v>0</v>
      </c>
      <c r="AN404" s="46">
        <v>0</v>
      </c>
      <c r="AO404" s="100">
        <f t="shared" si="175"/>
        <v>0</v>
      </c>
      <c r="AP404" s="3">
        <f t="shared" si="166"/>
        <v>0</v>
      </c>
    </row>
    <row r="405" spans="1:42" x14ac:dyDescent="0.2">
      <c r="A405" s="35" t="s">
        <v>931</v>
      </c>
      <c r="B405" s="156" t="s">
        <v>556</v>
      </c>
      <c r="C405" s="37" t="s">
        <v>571</v>
      </c>
      <c r="D405" s="52"/>
      <c r="E405" s="38" t="s">
        <v>594</v>
      </c>
      <c r="F405" s="36" t="s">
        <v>555</v>
      </c>
      <c r="G405" s="36" t="s">
        <v>1029</v>
      </c>
      <c r="H405" s="39"/>
      <c r="I405" s="40"/>
      <c r="J405" s="39"/>
      <c r="K405" s="40"/>
      <c r="L405" s="37"/>
      <c r="M405" s="41"/>
      <c r="N405" s="42"/>
      <c r="O405" s="36"/>
      <c r="P405" s="41"/>
      <c r="Q405" s="36"/>
      <c r="R405" s="43"/>
      <c r="S405" s="43"/>
      <c r="T405" s="41"/>
      <c r="U405" s="44"/>
      <c r="V405" s="45"/>
      <c r="W405" s="36"/>
      <c r="X405" s="86"/>
      <c r="Y405" s="199">
        <v>464.85</v>
      </c>
      <c r="Z405" s="44">
        <v>0</v>
      </c>
      <c r="AA405" s="41">
        <f t="shared" si="167"/>
        <v>0</v>
      </c>
      <c r="AB405" s="44">
        <v>0</v>
      </c>
      <c r="AC405" s="44">
        <v>0</v>
      </c>
      <c r="AD405" s="44">
        <f t="shared" si="168"/>
        <v>0</v>
      </c>
      <c r="AE405" s="111">
        <f t="shared" si="169"/>
        <v>0</v>
      </c>
      <c r="AF405" s="51" t="s">
        <v>571</v>
      </c>
      <c r="AG405" s="115"/>
      <c r="AH405" s="35">
        <v>0</v>
      </c>
      <c r="AI405" s="36">
        <v>0</v>
      </c>
      <c r="AJ405" s="36">
        <v>0</v>
      </c>
      <c r="AK405" s="36"/>
      <c r="AL405" s="36">
        <v>0</v>
      </c>
      <c r="AM405" s="36">
        <v>0</v>
      </c>
      <c r="AN405" s="46">
        <v>0</v>
      </c>
      <c r="AO405" s="100"/>
      <c r="AP405" s="3">
        <f t="shared" si="166"/>
        <v>0</v>
      </c>
    </row>
    <row r="406" spans="1:42" x14ac:dyDescent="0.2">
      <c r="A406" s="49" t="s">
        <v>941</v>
      </c>
      <c r="B406" s="156" t="s">
        <v>556</v>
      </c>
      <c r="C406" s="37" t="s">
        <v>578</v>
      </c>
      <c r="D406" s="52">
        <v>46387</v>
      </c>
      <c r="E406" s="38" t="s">
        <v>758</v>
      </c>
      <c r="F406" s="36" t="s">
        <v>555</v>
      </c>
      <c r="G406" s="36" t="s">
        <v>583</v>
      </c>
      <c r="H406" s="39"/>
      <c r="I406" s="40"/>
      <c r="J406" s="39"/>
      <c r="K406" s="40"/>
      <c r="L406" s="37"/>
      <c r="M406" s="41"/>
      <c r="N406" s="36"/>
      <c r="O406" s="41"/>
      <c r="P406" s="36"/>
      <c r="Q406" s="43"/>
      <c r="R406" s="43"/>
      <c r="S406" s="41"/>
      <c r="T406" s="44"/>
      <c r="U406" s="45"/>
      <c r="V406" s="36"/>
      <c r="W406" s="45"/>
      <c r="X406" s="46"/>
      <c r="Y406" s="199">
        <v>936.92</v>
      </c>
      <c r="Z406" s="44">
        <v>0</v>
      </c>
      <c r="AA406" s="41">
        <f t="shared" si="167"/>
        <v>0</v>
      </c>
      <c r="AB406" s="44">
        <v>0</v>
      </c>
      <c r="AC406" s="44">
        <f>AB406+AO406</f>
        <v>0</v>
      </c>
      <c r="AD406" s="44">
        <f t="shared" si="168"/>
        <v>0</v>
      </c>
      <c r="AE406" s="111">
        <f t="shared" si="169"/>
        <v>0</v>
      </c>
      <c r="AF406" s="51" t="s">
        <v>571</v>
      </c>
      <c r="AG406" s="115"/>
      <c r="AH406" s="35">
        <v>0</v>
      </c>
      <c r="AI406" s="36">
        <v>0</v>
      </c>
      <c r="AJ406" s="36">
        <v>0</v>
      </c>
      <c r="AK406" s="36"/>
      <c r="AL406" s="36">
        <v>0</v>
      </c>
      <c r="AM406" s="36">
        <v>0</v>
      </c>
      <c r="AN406" s="46">
        <v>0</v>
      </c>
      <c r="AO406" s="100">
        <f>SUM(AH406:AN406)</f>
        <v>0</v>
      </c>
      <c r="AP406" s="3">
        <f t="shared" si="166"/>
        <v>0</v>
      </c>
    </row>
    <row r="407" spans="1:42" x14ac:dyDescent="0.2">
      <c r="A407" s="35" t="s">
        <v>845</v>
      </c>
      <c r="B407" s="156" t="s">
        <v>565</v>
      </c>
      <c r="C407" s="37" t="s">
        <v>571</v>
      </c>
      <c r="D407" s="52"/>
      <c r="E407" s="38" t="s">
        <v>758</v>
      </c>
      <c r="F407" s="36" t="s">
        <v>555</v>
      </c>
      <c r="G407" s="36" t="s">
        <v>600</v>
      </c>
      <c r="H407" s="39"/>
      <c r="I407" s="40"/>
      <c r="J407" s="39">
        <v>78</v>
      </c>
      <c r="K407" s="40">
        <v>74460</v>
      </c>
      <c r="L407" s="51"/>
      <c r="M407" s="41">
        <v>1545.5</v>
      </c>
      <c r="N407" s="41"/>
      <c r="O407" s="36"/>
      <c r="P407" s="41"/>
      <c r="Q407" s="36"/>
      <c r="R407" s="43"/>
      <c r="S407" s="43"/>
      <c r="T407" s="41"/>
      <c r="U407" s="44"/>
      <c r="V407" s="45"/>
      <c r="W407" s="36">
        <v>20</v>
      </c>
      <c r="X407" s="86">
        <v>30910</v>
      </c>
      <c r="Y407" s="199">
        <v>1545.5</v>
      </c>
      <c r="Z407" s="44">
        <v>0</v>
      </c>
      <c r="AA407" s="41">
        <f t="shared" si="167"/>
        <v>0</v>
      </c>
      <c r="AB407" s="44">
        <v>0</v>
      </c>
      <c r="AC407" s="44">
        <f>AB407+AO407</f>
        <v>0</v>
      </c>
      <c r="AD407" s="44">
        <f t="shared" si="168"/>
        <v>0</v>
      </c>
      <c r="AE407" s="111">
        <f t="shared" si="169"/>
        <v>0</v>
      </c>
      <c r="AF407" s="51" t="s">
        <v>571</v>
      </c>
      <c r="AG407" s="115"/>
      <c r="AH407" s="35">
        <v>0</v>
      </c>
      <c r="AI407" s="36">
        <v>0</v>
      </c>
      <c r="AJ407" s="36">
        <v>0</v>
      </c>
      <c r="AK407" s="36"/>
      <c r="AL407" s="36">
        <v>0</v>
      </c>
      <c r="AM407" s="36">
        <v>0</v>
      </c>
      <c r="AN407" s="46">
        <v>0</v>
      </c>
      <c r="AO407" s="100">
        <f>SUM(AH407:AN407)</f>
        <v>0</v>
      </c>
      <c r="AP407" s="3">
        <f t="shared" si="166"/>
        <v>0</v>
      </c>
    </row>
    <row r="408" spans="1:42" x14ac:dyDescent="0.2">
      <c r="A408" s="49" t="s">
        <v>935</v>
      </c>
      <c r="B408" s="156" t="s">
        <v>565</v>
      </c>
      <c r="C408" s="37" t="s">
        <v>571</v>
      </c>
      <c r="D408" s="52"/>
      <c r="E408" s="38" t="s">
        <v>773</v>
      </c>
      <c r="F408" s="36" t="s">
        <v>555</v>
      </c>
      <c r="G408" s="36" t="s">
        <v>645</v>
      </c>
      <c r="H408" s="39"/>
      <c r="I408" s="40"/>
      <c r="J408" s="39"/>
      <c r="K408" s="40"/>
      <c r="L408" s="37"/>
      <c r="M408" s="41"/>
      <c r="N408" s="36"/>
      <c r="O408" s="41"/>
      <c r="P408" s="36"/>
      <c r="Q408" s="43"/>
      <c r="R408" s="43"/>
      <c r="S408" s="41"/>
      <c r="T408" s="44"/>
      <c r="U408" s="45"/>
      <c r="V408" s="36"/>
      <c r="W408" s="45"/>
      <c r="X408" s="46"/>
      <c r="Y408" s="199">
        <v>320</v>
      </c>
      <c r="Z408" s="44">
        <v>0</v>
      </c>
      <c r="AA408" s="41">
        <f t="shared" si="167"/>
        <v>0</v>
      </c>
      <c r="AB408" s="44">
        <v>0</v>
      </c>
      <c r="AC408" s="44">
        <f>AB408+AO408</f>
        <v>0</v>
      </c>
      <c r="AD408" s="44">
        <f t="shared" si="168"/>
        <v>0</v>
      </c>
      <c r="AE408" s="111">
        <f t="shared" si="169"/>
        <v>0</v>
      </c>
      <c r="AF408" s="51" t="s">
        <v>571</v>
      </c>
      <c r="AG408" s="115"/>
      <c r="AH408" s="35">
        <v>0</v>
      </c>
      <c r="AI408" s="36">
        <v>0</v>
      </c>
      <c r="AJ408" s="36">
        <v>0</v>
      </c>
      <c r="AK408" s="36"/>
      <c r="AL408" s="36">
        <v>0</v>
      </c>
      <c r="AM408" s="36">
        <v>0</v>
      </c>
      <c r="AN408" s="46">
        <v>0</v>
      </c>
      <c r="AO408" s="100">
        <f>SUM(AH408:AN408)</f>
        <v>0</v>
      </c>
      <c r="AP408" s="3">
        <f t="shared" si="166"/>
        <v>0</v>
      </c>
    </row>
    <row r="409" spans="1:42" x14ac:dyDescent="0.2">
      <c r="A409" s="49" t="s">
        <v>944</v>
      </c>
      <c r="B409" s="156" t="s">
        <v>562</v>
      </c>
      <c r="C409" s="37" t="s">
        <v>571</v>
      </c>
      <c r="D409" s="52"/>
      <c r="E409" s="38" t="s">
        <v>1006</v>
      </c>
      <c r="F409" s="36" t="s">
        <v>555</v>
      </c>
      <c r="G409" s="36" t="s">
        <v>961</v>
      </c>
      <c r="H409" s="39"/>
      <c r="I409" s="40"/>
      <c r="J409" s="39"/>
      <c r="K409" s="40"/>
      <c r="L409" s="37"/>
      <c r="M409" s="41"/>
      <c r="N409" s="36"/>
      <c r="O409" s="41"/>
      <c r="P409" s="36"/>
      <c r="Q409" s="43"/>
      <c r="R409" s="43"/>
      <c r="S409" s="41"/>
      <c r="T409" s="44"/>
      <c r="U409" s="45"/>
      <c r="V409" s="36"/>
      <c r="W409" s="45"/>
      <c r="X409" s="46"/>
      <c r="Y409" s="199">
        <v>500</v>
      </c>
      <c r="Z409" s="44">
        <v>0</v>
      </c>
      <c r="AA409" s="41">
        <f t="shared" si="167"/>
        <v>0</v>
      </c>
      <c r="AB409" s="44">
        <v>0</v>
      </c>
      <c r="AC409" s="44">
        <f>AB409+AO409</f>
        <v>0</v>
      </c>
      <c r="AD409" s="44">
        <f t="shared" si="168"/>
        <v>0</v>
      </c>
      <c r="AE409" s="111">
        <f t="shared" si="169"/>
        <v>0</v>
      </c>
      <c r="AF409" s="51" t="s">
        <v>571</v>
      </c>
      <c r="AG409" s="115"/>
      <c r="AH409" s="35">
        <v>0</v>
      </c>
      <c r="AI409" s="36">
        <v>0</v>
      </c>
      <c r="AJ409" s="36">
        <v>0</v>
      </c>
      <c r="AK409" s="36"/>
      <c r="AL409" s="36">
        <v>0</v>
      </c>
      <c r="AM409" s="36">
        <v>0</v>
      </c>
      <c r="AN409" s="46">
        <v>0</v>
      </c>
      <c r="AO409" s="100">
        <f>SUM(AH409:AN409)</f>
        <v>0</v>
      </c>
      <c r="AP409" s="3">
        <f t="shared" si="166"/>
        <v>0</v>
      </c>
    </row>
    <row r="410" spans="1:42" x14ac:dyDescent="0.2">
      <c r="A410" s="35" t="s">
        <v>317</v>
      </c>
      <c r="B410" s="37" t="s">
        <v>565</v>
      </c>
      <c r="C410" s="37" t="s">
        <v>578</v>
      </c>
      <c r="D410" s="52">
        <v>46022</v>
      </c>
      <c r="E410" s="38" t="s">
        <v>804</v>
      </c>
      <c r="F410" s="36" t="s">
        <v>557</v>
      </c>
      <c r="G410" s="36" t="s">
        <v>581</v>
      </c>
      <c r="H410" s="39">
        <v>50</v>
      </c>
      <c r="I410" s="40">
        <v>50243</v>
      </c>
      <c r="J410" s="39">
        <v>30</v>
      </c>
      <c r="K410" s="40">
        <v>28068.3</v>
      </c>
      <c r="L410" s="37" t="s">
        <v>578</v>
      </c>
      <c r="M410" s="41">
        <v>935.61000000000013</v>
      </c>
      <c r="N410" s="42">
        <v>0</v>
      </c>
      <c r="O410" s="36">
        <v>30</v>
      </c>
      <c r="P410" s="41">
        <f>(N410+O410)*M410</f>
        <v>28068.300000000003</v>
      </c>
      <c r="Q410" s="36">
        <v>30</v>
      </c>
      <c r="R410" s="43">
        <f>O410-Q410</f>
        <v>0</v>
      </c>
      <c r="S410" s="43">
        <f>U410-O410</f>
        <v>0</v>
      </c>
      <c r="T410" s="41">
        <f>S410*M410</f>
        <v>0</v>
      </c>
      <c r="U410" s="44">
        <f>O410</f>
        <v>30</v>
      </c>
      <c r="V410" s="45">
        <f>U410*M410</f>
        <v>28068.300000000003</v>
      </c>
      <c r="W410" s="36">
        <v>30</v>
      </c>
      <c r="X410" s="86">
        <v>28068.300000000003</v>
      </c>
      <c r="Y410" s="199">
        <v>1452.1</v>
      </c>
      <c r="Z410" s="44">
        <v>0</v>
      </c>
      <c r="AA410" s="41">
        <f t="shared" si="167"/>
        <v>0</v>
      </c>
      <c r="AB410" s="44">
        <v>0</v>
      </c>
      <c r="AC410" s="44">
        <f>AB410+AO410</f>
        <v>0</v>
      </c>
      <c r="AD410" s="44">
        <f t="shared" si="168"/>
        <v>0</v>
      </c>
      <c r="AE410" s="111">
        <f t="shared" si="169"/>
        <v>0</v>
      </c>
      <c r="AF410" s="51" t="s">
        <v>571</v>
      </c>
      <c r="AG410" s="115"/>
      <c r="AH410" s="35">
        <v>0</v>
      </c>
      <c r="AI410" s="36">
        <v>0</v>
      </c>
      <c r="AJ410" s="36">
        <v>0</v>
      </c>
      <c r="AK410" s="36"/>
      <c r="AL410" s="36">
        <v>0</v>
      </c>
      <c r="AM410" s="36">
        <v>0</v>
      </c>
      <c r="AN410" s="46">
        <v>0</v>
      </c>
      <c r="AO410" s="100">
        <f>SUM(AH410:AN410)</f>
        <v>0</v>
      </c>
      <c r="AP410" s="3">
        <f t="shared" si="166"/>
        <v>0</v>
      </c>
    </row>
    <row r="411" spans="1:42" x14ac:dyDescent="0.2">
      <c r="A411" s="35" t="s">
        <v>1024</v>
      </c>
      <c r="B411" s="37" t="s">
        <v>562</v>
      </c>
      <c r="C411" s="37" t="s">
        <v>571</v>
      </c>
      <c r="D411" s="52"/>
      <c r="E411" s="38" t="s">
        <v>776</v>
      </c>
      <c r="F411" s="36"/>
      <c r="G411" s="36"/>
      <c r="H411" s="39"/>
      <c r="I411" s="40"/>
      <c r="J411" s="39"/>
      <c r="K411" s="40"/>
      <c r="L411" s="37"/>
      <c r="M411" s="41"/>
      <c r="N411" s="42"/>
      <c r="O411" s="36"/>
      <c r="P411" s="41"/>
      <c r="Q411" s="36"/>
      <c r="R411" s="43"/>
      <c r="S411" s="43"/>
      <c r="T411" s="41"/>
      <c r="U411" s="44"/>
      <c r="V411" s="45"/>
      <c r="W411" s="36"/>
      <c r="X411" s="86"/>
      <c r="Y411" s="199">
        <v>1026</v>
      </c>
      <c r="Z411" s="44">
        <v>0</v>
      </c>
      <c r="AA411" s="41">
        <f t="shared" si="167"/>
        <v>0</v>
      </c>
      <c r="AB411" s="44">
        <v>0</v>
      </c>
      <c r="AC411" s="44">
        <v>0</v>
      </c>
      <c r="AD411" s="44">
        <f t="shared" si="168"/>
        <v>0</v>
      </c>
      <c r="AE411" s="111">
        <f t="shared" si="169"/>
        <v>0</v>
      </c>
      <c r="AF411" s="51" t="s">
        <v>571</v>
      </c>
      <c r="AG411" s="115"/>
      <c r="AH411" s="35">
        <v>0</v>
      </c>
      <c r="AI411" s="36">
        <v>0</v>
      </c>
      <c r="AJ411" s="36">
        <v>0</v>
      </c>
      <c r="AK411" s="36"/>
      <c r="AL411" s="36">
        <v>0</v>
      </c>
      <c r="AM411" s="36">
        <v>0</v>
      </c>
      <c r="AN411" s="46">
        <v>0</v>
      </c>
      <c r="AO411" s="100"/>
      <c r="AP411" s="3">
        <f t="shared" si="166"/>
        <v>0</v>
      </c>
    </row>
    <row r="412" spans="1:42" x14ac:dyDescent="0.2">
      <c r="A412" s="49" t="s">
        <v>858</v>
      </c>
      <c r="B412" s="37" t="s">
        <v>562</v>
      </c>
      <c r="C412" s="37" t="s">
        <v>571</v>
      </c>
      <c r="D412" s="52"/>
      <c r="E412" s="38" t="s">
        <v>1009</v>
      </c>
      <c r="F412" s="36" t="s">
        <v>560</v>
      </c>
      <c r="G412" s="36" t="s">
        <v>622</v>
      </c>
      <c r="H412" s="39"/>
      <c r="I412" s="40"/>
      <c r="J412" s="39">
        <v>30</v>
      </c>
      <c r="K412" s="40">
        <v>20370</v>
      </c>
      <c r="L412" s="51"/>
      <c r="M412" s="41">
        <v>3065</v>
      </c>
      <c r="N412" s="41"/>
      <c r="O412" s="36"/>
      <c r="P412" s="41"/>
      <c r="Q412" s="36"/>
      <c r="R412" s="43"/>
      <c r="S412" s="43"/>
      <c r="T412" s="41"/>
      <c r="U412" s="44"/>
      <c r="V412" s="45"/>
      <c r="W412" s="36">
        <v>2</v>
      </c>
      <c r="X412" s="86">
        <v>6130</v>
      </c>
      <c r="Y412" s="199">
        <v>895</v>
      </c>
      <c r="Z412" s="44">
        <v>0</v>
      </c>
      <c r="AA412" s="41">
        <f t="shared" si="167"/>
        <v>0</v>
      </c>
      <c r="AB412" s="44">
        <v>0</v>
      </c>
      <c r="AC412" s="44">
        <f t="shared" ref="AC412:AC443" si="177">AB412+AO412</f>
        <v>0</v>
      </c>
      <c r="AD412" s="44">
        <f t="shared" si="168"/>
        <v>0</v>
      </c>
      <c r="AE412" s="111">
        <f t="shared" si="169"/>
        <v>0</v>
      </c>
      <c r="AF412" s="51" t="s">
        <v>571</v>
      </c>
      <c r="AG412" s="115"/>
      <c r="AH412" s="35">
        <v>0</v>
      </c>
      <c r="AI412" s="36">
        <v>0</v>
      </c>
      <c r="AJ412" s="36">
        <v>0</v>
      </c>
      <c r="AK412" s="36"/>
      <c r="AL412" s="36">
        <v>0</v>
      </c>
      <c r="AM412" s="36">
        <v>0</v>
      </c>
      <c r="AN412" s="46">
        <v>0</v>
      </c>
      <c r="AO412" s="100">
        <f t="shared" ref="AO412:AO443" si="178">SUM(AH412:AN412)</f>
        <v>0</v>
      </c>
      <c r="AP412" s="3">
        <f t="shared" si="166"/>
        <v>0</v>
      </c>
    </row>
    <row r="413" spans="1:42" x14ac:dyDescent="0.2">
      <c r="A413" s="49" t="s">
        <v>948</v>
      </c>
      <c r="B413" s="37" t="s">
        <v>554</v>
      </c>
      <c r="C413" s="37" t="s">
        <v>571</v>
      </c>
      <c r="D413" s="52"/>
      <c r="E413" s="38" t="s">
        <v>753</v>
      </c>
      <c r="F413" s="36" t="s">
        <v>557</v>
      </c>
      <c r="G413" s="36" t="s">
        <v>663</v>
      </c>
      <c r="H413" s="39"/>
      <c r="I413" s="40"/>
      <c r="J413" s="39"/>
      <c r="K413" s="40"/>
      <c r="L413" s="37"/>
      <c r="M413" s="41"/>
      <c r="N413" s="36"/>
      <c r="O413" s="41"/>
      <c r="P413" s="36"/>
      <c r="Q413" s="43"/>
      <c r="R413" s="43"/>
      <c r="S413" s="41"/>
      <c r="T413" s="44"/>
      <c r="U413" s="45"/>
      <c r="V413" s="36"/>
      <c r="W413" s="45"/>
      <c r="X413" s="46"/>
      <c r="Y413" s="199">
        <v>309.23</v>
      </c>
      <c r="Z413" s="44">
        <v>0</v>
      </c>
      <c r="AA413" s="41">
        <f t="shared" si="167"/>
        <v>0</v>
      </c>
      <c r="AB413" s="44">
        <v>0</v>
      </c>
      <c r="AC413" s="44">
        <f t="shared" si="177"/>
        <v>0</v>
      </c>
      <c r="AD413" s="44">
        <f t="shared" si="168"/>
        <v>0</v>
      </c>
      <c r="AE413" s="111">
        <f t="shared" si="169"/>
        <v>0</v>
      </c>
      <c r="AF413" s="51" t="s">
        <v>571</v>
      </c>
      <c r="AG413" s="115"/>
      <c r="AH413" s="35">
        <v>0</v>
      </c>
      <c r="AI413" s="36">
        <v>0</v>
      </c>
      <c r="AJ413" s="36">
        <v>0</v>
      </c>
      <c r="AK413" s="36"/>
      <c r="AL413" s="36">
        <v>0</v>
      </c>
      <c r="AM413" s="36">
        <v>0</v>
      </c>
      <c r="AN413" s="46">
        <v>0</v>
      </c>
      <c r="AO413" s="100">
        <f t="shared" si="178"/>
        <v>0</v>
      </c>
      <c r="AP413" s="3">
        <f t="shared" si="166"/>
        <v>0</v>
      </c>
    </row>
    <row r="414" spans="1:42" x14ac:dyDescent="0.2">
      <c r="A414" s="49" t="s">
        <v>861</v>
      </c>
      <c r="B414" s="37" t="s">
        <v>562</v>
      </c>
      <c r="C414" s="37" t="s">
        <v>571</v>
      </c>
      <c r="D414" s="52"/>
      <c r="E414" s="38" t="s">
        <v>1018</v>
      </c>
      <c r="F414" s="36" t="s">
        <v>560</v>
      </c>
      <c r="G414" s="36" t="s">
        <v>569</v>
      </c>
      <c r="H414" s="39"/>
      <c r="I414" s="40"/>
      <c r="J414" s="39">
        <v>276</v>
      </c>
      <c r="K414" s="40">
        <v>12013.68</v>
      </c>
      <c r="L414" s="51"/>
      <c r="M414" s="41">
        <v>44.68</v>
      </c>
      <c r="N414" s="41"/>
      <c r="O414" s="36"/>
      <c r="P414" s="41"/>
      <c r="Q414" s="36"/>
      <c r="R414" s="43"/>
      <c r="S414" s="43"/>
      <c r="T414" s="41"/>
      <c r="U414" s="44"/>
      <c r="V414" s="45"/>
      <c r="W414" s="36">
        <v>13</v>
      </c>
      <c r="X414" s="86">
        <v>580.84</v>
      </c>
      <c r="Y414" s="199">
        <v>52</v>
      </c>
      <c r="Z414" s="44">
        <v>0</v>
      </c>
      <c r="AA414" s="41">
        <f t="shared" si="167"/>
        <v>0</v>
      </c>
      <c r="AB414" s="44">
        <v>0</v>
      </c>
      <c r="AC414" s="44">
        <f t="shared" si="177"/>
        <v>0</v>
      </c>
      <c r="AD414" s="44">
        <f t="shared" si="168"/>
        <v>0</v>
      </c>
      <c r="AE414" s="111">
        <f t="shared" si="169"/>
        <v>0</v>
      </c>
      <c r="AF414" s="51" t="s">
        <v>571</v>
      </c>
      <c r="AG414" s="115"/>
      <c r="AH414" s="35">
        <v>0</v>
      </c>
      <c r="AI414" s="36">
        <v>0</v>
      </c>
      <c r="AJ414" s="36">
        <v>0</v>
      </c>
      <c r="AK414" s="36"/>
      <c r="AL414" s="36">
        <v>0</v>
      </c>
      <c r="AM414" s="36">
        <v>0</v>
      </c>
      <c r="AN414" s="46">
        <v>0</v>
      </c>
      <c r="AO414" s="100">
        <f t="shared" si="178"/>
        <v>0</v>
      </c>
      <c r="AP414" s="3">
        <f t="shared" si="166"/>
        <v>0</v>
      </c>
    </row>
    <row r="415" spans="1:42" x14ac:dyDescent="0.2">
      <c r="A415" s="49" t="s">
        <v>950</v>
      </c>
      <c r="B415" s="37" t="s">
        <v>556</v>
      </c>
      <c r="C415" s="37" t="s">
        <v>578</v>
      </c>
      <c r="D415" s="52">
        <v>46022</v>
      </c>
      <c r="E415" s="38" t="s">
        <v>753</v>
      </c>
      <c r="F415" s="36" t="s">
        <v>557</v>
      </c>
      <c r="G415" s="36" t="s">
        <v>963</v>
      </c>
      <c r="H415" s="39"/>
      <c r="I415" s="40"/>
      <c r="J415" s="39"/>
      <c r="K415" s="40"/>
      <c r="L415" s="37"/>
      <c r="M415" s="41"/>
      <c r="N415" s="36"/>
      <c r="O415" s="41"/>
      <c r="P415" s="36"/>
      <c r="Q415" s="43"/>
      <c r="R415" s="43"/>
      <c r="S415" s="41"/>
      <c r="T415" s="44"/>
      <c r="U415" s="45"/>
      <c r="V415" s="36"/>
      <c r="W415" s="45"/>
      <c r="X415" s="46"/>
      <c r="Y415" s="199">
        <v>2249.1999999999998</v>
      </c>
      <c r="Z415" s="44">
        <v>0</v>
      </c>
      <c r="AA415" s="41">
        <f t="shared" si="167"/>
        <v>0</v>
      </c>
      <c r="AB415" s="44">
        <v>0</v>
      </c>
      <c r="AC415" s="44">
        <f t="shared" si="177"/>
        <v>0</v>
      </c>
      <c r="AD415" s="44">
        <f t="shared" si="168"/>
        <v>0</v>
      </c>
      <c r="AE415" s="111">
        <f t="shared" si="169"/>
        <v>0</v>
      </c>
      <c r="AF415" s="51" t="s">
        <v>571</v>
      </c>
      <c r="AG415" s="115"/>
      <c r="AH415" s="35">
        <v>0</v>
      </c>
      <c r="AI415" s="36">
        <v>0</v>
      </c>
      <c r="AJ415" s="36">
        <v>0</v>
      </c>
      <c r="AK415" s="36"/>
      <c r="AL415" s="36">
        <v>0</v>
      </c>
      <c r="AM415" s="36">
        <v>0</v>
      </c>
      <c r="AN415" s="46">
        <v>0</v>
      </c>
      <c r="AO415" s="100">
        <f t="shared" si="178"/>
        <v>0</v>
      </c>
      <c r="AP415" s="3">
        <f t="shared" si="166"/>
        <v>0</v>
      </c>
    </row>
    <row r="416" spans="1:42" x14ac:dyDescent="0.2">
      <c r="A416" s="35" t="s">
        <v>197</v>
      </c>
      <c r="B416" s="37" t="s">
        <v>556</v>
      </c>
      <c r="C416" s="37">
        <v>0</v>
      </c>
      <c r="D416" s="52">
        <v>46752</v>
      </c>
      <c r="E416" s="38" t="s">
        <v>772</v>
      </c>
      <c r="F416" s="36" t="s">
        <v>559</v>
      </c>
      <c r="G416" s="36" t="s">
        <v>637</v>
      </c>
      <c r="H416" s="39">
        <v>100</v>
      </c>
      <c r="I416" s="40">
        <v>4500</v>
      </c>
      <c r="J416" s="39">
        <v>0</v>
      </c>
      <c r="K416" s="40">
        <v>0</v>
      </c>
      <c r="L416" s="37" t="s">
        <v>571</v>
      </c>
      <c r="M416" s="41" t="e">
        <v>#DIV/0!</v>
      </c>
      <c r="N416" s="42">
        <v>0</v>
      </c>
      <c r="O416" s="36">
        <v>200</v>
      </c>
      <c r="P416" s="41" t="e">
        <f>(N416+O416)*M416</f>
        <v>#DIV/0!</v>
      </c>
      <c r="Q416" s="36">
        <v>100</v>
      </c>
      <c r="R416" s="43">
        <f>O416-Q416</f>
        <v>100</v>
      </c>
      <c r="S416" s="43">
        <f>U416-O416</f>
        <v>0</v>
      </c>
      <c r="T416" s="41" t="e">
        <f>S416*M416</f>
        <v>#DIV/0!</v>
      </c>
      <c r="U416" s="44">
        <v>200</v>
      </c>
      <c r="V416" s="45" t="e">
        <f>U416*M416</f>
        <v>#DIV/0!</v>
      </c>
      <c r="W416" s="36">
        <v>0</v>
      </c>
      <c r="X416" s="86">
        <v>0</v>
      </c>
      <c r="Y416" s="199">
        <v>46.59</v>
      </c>
      <c r="Z416" s="44">
        <v>0</v>
      </c>
      <c r="AA416" s="41">
        <f t="shared" si="167"/>
        <v>0</v>
      </c>
      <c r="AB416" s="44">
        <v>0</v>
      </c>
      <c r="AC416" s="44">
        <f t="shared" si="177"/>
        <v>0</v>
      </c>
      <c r="AD416" s="44">
        <f t="shared" si="168"/>
        <v>0</v>
      </c>
      <c r="AE416" s="111">
        <f t="shared" si="169"/>
        <v>0</v>
      </c>
      <c r="AF416" s="51" t="s">
        <v>571</v>
      </c>
      <c r="AG416" s="115"/>
      <c r="AH416" s="35">
        <v>0</v>
      </c>
      <c r="AI416" s="36">
        <v>0</v>
      </c>
      <c r="AJ416" s="36">
        <v>0</v>
      </c>
      <c r="AK416" s="36"/>
      <c r="AL416" s="36">
        <v>0</v>
      </c>
      <c r="AM416" s="36">
        <v>0</v>
      </c>
      <c r="AN416" s="46">
        <v>0</v>
      </c>
      <c r="AO416" s="100">
        <f t="shared" si="178"/>
        <v>0</v>
      </c>
      <c r="AP416" s="3">
        <f t="shared" si="166"/>
        <v>0</v>
      </c>
    </row>
    <row r="417" spans="1:42" x14ac:dyDescent="0.2">
      <c r="A417" s="49" t="s">
        <v>857</v>
      </c>
      <c r="B417" s="156" t="s">
        <v>562</v>
      </c>
      <c r="C417" s="37" t="s">
        <v>571</v>
      </c>
      <c r="D417" s="52"/>
      <c r="E417" s="38" t="s">
        <v>1018</v>
      </c>
      <c r="F417" s="36" t="s">
        <v>560</v>
      </c>
      <c r="G417" s="36" t="s">
        <v>569</v>
      </c>
      <c r="H417" s="39"/>
      <c r="I417" s="40"/>
      <c r="J417" s="39">
        <v>307</v>
      </c>
      <c r="K417" s="40">
        <v>21618.940000000002</v>
      </c>
      <c r="L417" s="51"/>
      <c r="M417" s="41">
        <v>70.42</v>
      </c>
      <c r="N417" s="41"/>
      <c r="O417" s="36"/>
      <c r="P417" s="41"/>
      <c r="Q417" s="36"/>
      <c r="R417" s="43"/>
      <c r="S417" s="43"/>
      <c r="T417" s="41"/>
      <c r="U417" s="44"/>
      <c r="V417" s="45"/>
      <c r="W417" s="36">
        <v>115</v>
      </c>
      <c r="X417" s="86">
        <v>8098.3</v>
      </c>
      <c r="Y417" s="199">
        <v>80</v>
      </c>
      <c r="Z417" s="44">
        <v>0</v>
      </c>
      <c r="AA417" s="41">
        <f t="shared" si="167"/>
        <v>0</v>
      </c>
      <c r="AB417" s="44">
        <v>0</v>
      </c>
      <c r="AC417" s="44">
        <f t="shared" si="177"/>
        <v>0</v>
      </c>
      <c r="AD417" s="44">
        <f t="shared" si="168"/>
        <v>0</v>
      </c>
      <c r="AE417" s="111">
        <f t="shared" si="169"/>
        <v>0</v>
      </c>
      <c r="AF417" s="51" t="s">
        <v>571</v>
      </c>
      <c r="AG417" s="115"/>
      <c r="AH417" s="35">
        <v>0</v>
      </c>
      <c r="AI417" s="36">
        <v>0</v>
      </c>
      <c r="AJ417" s="36">
        <v>0</v>
      </c>
      <c r="AK417" s="36"/>
      <c r="AL417" s="36">
        <v>0</v>
      </c>
      <c r="AM417" s="36">
        <v>0</v>
      </c>
      <c r="AN417" s="46">
        <v>0</v>
      </c>
      <c r="AO417" s="100">
        <f t="shared" si="178"/>
        <v>0</v>
      </c>
      <c r="AP417" s="3">
        <f t="shared" si="166"/>
        <v>0</v>
      </c>
    </row>
    <row r="418" spans="1:42" x14ac:dyDescent="0.2">
      <c r="A418" s="35" t="s">
        <v>467</v>
      </c>
      <c r="B418" s="37" t="s">
        <v>554</v>
      </c>
      <c r="C418" s="37" t="s">
        <v>571</v>
      </c>
      <c r="D418" s="52"/>
      <c r="E418" s="38" t="s">
        <v>776</v>
      </c>
      <c r="F418" s="36" t="s">
        <v>557</v>
      </c>
      <c r="G418" s="36" t="s">
        <v>676</v>
      </c>
      <c r="H418" s="39">
        <v>0</v>
      </c>
      <c r="I418" s="40">
        <v>0</v>
      </c>
      <c r="J418" s="39">
        <v>0</v>
      </c>
      <c r="K418" s="40">
        <v>0</v>
      </c>
      <c r="L418" s="37" t="s">
        <v>571</v>
      </c>
      <c r="M418" s="41">
        <v>6500</v>
      </c>
      <c r="N418" s="42">
        <v>0</v>
      </c>
      <c r="O418" s="36">
        <v>0</v>
      </c>
      <c r="P418" s="41">
        <f t="shared" ref="P418:P423" si="179">(N418+O418)*M418</f>
        <v>0</v>
      </c>
      <c r="Q418" s="36">
        <v>58</v>
      </c>
      <c r="R418" s="43">
        <f t="shared" ref="R418:R423" si="180">O418-Q418</f>
        <v>-58</v>
      </c>
      <c r="S418" s="43">
        <f t="shared" ref="S418:S423" si="181">U418-O418</f>
        <v>58</v>
      </c>
      <c r="T418" s="41">
        <f t="shared" ref="T418:T423" si="182">S418*M418</f>
        <v>377000</v>
      </c>
      <c r="U418" s="44">
        <v>58</v>
      </c>
      <c r="V418" s="45">
        <f t="shared" ref="V418:V423" si="183">U418*M418</f>
        <v>377000</v>
      </c>
      <c r="W418" s="36">
        <v>57</v>
      </c>
      <c r="X418" s="86">
        <v>370500</v>
      </c>
      <c r="Y418" s="199">
        <v>0</v>
      </c>
      <c r="Z418" s="44">
        <v>0</v>
      </c>
      <c r="AA418" s="41">
        <f t="shared" si="167"/>
        <v>0</v>
      </c>
      <c r="AB418" s="44">
        <v>0</v>
      </c>
      <c r="AC418" s="44">
        <f t="shared" si="177"/>
        <v>0</v>
      </c>
      <c r="AD418" s="44">
        <f t="shared" si="168"/>
        <v>0</v>
      </c>
      <c r="AE418" s="111">
        <f t="shared" si="169"/>
        <v>0</v>
      </c>
      <c r="AF418" s="51" t="s">
        <v>571</v>
      </c>
      <c r="AG418" s="115"/>
      <c r="AH418" s="35">
        <v>0</v>
      </c>
      <c r="AI418" s="36">
        <v>0</v>
      </c>
      <c r="AJ418" s="36">
        <v>0</v>
      </c>
      <c r="AK418" s="36"/>
      <c r="AL418" s="36">
        <v>0</v>
      </c>
      <c r="AM418" s="36">
        <v>0</v>
      </c>
      <c r="AN418" s="46">
        <v>0</v>
      </c>
      <c r="AO418" s="100">
        <f t="shared" si="178"/>
        <v>0</v>
      </c>
      <c r="AP418" s="3">
        <f t="shared" si="166"/>
        <v>0</v>
      </c>
    </row>
    <row r="419" spans="1:42" x14ac:dyDescent="0.2">
      <c r="A419" s="35" t="s">
        <v>284</v>
      </c>
      <c r="B419" s="37" t="s">
        <v>562</v>
      </c>
      <c r="C419" s="37" t="s">
        <v>571</v>
      </c>
      <c r="D419" s="52"/>
      <c r="E419" s="38" t="s">
        <v>768</v>
      </c>
      <c r="F419" s="36" t="s">
        <v>560</v>
      </c>
      <c r="G419" s="36" t="s">
        <v>611</v>
      </c>
      <c r="H419" s="39">
        <v>0</v>
      </c>
      <c r="I419" s="40">
        <v>0</v>
      </c>
      <c r="J419" s="39">
        <v>0</v>
      </c>
      <c r="K419" s="40">
        <v>0</v>
      </c>
      <c r="L419" s="37" t="s">
        <v>571</v>
      </c>
      <c r="M419" s="41">
        <v>4995</v>
      </c>
      <c r="N419" s="42">
        <v>0</v>
      </c>
      <c r="O419" s="36">
        <v>50</v>
      </c>
      <c r="P419" s="41">
        <f t="shared" si="179"/>
        <v>249750</v>
      </c>
      <c r="Q419" s="36">
        <v>0</v>
      </c>
      <c r="R419" s="43">
        <f t="shared" si="180"/>
        <v>50</v>
      </c>
      <c r="S419" s="43">
        <f t="shared" si="181"/>
        <v>0</v>
      </c>
      <c r="T419" s="41">
        <f t="shared" si="182"/>
        <v>0</v>
      </c>
      <c r="U419" s="44">
        <v>50</v>
      </c>
      <c r="V419" s="45">
        <f t="shared" si="183"/>
        <v>249750</v>
      </c>
      <c r="W419" s="36">
        <v>50</v>
      </c>
      <c r="X419" s="86">
        <v>249750</v>
      </c>
      <c r="Y419" s="199">
        <v>0</v>
      </c>
      <c r="Z419" s="44">
        <v>0</v>
      </c>
      <c r="AA419" s="41">
        <f t="shared" si="167"/>
        <v>0</v>
      </c>
      <c r="AB419" s="44">
        <v>0</v>
      </c>
      <c r="AC419" s="44">
        <f t="shared" si="177"/>
        <v>0</v>
      </c>
      <c r="AD419" s="44">
        <f t="shared" si="168"/>
        <v>0</v>
      </c>
      <c r="AE419" s="111">
        <f t="shared" si="169"/>
        <v>0</v>
      </c>
      <c r="AF419" s="51" t="s">
        <v>571</v>
      </c>
      <c r="AG419" s="115"/>
      <c r="AH419" s="35">
        <v>0</v>
      </c>
      <c r="AI419" s="36">
        <v>0</v>
      </c>
      <c r="AJ419" s="36">
        <v>0</v>
      </c>
      <c r="AK419" s="36"/>
      <c r="AL419" s="36">
        <v>0</v>
      </c>
      <c r="AM419" s="36">
        <v>0</v>
      </c>
      <c r="AN419" s="46">
        <v>0</v>
      </c>
      <c r="AO419" s="100">
        <f t="shared" si="178"/>
        <v>0</v>
      </c>
      <c r="AP419" s="3">
        <f t="shared" si="166"/>
        <v>0</v>
      </c>
    </row>
    <row r="420" spans="1:42" x14ac:dyDescent="0.2">
      <c r="A420" s="35" t="s">
        <v>438</v>
      </c>
      <c r="B420" s="37" t="s">
        <v>562</v>
      </c>
      <c r="C420" s="37" t="s">
        <v>571</v>
      </c>
      <c r="D420" s="52"/>
      <c r="E420" s="38" t="s">
        <v>816</v>
      </c>
      <c r="F420" s="36" t="s">
        <v>563</v>
      </c>
      <c r="G420" s="36" t="s">
        <v>579</v>
      </c>
      <c r="H420" s="39">
        <v>0</v>
      </c>
      <c r="I420" s="40">
        <v>0</v>
      </c>
      <c r="J420" s="39">
        <v>0</v>
      </c>
      <c r="K420" s="40">
        <v>0</v>
      </c>
      <c r="L420" s="37" t="s">
        <v>571</v>
      </c>
      <c r="M420" s="41">
        <v>162.94</v>
      </c>
      <c r="N420" s="42">
        <v>0</v>
      </c>
      <c r="O420" s="36">
        <v>1300</v>
      </c>
      <c r="P420" s="41">
        <f t="shared" si="179"/>
        <v>211822</v>
      </c>
      <c r="Q420" s="36">
        <v>0</v>
      </c>
      <c r="R420" s="43">
        <f t="shared" si="180"/>
        <v>1300</v>
      </c>
      <c r="S420" s="43">
        <f t="shared" si="181"/>
        <v>0</v>
      </c>
      <c r="T420" s="41">
        <f t="shared" si="182"/>
        <v>0</v>
      </c>
      <c r="U420" s="44">
        <v>1300</v>
      </c>
      <c r="V420" s="45">
        <f t="shared" si="183"/>
        <v>211822</v>
      </c>
      <c r="W420" s="36">
        <v>1300</v>
      </c>
      <c r="X420" s="86">
        <v>211822</v>
      </c>
      <c r="Y420" s="199">
        <v>0</v>
      </c>
      <c r="Z420" s="44">
        <v>0</v>
      </c>
      <c r="AA420" s="41">
        <f t="shared" si="167"/>
        <v>0</v>
      </c>
      <c r="AB420" s="44">
        <v>0</v>
      </c>
      <c r="AC420" s="44">
        <f t="shared" si="177"/>
        <v>0</v>
      </c>
      <c r="AD420" s="44">
        <f t="shared" si="168"/>
        <v>0</v>
      </c>
      <c r="AE420" s="111">
        <f t="shared" si="169"/>
        <v>0</v>
      </c>
      <c r="AF420" s="51" t="s">
        <v>571</v>
      </c>
      <c r="AG420" s="115" t="s">
        <v>1052</v>
      </c>
      <c r="AH420" s="35">
        <v>0</v>
      </c>
      <c r="AI420" s="36">
        <v>0</v>
      </c>
      <c r="AJ420" s="36">
        <v>0</v>
      </c>
      <c r="AK420" s="36"/>
      <c r="AL420" s="36">
        <v>0</v>
      </c>
      <c r="AM420" s="36">
        <v>0</v>
      </c>
      <c r="AN420" s="46">
        <v>0</v>
      </c>
      <c r="AO420" s="100">
        <f t="shared" si="178"/>
        <v>0</v>
      </c>
      <c r="AP420" s="3">
        <f t="shared" si="166"/>
        <v>0</v>
      </c>
    </row>
    <row r="421" spans="1:42" x14ac:dyDescent="0.2">
      <c r="A421" s="35" t="s">
        <v>378</v>
      </c>
      <c r="B421" s="156" t="s">
        <v>562</v>
      </c>
      <c r="C421" s="37" t="s">
        <v>571</v>
      </c>
      <c r="D421" s="52"/>
      <c r="E421" s="38" t="s">
        <v>755</v>
      </c>
      <c r="F421" s="36" t="s">
        <v>558</v>
      </c>
      <c r="G421" s="36" t="s">
        <v>584</v>
      </c>
      <c r="H421" s="39">
        <v>0</v>
      </c>
      <c r="I421" s="40">
        <v>0</v>
      </c>
      <c r="J421" s="39">
        <v>314</v>
      </c>
      <c r="K421" s="40">
        <v>120576</v>
      </c>
      <c r="L421" s="37" t="s">
        <v>571</v>
      </c>
      <c r="M421" s="41">
        <v>384</v>
      </c>
      <c r="N421" s="42">
        <v>0</v>
      </c>
      <c r="O421" s="36">
        <v>274</v>
      </c>
      <c r="P421" s="41">
        <f t="shared" si="179"/>
        <v>105216</v>
      </c>
      <c r="Q421" s="36">
        <v>0</v>
      </c>
      <c r="R421" s="43">
        <f t="shared" si="180"/>
        <v>274</v>
      </c>
      <c r="S421" s="43">
        <f t="shared" si="181"/>
        <v>0</v>
      </c>
      <c r="T421" s="41">
        <f t="shared" si="182"/>
        <v>0</v>
      </c>
      <c r="U421" s="44">
        <f>O421</f>
        <v>274</v>
      </c>
      <c r="V421" s="45">
        <f t="shared" si="183"/>
        <v>105216</v>
      </c>
      <c r="W421" s="36">
        <v>469</v>
      </c>
      <c r="X421" s="86">
        <v>180096</v>
      </c>
      <c r="Y421" s="199">
        <v>0</v>
      </c>
      <c r="Z421" s="44">
        <v>0</v>
      </c>
      <c r="AA421" s="41">
        <f t="shared" si="167"/>
        <v>0</v>
      </c>
      <c r="AB421" s="44">
        <v>0</v>
      </c>
      <c r="AC421" s="44">
        <f t="shared" si="177"/>
        <v>0</v>
      </c>
      <c r="AD421" s="44">
        <f t="shared" si="168"/>
        <v>0</v>
      </c>
      <c r="AE421" s="111">
        <f t="shared" si="169"/>
        <v>0</v>
      </c>
      <c r="AF421" s="51" t="s">
        <v>571</v>
      </c>
      <c r="AG421" s="115" t="s">
        <v>1053</v>
      </c>
      <c r="AH421" s="35">
        <v>0</v>
      </c>
      <c r="AI421" s="36">
        <v>0</v>
      </c>
      <c r="AJ421" s="36">
        <v>0</v>
      </c>
      <c r="AK421" s="36"/>
      <c r="AL421" s="36">
        <v>0</v>
      </c>
      <c r="AM421" s="36">
        <v>0</v>
      </c>
      <c r="AN421" s="46">
        <v>0</v>
      </c>
      <c r="AO421" s="100">
        <f t="shared" si="178"/>
        <v>0</v>
      </c>
      <c r="AP421" s="3">
        <f t="shared" si="166"/>
        <v>0</v>
      </c>
    </row>
    <row r="422" spans="1:42" x14ac:dyDescent="0.2">
      <c r="A422" s="35" t="s">
        <v>391</v>
      </c>
      <c r="B422" s="157" t="s">
        <v>565</v>
      </c>
      <c r="C422" s="37" t="s">
        <v>571</v>
      </c>
      <c r="D422" s="52"/>
      <c r="E422" s="38" t="s">
        <v>758</v>
      </c>
      <c r="F422" s="36" t="s">
        <v>555</v>
      </c>
      <c r="G422" s="36" t="s">
        <v>591</v>
      </c>
      <c r="H422" s="39">
        <v>10</v>
      </c>
      <c r="I422" s="40">
        <v>9940</v>
      </c>
      <c r="J422" s="39">
        <v>0</v>
      </c>
      <c r="K422" s="40">
        <v>0</v>
      </c>
      <c r="L422" s="37" t="s">
        <v>571</v>
      </c>
      <c r="M422" s="41">
        <v>936.92000000000007</v>
      </c>
      <c r="N422" s="42">
        <v>0</v>
      </c>
      <c r="O422" s="36">
        <v>180</v>
      </c>
      <c r="P422" s="41">
        <f t="shared" si="179"/>
        <v>168645.6</v>
      </c>
      <c r="Q422" s="36">
        <v>90</v>
      </c>
      <c r="R422" s="43">
        <f t="shared" si="180"/>
        <v>90</v>
      </c>
      <c r="S422" s="43">
        <f t="shared" si="181"/>
        <v>-36</v>
      </c>
      <c r="T422" s="41">
        <f t="shared" si="182"/>
        <v>-33729.120000000003</v>
      </c>
      <c r="U422" s="44">
        <f>O422/1.25</f>
        <v>144</v>
      </c>
      <c r="V422" s="45">
        <f t="shared" si="183"/>
        <v>134916.48000000001</v>
      </c>
      <c r="W422" s="36">
        <v>180</v>
      </c>
      <c r="X422" s="86">
        <v>168645.6</v>
      </c>
      <c r="Y422" s="199">
        <v>0</v>
      </c>
      <c r="Z422" s="44">
        <v>0</v>
      </c>
      <c r="AA422" s="41">
        <f t="shared" si="167"/>
        <v>0</v>
      </c>
      <c r="AB422" s="44">
        <v>0</v>
      </c>
      <c r="AC422" s="44">
        <f t="shared" si="177"/>
        <v>0</v>
      </c>
      <c r="AD422" s="44">
        <f t="shared" si="168"/>
        <v>0</v>
      </c>
      <c r="AE422" s="111">
        <f t="shared" si="169"/>
        <v>0</v>
      </c>
      <c r="AF422" s="51" t="s">
        <v>571</v>
      </c>
      <c r="AG422" s="115" t="s">
        <v>747</v>
      </c>
      <c r="AH422" s="35">
        <v>0</v>
      </c>
      <c r="AI422" s="36">
        <v>0</v>
      </c>
      <c r="AJ422" s="36">
        <v>0</v>
      </c>
      <c r="AK422" s="36"/>
      <c r="AL422" s="36">
        <v>0</v>
      </c>
      <c r="AM422" s="36">
        <v>0</v>
      </c>
      <c r="AN422" s="46">
        <v>0</v>
      </c>
      <c r="AO422" s="100">
        <f t="shared" si="178"/>
        <v>0</v>
      </c>
      <c r="AP422" s="3">
        <f t="shared" si="166"/>
        <v>0</v>
      </c>
    </row>
    <row r="423" spans="1:42" x14ac:dyDescent="0.2">
      <c r="A423" s="35" t="s">
        <v>286</v>
      </c>
      <c r="B423" s="37" t="s">
        <v>562</v>
      </c>
      <c r="C423" s="37" t="s">
        <v>571</v>
      </c>
      <c r="D423" s="52"/>
      <c r="E423" s="38" t="s">
        <v>776</v>
      </c>
      <c r="F423" s="36" t="s">
        <v>560</v>
      </c>
      <c r="G423" s="36" t="s">
        <v>621</v>
      </c>
      <c r="H423" s="39">
        <v>0</v>
      </c>
      <c r="I423" s="40">
        <v>0</v>
      </c>
      <c r="J423" s="39">
        <v>0</v>
      </c>
      <c r="K423" s="40">
        <v>0</v>
      </c>
      <c r="L423" s="37" t="s">
        <v>571</v>
      </c>
      <c r="M423" s="41">
        <v>5271.2699999999995</v>
      </c>
      <c r="N423" s="42">
        <v>0</v>
      </c>
      <c r="O423" s="36">
        <v>25</v>
      </c>
      <c r="P423" s="41">
        <f t="shared" si="179"/>
        <v>131781.75</v>
      </c>
      <c r="Q423" s="36">
        <v>30</v>
      </c>
      <c r="R423" s="43">
        <f t="shared" si="180"/>
        <v>-5</v>
      </c>
      <c r="S423" s="43">
        <f t="shared" si="181"/>
        <v>0</v>
      </c>
      <c r="T423" s="41">
        <f t="shared" si="182"/>
        <v>0</v>
      </c>
      <c r="U423" s="44">
        <v>25</v>
      </c>
      <c r="V423" s="45">
        <f t="shared" si="183"/>
        <v>131781.75</v>
      </c>
      <c r="W423" s="36">
        <v>30</v>
      </c>
      <c r="X423" s="86">
        <v>158138.09999999998</v>
      </c>
      <c r="Y423" s="199">
        <v>0</v>
      </c>
      <c r="Z423" s="44">
        <v>0</v>
      </c>
      <c r="AA423" s="41">
        <f t="shared" si="167"/>
        <v>0</v>
      </c>
      <c r="AB423" s="44">
        <v>0</v>
      </c>
      <c r="AC423" s="44">
        <f t="shared" si="177"/>
        <v>0</v>
      </c>
      <c r="AD423" s="44">
        <f t="shared" si="168"/>
        <v>0</v>
      </c>
      <c r="AE423" s="111">
        <f t="shared" si="169"/>
        <v>0</v>
      </c>
      <c r="AF423" s="51" t="s">
        <v>571</v>
      </c>
      <c r="AG423" s="115"/>
      <c r="AH423" s="35">
        <v>0</v>
      </c>
      <c r="AI423" s="36">
        <v>0</v>
      </c>
      <c r="AJ423" s="36">
        <v>0</v>
      </c>
      <c r="AK423" s="36"/>
      <c r="AL423" s="36">
        <v>0</v>
      </c>
      <c r="AM423" s="36">
        <v>0</v>
      </c>
      <c r="AN423" s="46">
        <v>0</v>
      </c>
      <c r="AO423" s="100">
        <f t="shared" si="178"/>
        <v>0</v>
      </c>
      <c r="AP423" s="3">
        <f t="shared" si="166"/>
        <v>0</v>
      </c>
    </row>
    <row r="424" spans="1:42" x14ac:dyDescent="0.2">
      <c r="A424" s="49" t="s">
        <v>869</v>
      </c>
      <c r="B424" s="37" t="s">
        <v>562</v>
      </c>
      <c r="C424" s="37" t="s">
        <v>571</v>
      </c>
      <c r="D424" s="52"/>
      <c r="E424" s="38" t="s">
        <v>1015</v>
      </c>
      <c r="F424" s="36" t="s">
        <v>560</v>
      </c>
      <c r="G424" s="36" t="s">
        <v>611</v>
      </c>
      <c r="H424" s="39"/>
      <c r="I424" s="40"/>
      <c r="J424" s="39"/>
      <c r="K424" s="40"/>
      <c r="L424" s="51"/>
      <c r="M424" s="41">
        <v>4600</v>
      </c>
      <c r="N424" s="41"/>
      <c r="O424" s="36"/>
      <c r="P424" s="41"/>
      <c r="Q424" s="36"/>
      <c r="R424" s="43"/>
      <c r="S424" s="43"/>
      <c r="T424" s="41"/>
      <c r="U424" s="44"/>
      <c r="V424" s="45"/>
      <c r="W424" s="36">
        <v>33</v>
      </c>
      <c r="X424" s="86">
        <v>151800</v>
      </c>
      <c r="Y424" s="199">
        <v>0</v>
      </c>
      <c r="Z424" s="44">
        <v>0</v>
      </c>
      <c r="AA424" s="41">
        <f t="shared" si="167"/>
        <v>0</v>
      </c>
      <c r="AB424" s="44">
        <v>0</v>
      </c>
      <c r="AC424" s="44">
        <f t="shared" si="177"/>
        <v>0</v>
      </c>
      <c r="AD424" s="44">
        <f t="shared" si="168"/>
        <v>0</v>
      </c>
      <c r="AE424" s="111">
        <f t="shared" si="169"/>
        <v>0</v>
      </c>
      <c r="AF424" s="51" t="s">
        <v>571</v>
      </c>
      <c r="AG424" s="115"/>
      <c r="AH424" s="35">
        <v>0</v>
      </c>
      <c r="AI424" s="36">
        <v>0</v>
      </c>
      <c r="AJ424" s="36">
        <v>0</v>
      </c>
      <c r="AK424" s="36"/>
      <c r="AL424" s="36">
        <v>0</v>
      </c>
      <c r="AM424" s="36">
        <v>0</v>
      </c>
      <c r="AN424" s="46">
        <v>0</v>
      </c>
      <c r="AO424" s="100">
        <f t="shared" si="178"/>
        <v>0</v>
      </c>
      <c r="AP424" s="3">
        <f t="shared" si="166"/>
        <v>0</v>
      </c>
    </row>
    <row r="425" spans="1:42" x14ac:dyDescent="0.2">
      <c r="A425" s="49" t="s">
        <v>692</v>
      </c>
      <c r="B425" s="37" t="s">
        <v>562</v>
      </c>
      <c r="C425" s="37" t="s">
        <v>571</v>
      </c>
      <c r="D425" s="52"/>
      <c r="E425" s="38" t="s">
        <v>755</v>
      </c>
      <c r="F425" s="36" t="s">
        <v>560</v>
      </c>
      <c r="G425" s="36" t="s">
        <v>623</v>
      </c>
      <c r="H425" s="39">
        <v>30</v>
      </c>
      <c r="I425" s="40">
        <v>1003334.75</v>
      </c>
      <c r="J425" s="39">
        <v>6</v>
      </c>
      <c r="K425" s="40">
        <v>201100.5</v>
      </c>
      <c r="L425" s="37" t="s">
        <v>571</v>
      </c>
      <c r="M425" s="41">
        <v>36973</v>
      </c>
      <c r="N425" s="42">
        <v>0</v>
      </c>
      <c r="O425" s="36">
        <v>0</v>
      </c>
      <c r="P425" s="41">
        <f t="shared" ref="P425:P431" si="184">(N425+O425)*M425</f>
        <v>0</v>
      </c>
      <c r="Q425" s="36">
        <v>0</v>
      </c>
      <c r="R425" s="43">
        <f t="shared" ref="R425:R431" si="185">O425-Q425</f>
        <v>0</v>
      </c>
      <c r="S425" s="43">
        <f t="shared" ref="S425:S431" si="186">U425-O425</f>
        <v>0</v>
      </c>
      <c r="T425" s="41">
        <f t="shared" ref="T425:T431" si="187">S425*M425</f>
        <v>0</v>
      </c>
      <c r="U425" s="44">
        <v>0</v>
      </c>
      <c r="V425" s="45">
        <f t="shared" ref="V425:V431" si="188">U425*M425</f>
        <v>0</v>
      </c>
      <c r="W425" s="36">
        <v>4</v>
      </c>
      <c r="X425" s="86">
        <v>147892</v>
      </c>
      <c r="Y425" s="199">
        <v>0</v>
      </c>
      <c r="Z425" s="44">
        <v>0</v>
      </c>
      <c r="AA425" s="41">
        <f t="shared" si="167"/>
        <v>0</v>
      </c>
      <c r="AB425" s="44">
        <v>0</v>
      </c>
      <c r="AC425" s="44">
        <f t="shared" si="177"/>
        <v>0</v>
      </c>
      <c r="AD425" s="44">
        <f t="shared" si="168"/>
        <v>0</v>
      </c>
      <c r="AE425" s="111">
        <f t="shared" si="169"/>
        <v>0</v>
      </c>
      <c r="AF425" s="51" t="s">
        <v>571</v>
      </c>
      <c r="AG425" s="115" t="s">
        <v>1054</v>
      </c>
      <c r="AH425" s="35">
        <v>0</v>
      </c>
      <c r="AI425" s="36">
        <v>0</v>
      </c>
      <c r="AJ425" s="36">
        <v>0</v>
      </c>
      <c r="AK425" s="36"/>
      <c r="AL425" s="36">
        <v>0</v>
      </c>
      <c r="AM425" s="36">
        <v>0</v>
      </c>
      <c r="AN425" s="46">
        <v>0</v>
      </c>
      <c r="AO425" s="100">
        <f t="shared" si="178"/>
        <v>0</v>
      </c>
      <c r="AP425" s="3">
        <f t="shared" si="166"/>
        <v>0</v>
      </c>
    </row>
    <row r="426" spans="1:42" x14ac:dyDescent="0.2">
      <c r="A426" s="35" t="s">
        <v>708</v>
      </c>
      <c r="B426" s="37" t="s">
        <v>562</v>
      </c>
      <c r="C426" s="37" t="s">
        <v>571</v>
      </c>
      <c r="D426" s="52"/>
      <c r="E426" s="38" t="s">
        <v>754</v>
      </c>
      <c r="F426" s="36" t="s">
        <v>559</v>
      </c>
      <c r="G426" s="36" t="s">
        <v>647</v>
      </c>
      <c r="H426" s="39">
        <v>148</v>
      </c>
      <c r="I426" s="40">
        <v>43068</v>
      </c>
      <c r="J426" s="39">
        <v>0</v>
      </c>
      <c r="K426" s="40">
        <v>0</v>
      </c>
      <c r="L426" s="37" t="s">
        <v>571</v>
      </c>
      <c r="M426" s="41">
        <v>385.71</v>
      </c>
      <c r="N426" s="42">
        <v>0</v>
      </c>
      <c r="O426" s="36">
        <v>487</v>
      </c>
      <c r="P426" s="41">
        <f t="shared" si="184"/>
        <v>187840.77</v>
      </c>
      <c r="Q426" s="36">
        <v>0</v>
      </c>
      <c r="R426" s="43">
        <f t="shared" si="185"/>
        <v>487</v>
      </c>
      <c r="S426" s="43">
        <f t="shared" si="186"/>
        <v>0</v>
      </c>
      <c r="T426" s="41">
        <f t="shared" si="187"/>
        <v>0</v>
      </c>
      <c r="U426" s="44">
        <f>O426</f>
        <v>487</v>
      </c>
      <c r="V426" s="45">
        <f t="shared" si="188"/>
        <v>187840.77</v>
      </c>
      <c r="W426" s="36">
        <v>347</v>
      </c>
      <c r="X426" s="86">
        <v>133841.37</v>
      </c>
      <c r="Y426" s="199">
        <v>0</v>
      </c>
      <c r="Z426" s="44">
        <v>0</v>
      </c>
      <c r="AA426" s="41">
        <f t="shared" si="167"/>
        <v>0</v>
      </c>
      <c r="AB426" s="44">
        <v>0</v>
      </c>
      <c r="AC426" s="44">
        <f t="shared" si="177"/>
        <v>0</v>
      </c>
      <c r="AD426" s="44">
        <f t="shared" si="168"/>
        <v>0</v>
      </c>
      <c r="AE426" s="111">
        <f t="shared" si="169"/>
        <v>0</v>
      </c>
      <c r="AF426" s="51" t="s">
        <v>571</v>
      </c>
      <c r="AG426" s="115"/>
      <c r="AH426" s="35">
        <v>0</v>
      </c>
      <c r="AI426" s="36">
        <v>0</v>
      </c>
      <c r="AJ426" s="36">
        <v>0</v>
      </c>
      <c r="AK426" s="36"/>
      <c r="AL426" s="36">
        <v>0</v>
      </c>
      <c r="AM426" s="36">
        <v>0</v>
      </c>
      <c r="AN426" s="46">
        <v>0</v>
      </c>
      <c r="AO426" s="100">
        <f t="shared" si="178"/>
        <v>0</v>
      </c>
      <c r="AP426" s="3">
        <f t="shared" si="166"/>
        <v>0</v>
      </c>
    </row>
    <row r="427" spans="1:42" x14ac:dyDescent="0.2">
      <c r="A427" s="35" t="s">
        <v>298</v>
      </c>
      <c r="B427" s="37" t="s">
        <v>562</v>
      </c>
      <c r="C427" s="37" t="s">
        <v>571</v>
      </c>
      <c r="D427" s="52"/>
      <c r="E427" s="38" t="s">
        <v>776</v>
      </c>
      <c r="F427" s="36" t="s">
        <v>557</v>
      </c>
      <c r="G427" s="36" t="s">
        <v>621</v>
      </c>
      <c r="H427" s="39">
        <v>6</v>
      </c>
      <c r="I427" s="40">
        <v>35172</v>
      </c>
      <c r="J427" s="39">
        <v>2</v>
      </c>
      <c r="K427" s="40">
        <v>14306</v>
      </c>
      <c r="L427" s="37" t="s">
        <v>571</v>
      </c>
      <c r="M427" s="41">
        <v>5262.6</v>
      </c>
      <c r="N427" s="42">
        <v>0</v>
      </c>
      <c r="O427" s="36">
        <v>25</v>
      </c>
      <c r="P427" s="41">
        <f t="shared" si="184"/>
        <v>131565</v>
      </c>
      <c r="Q427" s="36">
        <v>30</v>
      </c>
      <c r="R427" s="43">
        <f t="shared" si="185"/>
        <v>-5</v>
      </c>
      <c r="S427" s="43">
        <f t="shared" si="186"/>
        <v>0</v>
      </c>
      <c r="T427" s="41">
        <f t="shared" si="187"/>
        <v>0</v>
      </c>
      <c r="U427" s="44">
        <v>25</v>
      </c>
      <c r="V427" s="45">
        <f t="shared" si="188"/>
        <v>131565</v>
      </c>
      <c r="W427" s="36">
        <v>25</v>
      </c>
      <c r="X427" s="86">
        <v>131565</v>
      </c>
      <c r="Y427" s="199">
        <v>0</v>
      </c>
      <c r="Z427" s="44">
        <v>0</v>
      </c>
      <c r="AA427" s="41">
        <f t="shared" si="167"/>
        <v>0</v>
      </c>
      <c r="AB427" s="44">
        <v>0</v>
      </c>
      <c r="AC427" s="44">
        <f t="shared" si="177"/>
        <v>0</v>
      </c>
      <c r="AD427" s="44">
        <f t="shared" si="168"/>
        <v>0</v>
      </c>
      <c r="AE427" s="111">
        <f t="shared" si="169"/>
        <v>0</v>
      </c>
      <c r="AF427" s="51" t="s">
        <v>571</v>
      </c>
      <c r="AG427" s="115" t="s">
        <v>1055</v>
      </c>
      <c r="AH427" s="35">
        <v>0</v>
      </c>
      <c r="AI427" s="36">
        <v>0</v>
      </c>
      <c r="AJ427" s="36">
        <v>0</v>
      </c>
      <c r="AK427" s="36"/>
      <c r="AL427" s="36">
        <v>0</v>
      </c>
      <c r="AM427" s="36">
        <v>0</v>
      </c>
      <c r="AN427" s="46">
        <v>0</v>
      </c>
      <c r="AO427" s="100">
        <f t="shared" si="178"/>
        <v>0</v>
      </c>
      <c r="AP427" s="3">
        <f t="shared" si="166"/>
        <v>0</v>
      </c>
    </row>
    <row r="428" spans="1:42" x14ac:dyDescent="0.2">
      <c r="A428" s="35" t="s">
        <v>725</v>
      </c>
      <c r="B428" s="157" t="s">
        <v>562</v>
      </c>
      <c r="C428" s="37" t="s">
        <v>571</v>
      </c>
      <c r="D428" s="52"/>
      <c r="E428" s="38" t="s">
        <v>758</v>
      </c>
      <c r="F428" s="36" t="s">
        <v>555</v>
      </c>
      <c r="G428" s="36" t="s">
        <v>969</v>
      </c>
      <c r="H428" s="39">
        <v>0</v>
      </c>
      <c r="I428" s="40">
        <v>0</v>
      </c>
      <c r="J428" s="39">
        <v>0</v>
      </c>
      <c r="K428" s="40">
        <v>0</v>
      </c>
      <c r="L428" s="37" t="s">
        <v>571</v>
      </c>
      <c r="M428" s="41">
        <v>3648.9100000000003</v>
      </c>
      <c r="N428" s="42">
        <v>0</v>
      </c>
      <c r="O428" s="36">
        <v>36</v>
      </c>
      <c r="P428" s="41">
        <f t="shared" si="184"/>
        <v>131360.76</v>
      </c>
      <c r="Q428" s="36">
        <v>0</v>
      </c>
      <c r="R428" s="43">
        <f t="shared" si="185"/>
        <v>36</v>
      </c>
      <c r="S428" s="43">
        <f t="shared" si="186"/>
        <v>0</v>
      </c>
      <c r="T428" s="41">
        <f t="shared" si="187"/>
        <v>0</v>
      </c>
      <c r="U428" s="44">
        <f>O428</f>
        <v>36</v>
      </c>
      <c r="V428" s="45">
        <f t="shared" si="188"/>
        <v>131360.76</v>
      </c>
      <c r="W428" s="36">
        <v>36</v>
      </c>
      <c r="X428" s="86">
        <v>131360.76</v>
      </c>
      <c r="Y428" s="199">
        <v>0</v>
      </c>
      <c r="Z428" s="44">
        <v>0</v>
      </c>
      <c r="AA428" s="41">
        <f t="shared" si="167"/>
        <v>0</v>
      </c>
      <c r="AB428" s="44">
        <v>0</v>
      </c>
      <c r="AC428" s="44">
        <f t="shared" si="177"/>
        <v>0</v>
      </c>
      <c r="AD428" s="44">
        <f t="shared" si="168"/>
        <v>0</v>
      </c>
      <c r="AE428" s="111">
        <f t="shared" si="169"/>
        <v>0</v>
      </c>
      <c r="AF428" s="51" t="s">
        <v>571</v>
      </c>
      <c r="AG428" s="115"/>
      <c r="AH428" s="35">
        <v>0</v>
      </c>
      <c r="AI428" s="36">
        <v>0</v>
      </c>
      <c r="AJ428" s="36">
        <v>0</v>
      </c>
      <c r="AK428" s="36"/>
      <c r="AL428" s="36">
        <v>0</v>
      </c>
      <c r="AM428" s="36">
        <v>0</v>
      </c>
      <c r="AN428" s="46">
        <v>0</v>
      </c>
      <c r="AO428" s="100">
        <f t="shared" si="178"/>
        <v>0</v>
      </c>
      <c r="AP428" s="3">
        <f t="shared" si="166"/>
        <v>0</v>
      </c>
    </row>
    <row r="429" spans="1:42" x14ac:dyDescent="0.2">
      <c r="A429" s="35" t="s">
        <v>256</v>
      </c>
      <c r="B429" s="37" t="s">
        <v>554</v>
      </c>
      <c r="C429" s="37" t="s">
        <v>571</v>
      </c>
      <c r="D429" s="52"/>
      <c r="E429" s="38" t="s">
        <v>813</v>
      </c>
      <c r="F429" s="36" t="s">
        <v>559</v>
      </c>
      <c r="G429" s="36" t="s">
        <v>598</v>
      </c>
      <c r="H429" s="39">
        <v>0</v>
      </c>
      <c r="I429" s="40">
        <v>0</v>
      </c>
      <c r="J429" s="39">
        <v>0</v>
      </c>
      <c r="K429" s="40">
        <v>0</v>
      </c>
      <c r="L429" s="37" t="s">
        <v>571</v>
      </c>
      <c r="M429" s="41">
        <v>389.72</v>
      </c>
      <c r="N429" s="42">
        <v>0</v>
      </c>
      <c r="O429" s="36">
        <v>300</v>
      </c>
      <c r="P429" s="41">
        <f t="shared" si="184"/>
        <v>116916.00000000001</v>
      </c>
      <c r="Q429" s="36">
        <v>0</v>
      </c>
      <c r="R429" s="43">
        <f t="shared" si="185"/>
        <v>300</v>
      </c>
      <c r="S429" s="43">
        <f t="shared" si="186"/>
        <v>0</v>
      </c>
      <c r="T429" s="41">
        <f t="shared" si="187"/>
        <v>0</v>
      </c>
      <c r="U429" s="44">
        <v>300</v>
      </c>
      <c r="V429" s="45">
        <f t="shared" si="188"/>
        <v>116916.00000000001</v>
      </c>
      <c r="W429" s="36">
        <v>300</v>
      </c>
      <c r="X429" s="86">
        <v>116916</v>
      </c>
      <c r="Y429" s="199">
        <v>0</v>
      </c>
      <c r="Z429" s="44">
        <v>0</v>
      </c>
      <c r="AA429" s="41">
        <f t="shared" si="167"/>
        <v>0</v>
      </c>
      <c r="AB429" s="44">
        <v>0</v>
      </c>
      <c r="AC429" s="44">
        <f t="shared" si="177"/>
        <v>0</v>
      </c>
      <c r="AD429" s="44">
        <f t="shared" si="168"/>
        <v>0</v>
      </c>
      <c r="AE429" s="111">
        <f t="shared" si="169"/>
        <v>0</v>
      </c>
      <c r="AF429" s="51" t="s">
        <v>571</v>
      </c>
      <c r="AG429" s="115"/>
      <c r="AH429" s="35">
        <v>0</v>
      </c>
      <c r="AI429" s="36">
        <v>0</v>
      </c>
      <c r="AJ429" s="36">
        <v>0</v>
      </c>
      <c r="AK429" s="36"/>
      <c r="AL429" s="36">
        <v>0</v>
      </c>
      <c r="AM429" s="36">
        <v>0</v>
      </c>
      <c r="AN429" s="46">
        <v>0</v>
      </c>
      <c r="AO429" s="100">
        <f t="shared" si="178"/>
        <v>0</v>
      </c>
      <c r="AP429" s="3">
        <f t="shared" si="166"/>
        <v>0</v>
      </c>
    </row>
    <row r="430" spans="1:42" x14ac:dyDescent="0.2">
      <c r="A430" s="35" t="s">
        <v>290</v>
      </c>
      <c r="B430" s="37" t="s">
        <v>562</v>
      </c>
      <c r="C430" s="37" t="s">
        <v>571</v>
      </c>
      <c r="D430" s="52"/>
      <c r="E430" s="38" t="s">
        <v>803</v>
      </c>
      <c r="F430" s="36" t="s">
        <v>560</v>
      </c>
      <c r="G430" s="36" t="s">
        <v>622</v>
      </c>
      <c r="H430" s="39">
        <v>0</v>
      </c>
      <c r="I430" s="40">
        <v>0</v>
      </c>
      <c r="J430" s="39">
        <v>0</v>
      </c>
      <c r="K430" s="40">
        <v>0</v>
      </c>
      <c r="L430" s="37" t="s">
        <v>571</v>
      </c>
      <c r="M430" s="41">
        <v>1075</v>
      </c>
      <c r="N430" s="42">
        <v>0</v>
      </c>
      <c r="O430" s="36">
        <v>103</v>
      </c>
      <c r="P430" s="41">
        <f t="shared" si="184"/>
        <v>110725</v>
      </c>
      <c r="Q430" s="36">
        <v>0</v>
      </c>
      <c r="R430" s="43">
        <f t="shared" si="185"/>
        <v>103</v>
      </c>
      <c r="S430" s="43">
        <f t="shared" si="186"/>
        <v>0</v>
      </c>
      <c r="T430" s="41">
        <f t="shared" si="187"/>
        <v>0</v>
      </c>
      <c r="U430" s="44">
        <v>103</v>
      </c>
      <c r="V430" s="45">
        <f t="shared" si="188"/>
        <v>110725</v>
      </c>
      <c r="W430" s="36">
        <v>103</v>
      </c>
      <c r="X430" s="86">
        <v>110725</v>
      </c>
      <c r="Y430" s="199">
        <v>0</v>
      </c>
      <c r="Z430" s="44">
        <v>0</v>
      </c>
      <c r="AA430" s="41">
        <f t="shared" si="167"/>
        <v>0</v>
      </c>
      <c r="AB430" s="44">
        <v>0</v>
      </c>
      <c r="AC430" s="44">
        <f t="shared" si="177"/>
        <v>0</v>
      </c>
      <c r="AD430" s="44">
        <f t="shared" si="168"/>
        <v>0</v>
      </c>
      <c r="AE430" s="111">
        <f t="shared" si="169"/>
        <v>0</v>
      </c>
      <c r="AF430" s="51" t="s">
        <v>571</v>
      </c>
      <c r="AG430" s="115" t="s">
        <v>1056</v>
      </c>
      <c r="AH430" s="35">
        <v>0</v>
      </c>
      <c r="AI430" s="36">
        <v>0</v>
      </c>
      <c r="AJ430" s="36">
        <v>0</v>
      </c>
      <c r="AK430" s="36"/>
      <c r="AL430" s="36">
        <v>0</v>
      </c>
      <c r="AM430" s="36">
        <v>0</v>
      </c>
      <c r="AN430" s="46">
        <v>0</v>
      </c>
      <c r="AO430" s="100">
        <f t="shared" si="178"/>
        <v>0</v>
      </c>
      <c r="AP430" s="3">
        <f t="shared" si="166"/>
        <v>0</v>
      </c>
    </row>
    <row r="431" spans="1:42" x14ac:dyDescent="0.2">
      <c r="A431" s="35" t="s">
        <v>10</v>
      </c>
      <c r="B431" s="37" t="s">
        <v>554</v>
      </c>
      <c r="C431" s="37" t="s">
        <v>571</v>
      </c>
      <c r="D431" s="52"/>
      <c r="E431" s="38" t="s">
        <v>818</v>
      </c>
      <c r="F431" s="36" t="s">
        <v>564</v>
      </c>
      <c r="G431" s="36" t="s">
        <v>744</v>
      </c>
      <c r="H431" s="39">
        <v>0</v>
      </c>
      <c r="I431" s="40">
        <v>0</v>
      </c>
      <c r="J431" s="39">
        <v>0</v>
      </c>
      <c r="K431" s="40">
        <v>0</v>
      </c>
      <c r="L431" s="37" t="s">
        <v>571</v>
      </c>
      <c r="M431" s="47">
        <v>2000</v>
      </c>
      <c r="N431" s="48">
        <v>0</v>
      </c>
      <c r="O431" s="36">
        <v>55</v>
      </c>
      <c r="P431" s="47">
        <f t="shared" si="184"/>
        <v>110000</v>
      </c>
      <c r="Q431" s="36">
        <v>0</v>
      </c>
      <c r="R431" s="43">
        <f t="shared" si="185"/>
        <v>55</v>
      </c>
      <c r="S431" s="43">
        <f t="shared" si="186"/>
        <v>0</v>
      </c>
      <c r="T431" s="47">
        <f t="shared" si="187"/>
        <v>0</v>
      </c>
      <c r="U431" s="44">
        <v>55</v>
      </c>
      <c r="V431" s="45">
        <f t="shared" si="188"/>
        <v>110000</v>
      </c>
      <c r="W431" s="36">
        <v>55</v>
      </c>
      <c r="X431" s="86">
        <v>110000</v>
      </c>
      <c r="Y431" s="199">
        <v>0</v>
      </c>
      <c r="Z431" s="44">
        <v>0</v>
      </c>
      <c r="AA431" s="41">
        <f t="shared" si="167"/>
        <v>0</v>
      </c>
      <c r="AB431" s="44">
        <v>0</v>
      </c>
      <c r="AC431" s="44">
        <f t="shared" si="177"/>
        <v>0</v>
      </c>
      <c r="AD431" s="44">
        <f t="shared" si="168"/>
        <v>0</v>
      </c>
      <c r="AE431" s="111">
        <f t="shared" si="169"/>
        <v>0</v>
      </c>
      <c r="AF431" s="51" t="s">
        <v>571</v>
      </c>
      <c r="AG431" s="115"/>
      <c r="AH431" s="35">
        <v>0</v>
      </c>
      <c r="AI431" s="36">
        <v>0</v>
      </c>
      <c r="AJ431" s="36">
        <v>0</v>
      </c>
      <c r="AK431" s="36"/>
      <c r="AL431" s="36">
        <v>0</v>
      </c>
      <c r="AM431" s="36">
        <v>0</v>
      </c>
      <c r="AN431" s="46">
        <v>0</v>
      </c>
      <c r="AO431" s="100">
        <f t="shared" si="178"/>
        <v>0</v>
      </c>
      <c r="AP431" s="3">
        <f t="shared" si="166"/>
        <v>0</v>
      </c>
    </row>
    <row r="432" spans="1:42" x14ac:dyDescent="0.2">
      <c r="A432" s="49" t="s">
        <v>867</v>
      </c>
      <c r="B432" s="37" t="s">
        <v>554</v>
      </c>
      <c r="C432" s="37" t="s">
        <v>571</v>
      </c>
      <c r="D432" s="52"/>
      <c r="E432" s="38" t="s">
        <v>790</v>
      </c>
      <c r="F432" s="36" t="s">
        <v>564</v>
      </c>
      <c r="G432" s="36" t="s">
        <v>632</v>
      </c>
      <c r="H432" s="39"/>
      <c r="I432" s="40"/>
      <c r="J432" s="39">
        <v>10</v>
      </c>
      <c r="K432" s="40">
        <v>1850</v>
      </c>
      <c r="L432" s="51"/>
      <c r="M432" s="41">
        <v>175.02202593192868</v>
      </c>
      <c r="N432" s="41"/>
      <c r="O432" s="36"/>
      <c r="P432" s="41"/>
      <c r="Q432" s="36"/>
      <c r="R432" s="43"/>
      <c r="S432" s="43"/>
      <c r="T432" s="41"/>
      <c r="U432" s="44"/>
      <c r="V432" s="45"/>
      <c r="W432" s="36">
        <v>617</v>
      </c>
      <c r="X432" s="86">
        <v>107988.59</v>
      </c>
      <c r="Y432" s="199">
        <v>0</v>
      </c>
      <c r="Z432" s="44">
        <v>0</v>
      </c>
      <c r="AA432" s="41">
        <f t="shared" si="167"/>
        <v>0</v>
      </c>
      <c r="AB432" s="44">
        <v>0</v>
      </c>
      <c r="AC432" s="44">
        <f t="shared" si="177"/>
        <v>0</v>
      </c>
      <c r="AD432" s="44">
        <f t="shared" si="168"/>
        <v>0</v>
      </c>
      <c r="AE432" s="111">
        <f t="shared" si="169"/>
        <v>0</v>
      </c>
      <c r="AF432" s="51" t="s">
        <v>571</v>
      </c>
      <c r="AG432" s="115"/>
      <c r="AH432" s="35">
        <v>0</v>
      </c>
      <c r="AI432" s="36">
        <v>0</v>
      </c>
      <c r="AJ432" s="36">
        <v>0</v>
      </c>
      <c r="AK432" s="36"/>
      <c r="AL432" s="36">
        <v>0</v>
      </c>
      <c r="AM432" s="36">
        <v>0</v>
      </c>
      <c r="AN432" s="46">
        <v>0</v>
      </c>
      <c r="AO432" s="100">
        <f t="shared" si="178"/>
        <v>0</v>
      </c>
      <c r="AP432" s="3">
        <f t="shared" si="166"/>
        <v>0</v>
      </c>
    </row>
    <row r="433" spans="1:42" x14ac:dyDescent="0.2">
      <c r="A433" s="35" t="s">
        <v>269</v>
      </c>
      <c r="B433" s="37" t="s">
        <v>562</v>
      </c>
      <c r="C433" s="37" t="s">
        <v>571</v>
      </c>
      <c r="D433" s="52"/>
      <c r="E433" s="38" t="s">
        <v>795</v>
      </c>
      <c r="F433" s="36" t="s">
        <v>563</v>
      </c>
      <c r="G433" s="36" t="s">
        <v>638</v>
      </c>
      <c r="H433" s="39">
        <v>0</v>
      </c>
      <c r="I433" s="40">
        <v>0</v>
      </c>
      <c r="J433" s="39">
        <v>21</v>
      </c>
      <c r="K433" s="40">
        <v>10230.99</v>
      </c>
      <c r="L433" s="37" t="s">
        <v>571</v>
      </c>
      <c r="M433" s="41">
        <v>550.53</v>
      </c>
      <c r="N433" s="42">
        <v>0</v>
      </c>
      <c r="O433" s="36">
        <v>100</v>
      </c>
      <c r="P433" s="41">
        <f t="shared" ref="P433:P439" si="189">(N433+O433)*M433</f>
        <v>55053</v>
      </c>
      <c r="Q433" s="36">
        <v>100</v>
      </c>
      <c r="R433" s="43">
        <f>O433-Q433</f>
        <v>0</v>
      </c>
      <c r="S433" s="43">
        <f t="shared" ref="S433:S439" si="190">U433-O433</f>
        <v>0</v>
      </c>
      <c r="T433" s="41">
        <f t="shared" ref="T433:T439" si="191">S433*M433</f>
        <v>0</v>
      </c>
      <c r="U433" s="44">
        <f>O433</f>
        <v>100</v>
      </c>
      <c r="V433" s="45">
        <f t="shared" ref="V433:V439" si="192">U433*M433</f>
        <v>55053</v>
      </c>
      <c r="W433" s="36">
        <v>196</v>
      </c>
      <c r="X433" s="86">
        <v>107903.88</v>
      </c>
      <c r="Y433" s="199">
        <v>0</v>
      </c>
      <c r="Z433" s="44">
        <v>0</v>
      </c>
      <c r="AA433" s="41">
        <f t="shared" si="167"/>
        <v>0</v>
      </c>
      <c r="AB433" s="44">
        <v>0</v>
      </c>
      <c r="AC433" s="44">
        <f t="shared" si="177"/>
        <v>0</v>
      </c>
      <c r="AD433" s="44">
        <f t="shared" si="168"/>
        <v>0</v>
      </c>
      <c r="AE433" s="111">
        <f t="shared" si="169"/>
        <v>0</v>
      </c>
      <c r="AF433" s="51" t="s">
        <v>571</v>
      </c>
      <c r="AG433" s="115"/>
      <c r="AH433" s="35">
        <v>0</v>
      </c>
      <c r="AI433" s="36">
        <v>0</v>
      </c>
      <c r="AJ433" s="36">
        <v>0</v>
      </c>
      <c r="AK433" s="36"/>
      <c r="AL433" s="36">
        <v>0</v>
      </c>
      <c r="AM433" s="36">
        <v>0</v>
      </c>
      <c r="AN433" s="46">
        <v>0</v>
      </c>
      <c r="AO433" s="100">
        <f t="shared" si="178"/>
        <v>0</v>
      </c>
      <c r="AP433" s="3">
        <f t="shared" si="166"/>
        <v>0</v>
      </c>
    </row>
    <row r="434" spans="1:42" x14ac:dyDescent="0.2">
      <c r="A434" s="35" t="s">
        <v>740</v>
      </c>
      <c r="B434" s="37" t="s">
        <v>562</v>
      </c>
      <c r="C434" s="37" t="s">
        <v>571</v>
      </c>
      <c r="D434" s="52"/>
      <c r="E434" s="38" t="s">
        <v>755</v>
      </c>
      <c r="F434" s="36" t="s">
        <v>560</v>
      </c>
      <c r="G434" s="36" t="s">
        <v>623</v>
      </c>
      <c r="H434" s="39">
        <v>0</v>
      </c>
      <c r="I434" s="40">
        <v>0</v>
      </c>
      <c r="J434" s="39">
        <v>0</v>
      </c>
      <c r="K434" s="40">
        <v>0</v>
      </c>
      <c r="L434" s="37" t="s">
        <v>571</v>
      </c>
      <c r="M434" s="41">
        <v>1999</v>
      </c>
      <c r="N434" s="42" t="s">
        <v>741</v>
      </c>
      <c r="O434" s="36">
        <v>50</v>
      </c>
      <c r="P434" s="41">
        <f t="shared" si="189"/>
        <v>99950</v>
      </c>
      <c r="Q434" s="36"/>
      <c r="R434" s="43"/>
      <c r="S434" s="43">
        <f t="shared" si="190"/>
        <v>0</v>
      </c>
      <c r="T434" s="41">
        <f t="shared" si="191"/>
        <v>0</v>
      </c>
      <c r="U434" s="44">
        <f>O434</f>
        <v>50</v>
      </c>
      <c r="V434" s="45">
        <f t="shared" si="192"/>
        <v>99950</v>
      </c>
      <c r="W434" s="36">
        <v>50</v>
      </c>
      <c r="X434" s="86">
        <v>99950</v>
      </c>
      <c r="Y434" s="199">
        <v>0</v>
      </c>
      <c r="Z434" s="44">
        <v>0</v>
      </c>
      <c r="AA434" s="41">
        <f t="shared" si="167"/>
        <v>0</v>
      </c>
      <c r="AB434" s="44">
        <v>0</v>
      </c>
      <c r="AC434" s="44">
        <f t="shared" si="177"/>
        <v>0</v>
      </c>
      <c r="AD434" s="44">
        <f t="shared" si="168"/>
        <v>0</v>
      </c>
      <c r="AE434" s="111">
        <f t="shared" si="169"/>
        <v>0</v>
      </c>
      <c r="AF434" s="51" t="s">
        <v>571</v>
      </c>
      <c r="AG434" s="115" t="s">
        <v>1058</v>
      </c>
      <c r="AH434" s="35">
        <v>0</v>
      </c>
      <c r="AI434" s="36">
        <v>0</v>
      </c>
      <c r="AJ434" s="36">
        <v>0</v>
      </c>
      <c r="AK434" s="36"/>
      <c r="AL434" s="36">
        <v>0</v>
      </c>
      <c r="AM434" s="36">
        <v>0</v>
      </c>
      <c r="AN434" s="46">
        <v>0</v>
      </c>
      <c r="AO434" s="100">
        <f t="shared" si="178"/>
        <v>0</v>
      </c>
      <c r="AP434" s="3">
        <f t="shared" si="166"/>
        <v>0</v>
      </c>
    </row>
    <row r="435" spans="1:42" x14ac:dyDescent="0.2">
      <c r="A435" s="35" t="s">
        <v>267</v>
      </c>
      <c r="B435" s="37" t="s">
        <v>562</v>
      </c>
      <c r="C435" s="37" t="s">
        <v>571</v>
      </c>
      <c r="D435" s="52"/>
      <c r="E435" s="38" t="s">
        <v>805</v>
      </c>
      <c r="F435" s="36" t="s">
        <v>563</v>
      </c>
      <c r="G435" s="36" t="s">
        <v>627</v>
      </c>
      <c r="H435" s="39">
        <v>0</v>
      </c>
      <c r="I435" s="40">
        <v>0</v>
      </c>
      <c r="J435" s="39">
        <v>0</v>
      </c>
      <c r="K435" s="40">
        <v>0</v>
      </c>
      <c r="L435" s="37" t="s">
        <v>571</v>
      </c>
      <c r="M435" s="41">
        <v>121.3</v>
      </c>
      <c r="N435" s="42">
        <v>0</v>
      </c>
      <c r="O435" s="36">
        <v>750</v>
      </c>
      <c r="P435" s="41">
        <f t="shared" si="189"/>
        <v>90975</v>
      </c>
      <c r="Q435" s="36">
        <v>0</v>
      </c>
      <c r="R435" s="43">
        <f>O435-Q435</f>
        <v>750</v>
      </c>
      <c r="S435" s="43">
        <f t="shared" si="190"/>
        <v>0</v>
      </c>
      <c r="T435" s="41">
        <f t="shared" si="191"/>
        <v>0</v>
      </c>
      <c r="U435" s="44">
        <v>750</v>
      </c>
      <c r="V435" s="45">
        <f t="shared" si="192"/>
        <v>90975</v>
      </c>
      <c r="W435" s="36">
        <v>750</v>
      </c>
      <c r="X435" s="86">
        <v>90975</v>
      </c>
      <c r="Y435" s="199">
        <v>0</v>
      </c>
      <c r="Z435" s="44">
        <v>0</v>
      </c>
      <c r="AA435" s="41">
        <f t="shared" si="167"/>
        <v>0</v>
      </c>
      <c r="AB435" s="44">
        <v>0</v>
      </c>
      <c r="AC435" s="44">
        <f t="shared" si="177"/>
        <v>0</v>
      </c>
      <c r="AD435" s="44">
        <f t="shared" si="168"/>
        <v>0</v>
      </c>
      <c r="AE435" s="111">
        <f t="shared" si="169"/>
        <v>0</v>
      </c>
      <c r="AF435" s="51" t="s">
        <v>571</v>
      </c>
      <c r="AG435" s="115"/>
      <c r="AH435" s="35">
        <v>0</v>
      </c>
      <c r="AI435" s="36">
        <v>0</v>
      </c>
      <c r="AJ435" s="36">
        <v>0</v>
      </c>
      <c r="AK435" s="36"/>
      <c r="AL435" s="36">
        <v>0</v>
      </c>
      <c r="AM435" s="36">
        <v>0</v>
      </c>
      <c r="AN435" s="46">
        <v>0</v>
      </c>
      <c r="AO435" s="100">
        <f t="shared" si="178"/>
        <v>0</v>
      </c>
      <c r="AP435" s="3">
        <f t="shared" si="166"/>
        <v>0</v>
      </c>
    </row>
    <row r="436" spans="1:42" x14ac:dyDescent="0.2">
      <c r="A436" s="35" t="s">
        <v>417</v>
      </c>
      <c r="B436" s="37" t="s">
        <v>565</v>
      </c>
      <c r="C436" s="37" t="s">
        <v>571</v>
      </c>
      <c r="D436" s="52"/>
      <c r="E436" s="38" t="s">
        <v>773</v>
      </c>
      <c r="F436" s="36" t="s">
        <v>555</v>
      </c>
      <c r="G436" s="36" t="s">
        <v>645</v>
      </c>
      <c r="H436" s="39">
        <v>0</v>
      </c>
      <c r="I436" s="40">
        <v>0</v>
      </c>
      <c r="J436" s="39">
        <v>56</v>
      </c>
      <c r="K436" s="40">
        <v>52958.079999999994</v>
      </c>
      <c r="L436" s="37" t="s">
        <v>571</v>
      </c>
      <c r="M436" s="41">
        <v>958.07999999999993</v>
      </c>
      <c r="N436" s="42">
        <v>0</v>
      </c>
      <c r="O436" s="36">
        <v>44</v>
      </c>
      <c r="P436" s="41">
        <f t="shared" si="189"/>
        <v>42155.519999999997</v>
      </c>
      <c r="Q436" s="36">
        <v>0</v>
      </c>
      <c r="R436" s="43">
        <f>O436-Q436</f>
        <v>44</v>
      </c>
      <c r="S436" s="43">
        <f t="shared" si="190"/>
        <v>0</v>
      </c>
      <c r="T436" s="41">
        <f t="shared" si="191"/>
        <v>0</v>
      </c>
      <c r="U436" s="44">
        <v>44</v>
      </c>
      <c r="V436" s="45">
        <f t="shared" si="192"/>
        <v>42155.519999999997</v>
      </c>
      <c r="W436" s="36">
        <v>94</v>
      </c>
      <c r="X436" s="86">
        <v>90059.51999999999</v>
      </c>
      <c r="Y436" s="199">
        <v>0</v>
      </c>
      <c r="Z436" s="44">
        <v>0</v>
      </c>
      <c r="AA436" s="41">
        <f t="shared" si="167"/>
        <v>0</v>
      </c>
      <c r="AB436" s="44">
        <v>0</v>
      </c>
      <c r="AC436" s="44">
        <f t="shared" si="177"/>
        <v>0</v>
      </c>
      <c r="AD436" s="44">
        <f t="shared" si="168"/>
        <v>0</v>
      </c>
      <c r="AE436" s="111">
        <f t="shared" si="169"/>
        <v>0</v>
      </c>
      <c r="AF436" s="51" t="s">
        <v>571</v>
      </c>
      <c r="AG436" s="115"/>
      <c r="AH436" s="35">
        <v>0</v>
      </c>
      <c r="AI436" s="36">
        <v>0</v>
      </c>
      <c r="AJ436" s="36">
        <v>0</v>
      </c>
      <c r="AK436" s="36"/>
      <c r="AL436" s="36">
        <v>0</v>
      </c>
      <c r="AM436" s="36">
        <v>0</v>
      </c>
      <c r="AN436" s="46">
        <v>0</v>
      </c>
      <c r="AO436" s="100">
        <f t="shared" si="178"/>
        <v>0</v>
      </c>
      <c r="AP436" s="3">
        <f t="shared" si="166"/>
        <v>0</v>
      </c>
    </row>
    <row r="437" spans="1:42" x14ac:dyDescent="0.2">
      <c r="A437" s="35" t="s">
        <v>304</v>
      </c>
      <c r="B437" s="37" t="s">
        <v>562</v>
      </c>
      <c r="C437" s="37" t="s">
        <v>571</v>
      </c>
      <c r="D437" s="52"/>
      <c r="E437" s="38" t="s">
        <v>807</v>
      </c>
      <c r="F437" s="36" t="s">
        <v>557</v>
      </c>
      <c r="G437" s="36" t="s">
        <v>633</v>
      </c>
      <c r="H437" s="39">
        <v>43</v>
      </c>
      <c r="I437" s="40">
        <v>66892.52</v>
      </c>
      <c r="J437" s="39">
        <v>0</v>
      </c>
      <c r="K437" s="40">
        <v>0</v>
      </c>
      <c r="L437" s="37" t="s">
        <v>571</v>
      </c>
      <c r="M437" s="41">
        <v>282.95499999999998</v>
      </c>
      <c r="N437" s="42">
        <v>0</v>
      </c>
      <c r="O437" s="36">
        <v>300</v>
      </c>
      <c r="P437" s="41">
        <f t="shared" si="189"/>
        <v>84886.5</v>
      </c>
      <c r="Q437" s="36">
        <v>0</v>
      </c>
      <c r="R437" s="43">
        <f>O437-Q437</f>
        <v>300</v>
      </c>
      <c r="S437" s="43">
        <f t="shared" si="190"/>
        <v>0</v>
      </c>
      <c r="T437" s="41">
        <f t="shared" si="191"/>
        <v>0</v>
      </c>
      <c r="U437" s="44">
        <f>O437</f>
        <v>300</v>
      </c>
      <c r="V437" s="45">
        <f t="shared" si="192"/>
        <v>84886.5</v>
      </c>
      <c r="W437" s="36">
        <v>300</v>
      </c>
      <c r="X437" s="86">
        <v>84886.5</v>
      </c>
      <c r="Y437" s="199">
        <v>0</v>
      </c>
      <c r="Z437" s="44">
        <v>0</v>
      </c>
      <c r="AA437" s="41">
        <f t="shared" si="167"/>
        <v>0</v>
      </c>
      <c r="AB437" s="44">
        <v>0</v>
      </c>
      <c r="AC437" s="44">
        <f t="shared" si="177"/>
        <v>0</v>
      </c>
      <c r="AD437" s="44">
        <f t="shared" si="168"/>
        <v>0</v>
      </c>
      <c r="AE437" s="111">
        <f t="shared" si="169"/>
        <v>0</v>
      </c>
      <c r="AF437" s="51" t="s">
        <v>571</v>
      </c>
      <c r="AG437" s="115"/>
      <c r="AH437" s="35">
        <v>0</v>
      </c>
      <c r="AI437" s="36">
        <v>0</v>
      </c>
      <c r="AJ437" s="36">
        <v>0</v>
      </c>
      <c r="AK437" s="36"/>
      <c r="AL437" s="36">
        <v>0</v>
      </c>
      <c r="AM437" s="36">
        <v>0</v>
      </c>
      <c r="AN437" s="46">
        <v>0</v>
      </c>
      <c r="AO437" s="100">
        <f t="shared" si="178"/>
        <v>0</v>
      </c>
      <c r="AP437" s="3">
        <f t="shared" si="166"/>
        <v>0</v>
      </c>
    </row>
    <row r="438" spans="1:42" x14ac:dyDescent="0.2">
      <c r="A438" s="35" t="s">
        <v>14</v>
      </c>
      <c r="B438" s="156" t="s">
        <v>1031</v>
      </c>
      <c r="C438" s="37" t="s">
        <v>571</v>
      </c>
      <c r="D438" s="52"/>
      <c r="E438" s="38" t="s">
        <v>777</v>
      </c>
      <c r="F438" s="36" t="s">
        <v>564</v>
      </c>
      <c r="G438" s="36" t="s">
        <v>629</v>
      </c>
      <c r="H438" s="39">
        <v>0</v>
      </c>
      <c r="I438" s="40">
        <v>0</v>
      </c>
      <c r="J438" s="39">
        <v>16356</v>
      </c>
      <c r="K438" s="40">
        <v>262540</v>
      </c>
      <c r="L438" s="37" t="s">
        <v>571</v>
      </c>
      <c r="M438" s="47">
        <v>17</v>
      </c>
      <c r="N438" s="48">
        <v>0</v>
      </c>
      <c r="O438" s="36">
        <v>4750</v>
      </c>
      <c r="P438" s="47">
        <f t="shared" si="189"/>
        <v>80750</v>
      </c>
      <c r="Q438" s="36">
        <v>13350</v>
      </c>
      <c r="R438" s="43">
        <f>O438-Q438</f>
        <v>-8600</v>
      </c>
      <c r="S438" s="43">
        <f t="shared" si="190"/>
        <v>2750</v>
      </c>
      <c r="T438" s="47">
        <f t="shared" si="191"/>
        <v>46750</v>
      </c>
      <c r="U438" s="44">
        <v>7500</v>
      </c>
      <c r="V438" s="45">
        <f t="shared" si="192"/>
        <v>127500</v>
      </c>
      <c r="W438" s="36">
        <v>4750</v>
      </c>
      <c r="X438" s="86">
        <v>80750</v>
      </c>
      <c r="Y438" s="199">
        <v>0</v>
      </c>
      <c r="Z438" s="44">
        <v>0</v>
      </c>
      <c r="AA438" s="41">
        <f t="shared" si="167"/>
        <v>0</v>
      </c>
      <c r="AB438" s="44">
        <v>0</v>
      </c>
      <c r="AC438" s="44">
        <f t="shared" si="177"/>
        <v>0</v>
      </c>
      <c r="AD438" s="44">
        <f t="shared" si="168"/>
        <v>0</v>
      </c>
      <c r="AE438" s="111">
        <f t="shared" si="169"/>
        <v>0</v>
      </c>
      <c r="AF438" s="51" t="s">
        <v>571</v>
      </c>
      <c r="AG438" s="115"/>
      <c r="AH438" s="35">
        <v>0</v>
      </c>
      <c r="AI438" s="36">
        <v>0</v>
      </c>
      <c r="AJ438" s="36">
        <v>0</v>
      </c>
      <c r="AK438" s="36"/>
      <c r="AL438" s="36">
        <v>0</v>
      </c>
      <c r="AM438" s="36">
        <v>0</v>
      </c>
      <c r="AN438" s="46">
        <v>0</v>
      </c>
      <c r="AO438" s="100">
        <f t="shared" si="178"/>
        <v>0</v>
      </c>
      <c r="AP438" s="3">
        <f t="shared" si="166"/>
        <v>0</v>
      </c>
    </row>
    <row r="439" spans="1:42" x14ac:dyDescent="0.2">
      <c r="A439" s="35" t="s">
        <v>184</v>
      </c>
      <c r="B439" s="37" t="s">
        <v>554</v>
      </c>
      <c r="C439" s="37" t="s">
        <v>571</v>
      </c>
      <c r="D439" s="52"/>
      <c r="E439" s="38" t="s">
        <v>1028</v>
      </c>
      <c r="F439" s="36" t="s">
        <v>559</v>
      </c>
      <c r="G439" s="36" t="s">
        <v>616</v>
      </c>
      <c r="H439" s="39">
        <v>0</v>
      </c>
      <c r="I439" s="40">
        <v>0</v>
      </c>
      <c r="J439" s="39">
        <v>0</v>
      </c>
      <c r="K439" s="40">
        <v>0</v>
      </c>
      <c r="L439" s="37" t="s">
        <v>571</v>
      </c>
      <c r="M439" s="41">
        <v>522.15</v>
      </c>
      <c r="N439" s="42">
        <v>0</v>
      </c>
      <c r="O439" s="36">
        <v>150</v>
      </c>
      <c r="P439" s="41">
        <f t="shared" si="189"/>
        <v>78322.5</v>
      </c>
      <c r="Q439" s="36">
        <v>0</v>
      </c>
      <c r="R439" s="43">
        <f>O439-Q439</f>
        <v>150</v>
      </c>
      <c r="S439" s="43">
        <f t="shared" si="190"/>
        <v>0</v>
      </c>
      <c r="T439" s="41">
        <f t="shared" si="191"/>
        <v>0</v>
      </c>
      <c r="U439" s="44">
        <v>150</v>
      </c>
      <c r="V439" s="45">
        <f t="shared" si="192"/>
        <v>78322.5</v>
      </c>
      <c r="W439" s="36">
        <v>150</v>
      </c>
      <c r="X439" s="86">
        <v>78322.5</v>
      </c>
      <c r="Y439" s="199">
        <v>0</v>
      </c>
      <c r="Z439" s="44">
        <v>0</v>
      </c>
      <c r="AA439" s="41">
        <f t="shared" si="167"/>
        <v>0</v>
      </c>
      <c r="AB439" s="44">
        <v>0</v>
      </c>
      <c r="AC439" s="44">
        <f t="shared" si="177"/>
        <v>0</v>
      </c>
      <c r="AD439" s="44">
        <f t="shared" si="168"/>
        <v>0</v>
      </c>
      <c r="AE439" s="111">
        <f t="shared" si="169"/>
        <v>0</v>
      </c>
      <c r="AF439" s="51" t="s">
        <v>571</v>
      </c>
      <c r="AG439" s="115"/>
      <c r="AH439" s="35">
        <v>0</v>
      </c>
      <c r="AI439" s="36">
        <v>0</v>
      </c>
      <c r="AJ439" s="36">
        <v>0</v>
      </c>
      <c r="AK439" s="36"/>
      <c r="AL439" s="36">
        <v>0</v>
      </c>
      <c r="AM439" s="36">
        <v>0</v>
      </c>
      <c r="AN439" s="46">
        <v>0</v>
      </c>
      <c r="AO439" s="100">
        <f t="shared" si="178"/>
        <v>0</v>
      </c>
      <c r="AP439" s="3">
        <f t="shared" si="166"/>
        <v>0</v>
      </c>
    </row>
    <row r="440" spans="1:42" x14ac:dyDescent="0.2">
      <c r="A440" s="49" t="s">
        <v>872</v>
      </c>
      <c r="B440" s="157" t="s">
        <v>562</v>
      </c>
      <c r="C440" s="37" t="s">
        <v>571</v>
      </c>
      <c r="D440" s="52"/>
      <c r="E440" s="38" t="s">
        <v>594</v>
      </c>
      <c r="F440" s="36" t="s">
        <v>555</v>
      </c>
      <c r="G440" s="36" t="s">
        <v>971</v>
      </c>
      <c r="H440" s="39"/>
      <c r="I440" s="40"/>
      <c r="J440" s="39"/>
      <c r="K440" s="40"/>
      <c r="L440" s="51"/>
      <c r="M440" s="41">
        <v>668.9</v>
      </c>
      <c r="N440" s="41"/>
      <c r="O440" s="36"/>
      <c r="P440" s="41"/>
      <c r="Q440" s="36"/>
      <c r="R440" s="43"/>
      <c r="S440" s="43"/>
      <c r="T440" s="41"/>
      <c r="U440" s="44"/>
      <c r="V440" s="45"/>
      <c r="W440" s="36">
        <v>111</v>
      </c>
      <c r="X440" s="86">
        <v>74247.899999999994</v>
      </c>
      <c r="Y440" s="199">
        <v>0</v>
      </c>
      <c r="Z440" s="44">
        <v>0</v>
      </c>
      <c r="AA440" s="41">
        <f t="shared" si="167"/>
        <v>0</v>
      </c>
      <c r="AB440" s="44">
        <v>0</v>
      </c>
      <c r="AC440" s="44">
        <f t="shared" si="177"/>
        <v>0</v>
      </c>
      <c r="AD440" s="44">
        <f t="shared" si="168"/>
        <v>0</v>
      </c>
      <c r="AE440" s="111">
        <f t="shared" si="169"/>
        <v>0</v>
      </c>
      <c r="AF440" s="51" t="s">
        <v>571</v>
      </c>
      <c r="AG440" s="115"/>
      <c r="AH440" s="35">
        <v>0</v>
      </c>
      <c r="AI440" s="36">
        <v>0</v>
      </c>
      <c r="AJ440" s="36">
        <v>0</v>
      </c>
      <c r="AK440" s="36"/>
      <c r="AL440" s="36">
        <v>0</v>
      </c>
      <c r="AM440" s="36">
        <v>0</v>
      </c>
      <c r="AN440" s="46">
        <v>0</v>
      </c>
      <c r="AO440" s="100">
        <f t="shared" si="178"/>
        <v>0</v>
      </c>
      <c r="AP440" s="3">
        <f t="shared" si="166"/>
        <v>0</v>
      </c>
    </row>
    <row r="441" spans="1:42" x14ac:dyDescent="0.2">
      <c r="A441" s="49" t="s">
        <v>871</v>
      </c>
      <c r="B441" s="157" t="s">
        <v>562</v>
      </c>
      <c r="C441" s="37" t="s">
        <v>571</v>
      </c>
      <c r="D441" s="52"/>
      <c r="E441" s="38" t="s">
        <v>594</v>
      </c>
      <c r="F441" s="36" t="s">
        <v>555</v>
      </c>
      <c r="G441" s="36" t="s">
        <v>971</v>
      </c>
      <c r="H441" s="39"/>
      <c r="I441" s="40"/>
      <c r="J441" s="39"/>
      <c r="K441" s="40"/>
      <c r="L441" s="51"/>
      <c r="M441" s="41">
        <v>668.9</v>
      </c>
      <c r="N441" s="41"/>
      <c r="O441" s="36"/>
      <c r="P441" s="41"/>
      <c r="Q441" s="36"/>
      <c r="R441" s="43"/>
      <c r="S441" s="43"/>
      <c r="T441" s="41"/>
      <c r="U441" s="44"/>
      <c r="V441" s="45"/>
      <c r="W441" s="36">
        <v>111</v>
      </c>
      <c r="X441" s="86">
        <v>74247.899999999994</v>
      </c>
      <c r="Y441" s="199">
        <v>0</v>
      </c>
      <c r="Z441" s="44">
        <v>0</v>
      </c>
      <c r="AA441" s="41">
        <f t="shared" si="167"/>
        <v>0</v>
      </c>
      <c r="AB441" s="44">
        <v>0</v>
      </c>
      <c r="AC441" s="44">
        <f t="shared" si="177"/>
        <v>0</v>
      </c>
      <c r="AD441" s="44">
        <f t="shared" si="168"/>
        <v>0</v>
      </c>
      <c r="AE441" s="111">
        <f t="shared" si="169"/>
        <v>0</v>
      </c>
      <c r="AF441" s="51" t="s">
        <v>571</v>
      </c>
      <c r="AG441" s="115"/>
      <c r="AH441" s="35">
        <v>0</v>
      </c>
      <c r="AI441" s="36">
        <v>0</v>
      </c>
      <c r="AJ441" s="36">
        <v>0</v>
      </c>
      <c r="AK441" s="36"/>
      <c r="AL441" s="36">
        <v>0</v>
      </c>
      <c r="AM441" s="36">
        <v>0</v>
      </c>
      <c r="AN441" s="46">
        <v>0</v>
      </c>
      <c r="AO441" s="100">
        <f t="shared" si="178"/>
        <v>0</v>
      </c>
      <c r="AP441" s="3">
        <f t="shared" si="166"/>
        <v>0</v>
      </c>
    </row>
    <row r="442" spans="1:42" x14ac:dyDescent="0.2">
      <c r="A442" s="35" t="s">
        <v>257</v>
      </c>
      <c r="B442" s="37" t="s">
        <v>554</v>
      </c>
      <c r="C442" s="37" t="s">
        <v>571</v>
      </c>
      <c r="D442" s="52"/>
      <c r="E442" s="38" t="s">
        <v>813</v>
      </c>
      <c r="F442" s="36" t="s">
        <v>559</v>
      </c>
      <c r="G442" s="36" t="s">
        <v>598</v>
      </c>
      <c r="H442" s="39">
        <v>0</v>
      </c>
      <c r="I442" s="40">
        <v>0</v>
      </c>
      <c r="J442" s="39">
        <v>0</v>
      </c>
      <c r="K442" s="40">
        <v>0</v>
      </c>
      <c r="L442" s="37" t="s">
        <v>571</v>
      </c>
      <c r="M442" s="41">
        <v>445</v>
      </c>
      <c r="N442" s="42">
        <v>0</v>
      </c>
      <c r="O442" s="36">
        <v>150</v>
      </c>
      <c r="P442" s="41">
        <f>(N442+O442)*M442</f>
        <v>66750</v>
      </c>
      <c r="Q442" s="36">
        <v>0</v>
      </c>
      <c r="R442" s="43">
        <f>O442-Q442</f>
        <v>150</v>
      </c>
      <c r="S442" s="43">
        <f>U442-O442</f>
        <v>0</v>
      </c>
      <c r="T442" s="41">
        <f>S442*M442</f>
        <v>0</v>
      </c>
      <c r="U442" s="44">
        <v>150</v>
      </c>
      <c r="V442" s="45">
        <f>U442*M442</f>
        <v>66750</v>
      </c>
      <c r="W442" s="36">
        <v>150</v>
      </c>
      <c r="X442" s="86">
        <v>66750</v>
      </c>
      <c r="Y442" s="199">
        <v>0</v>
      </c>
      <c r="Z442" s="44">
        <v>0</v>
      </c>
      <c r="AA442" s="41">
        <f t="shared" si="167"/>
        <v>0</v>
      </c>
      <c r="AB442" s="44">
        <v>0</v>
      </c>
      <c r="AC442" s="44">
        <f t="shared" si="177"/>
        <v>0</v>
      </c>
      <c r="AD442" s="44">
        <f t="shared" si="168"/>
        <v>0</v>
      </c>
      <c r="AE442" s="111">
        <f t="shared" si="169"/>
        <v>0</v>
      </c>
      <c r="AF442" s="51" t="s">
        <v>571</v>
      </c>
      <c r="AG442" s="115"/>
      <c r="AH442" s="35">
        <v>0</v>
      </c>
      <c r="AI442" s="36">
        <v>0</v>
      </c>
      <c r="AJ442" s="36">
        <v>0</v>
      </c>
      <c r="AK442" s="36"/>
      <c r="AL442" s="36">
        <v>0</v>
      </c>
      <c r="AM442" s="36">
        <v>0</v>
      </c>
      <c r="AN442" s="46">
        <v>0</v>
      </c>
      <c r="AO442" s="100">
        <f t="shared" si="178"/>
        <v>0</v>
      </c>
      <c r="AP442" s="3">
        <f t="shared" si="166"/>
        <v>0</v>
      </c>
    </row>
    <row r="443" spans="1:42" x14ac:dyDescent="0.2">
      <c r="A443" s="35" t="s">
        <v>401</v>
      </c>
      <c r="B443" s="37" t="s">
        <v>562</v>
      </c>
      <c r="C443" s="37" t="s">
        <v>571</v>
      </c>
      <c r="D443" s="52"/>
      <c r="E443" s="38" t="s">
        <v>594</v>
      </c>
      <c r="F443" s="36" t="s">
        <v>555</v>
      </c>
      <c r="G443" s="36" t="s">
        <v>624</v>
      </c>
      <c r="H443" s="39">
        <v>0</v>
      </c>
      <c r="I443" s="40">
        <v>0</v>
      </c>
      <c r="J443" s="39">
        <v>1</v>
      </c>
      <c r="K443" s="40">
        <v>1951</v>
      </c>
      <c r="L443" s="37" t="s">
        <v>571</v>
      </c>
      <c r="M443" s="41">
        <v>1951</v>
      </c>
      <c r="N443" s="42">
        <v>0</v>
      </c>
      <c r="O443" s="36">
        <v>34</v>
      </c>
      <c r="P443" s="41">
        <f>(N443+O443)*M443</f>
        <v>66334</v>
      </c>
      <c r="Q443" s="36">
        <v>35</v>
      </c>
      <c r="R443" s="43">
        <f>O443-Q443</f>
        <v>-1</v>
      </c>
      <c r="S443" s="43">
        <f>U443-O443</f>
        <v>1</v>
      </c>
      <c r="T443" s="41">
        <f>S443*M443</f>
        <v>1951</v>
      </c>
      <c r="U443" s="44">
        <f>Q443</f>
        <v>35</v>
      </c>
      <c r="V443" s="45">
        <f>U443*M443</f>
        <v>68285</v>
      </c>
      <c r="W443" s="36">
        <v>34</v>
      </c>
      <c r="X443" s="86">
        <v>66334</v>
      </c>
      <c r="Y443" s="199">
        <v>0</v>
      </c>
      <c r="Z443" s="44">
        <v>0</v>
      </c>
      <c r="AA443" s="41">
        <f t="shared" si="167"/>
        <v>0</v>
      </c>
      <c r="AB443" s="44">
        <v>0</v>
      </c>
      <c r="AC443" s="44">
        <f t="shared" si="177"/>
        <v>0</v>
      </c>
      <c r="AD443" s="44">
        <f t="shared" si="168"/>
        <v>0</v>
      </c>
      <c r="AE443" s="111">
        <f t="shared" si="169"/>
        <v>0</v>
      </c>
      <c r="AF443" s="51" t="s">
        <v>571</v>
      </c>
      <c r="AG443" s="115"/>
      <c r="AH443" s="35">
        <v>0</v>
      </c>
      <c r="AI443" s="36">
        <v>0</v>
      </c>
      <c r="AJ443" s="36">
        <v>0</v>
      </c>
      <c r="AK443" s="36"/>
      <c r="AL443" s="36">
        <v>0</v>
      </c>
      <c r="AM443" s="36">
        <v>0</v>
      </c>
      <c r="AN443" s="46">
        <v>0</v>
      </c>
      <c r="AO443" s="100">
        <f t="shared" si="178"/>
        <v>0</v>
      </c>
      <c r="AP443" s="3">
        <f t="shared" ref="AP443:AP505" si="193">AC443*Y443</f>
        <v>0</v>
      </c>
    </row>
    <row r="444" spans="1:42" x14ac:dyDescent="0.2">
      <c r="A444" s="35" t="s">
        <v>261</v>
      </c>
      <c r="B444" s="37" t="s">
        <v>554</v>
      </c>
      <c r="C444" s="37" t="s">
        <v>571</v>
      </c>
      <c r="D444" s="52"/>
      <c r="E444" s="38" t="s">
        <v>805</v>
      </c>
      <c r="F444" s="36" t="s">
        <v>563</v>
      </c>
      <c r="G444" s="36" t="s">
        <v>579</v>
      </c>
      <c r="H444" s="39">
        <v>0</v>
      </c>
      <c r="I444" s="40">
        <v>0</v>
      </c>
      <c r="J444" s="39">
        <v>0</v>
      </c>
      <c r="K444" s="40">
        <v>0</v>
      </c>
      <c r="L444" s="37" t="s">
        <v>571</v>
      </c>
      <c r="M444" s="41">
        <v>250</v>
      </c>
      <c r="N444" s="42">
        <v>0</v>
      </c>
      <c r="O444" s="36">
        <v>250</v>
      </c>
      <c r="P444" s="41">
        <f>(N444+O444)*M444</f>
        <v>62500</v>
      </c>
      <c r="Q444" s="36">
        <v>0</v>
      </c>
      <c r="R444" s="43">
        <f>O444-Q444</f>
        <v>250</v>
      </c>
      <c r="S444" s="43">
        <f>U444-O444</f>
        <v>0</v>
      </c>
      <c r="T444" s="41">
        <f>S444*M444</f>
        <v>0</v>
      </c>
      <c r="U444" s="44">
        <f>O444</f>
        <v>250</v>
      </c>
      <c r="V444" s="45">
        <f>U444*M444</f>
        <v>62500</v>
      </c>
      <c r="W444" s="36">
        <v>250</v>
      </c>
      <c r="X444" s="86">
        <v>62500</v>
      </c>
      <c r="Y444" s="199">
        <v>0</v>
      </c>
      <c r="Z444" s="44">
        <v>0</v>
      </c>
      <c r="AA444" s="41">
        <f t="shared" si="167"/>
        <v>0</v>
      </c>
      <c r="AB444" s="44">
        <v>0</v>
      </c>
      <c r="AC444" s="44">
        <f t="shared" ref="AC444:AC474" si="194">AB444+AO444</f>
        <v>0</v>
      </c>
      <c r="AD444" s="44">
        <f t="shared" si="168"/>
        <v>0</v>
      </c>
      <c r="AE444" s="111">
        <f t="shared" si="169"/>
        <v>0</v>
      </c>
      <c r="AF444" s="51" t="s">
        <v>571</v>
      </c>
      <c r="AG444" s="115"/>
      <c r="AH444" s="35">
        <v>0</v>
      </c>
      <c r="AI444" s="36">
        <v>0</v>
      </c>
      <c r="AJ444" s="36">
        <v>0</v>
      </c>
      <c r="AK444" s="36"/>
      <c r="AL444" s="36">
        <v>0</v>
      </c>
      <c r="AM444" s="36">
        <v>0</v>
      </c>
      <c r="AN444" s="46">
        <v>0</v>
      </c>
      <c r="AO444" s="100">
        <f t="shared" ref="AO444:AO474" si="195">SUM(AH444:AN444)</f>
        <v>0</v>
      </c>
      <c r="AP444" s="3">
        <f t="shared" si="193"/>
        <v>0</v>
      </c>
    </row>
    <row r="445" spans="1:42" x14ac:dyDescent="0.2">
      <c r="A445" s="35" t="s">
        <v>843</v>
      </c>
      <c r="B445" s="37" t="s">
        <v>554</v>
      </c>
      <c r="C445" s="37" t="s">
        <v>571</v>
      </c>
      <c r="D445" s="52"/>
      <c r="E445" s="38" t="s">
        <v>803</v>
      </c>
      <c r="F445" s="36" t="s">
        <v>560</v>
      </c>
      <c r="G445" s="36" t="s">
        <v>972</v>
      </c>
      <c r="H445" s="39"/>
      <c r="I445" s="40"/>
      <c r="J445" s="39">
        <v>100</v>
      </c>
      <c r="K445" s="40">
        <v>91231</v>
      </c>
      <c r="L445" s="51"/>
      <c r="M445" s="41">
        <v>957.92000000000007</v>
      </c>
      <c r="N445" s="41"/>
      <c r="O445" s="36"/>
      <c r="P445" s="41"/>
      <c r="Q445" s="36"/>
      <c r="R445" s="43"/>
      <c r="S445" s="43"/>
      <c r="T445" s="41"/>
      <c r="U445" s="44"/>
      <c r="V445" s="45"/>
      <c r="W445" s="36">
        <v>65</v>
      </c>
      <c r="X445" s="86">
        <v>62264.800000000003</v>
      </c>
      <c r="Y445" s="199">
        <v>0</v>
      </c>
      <c r="Z445" s="44">
        <v>0</v>
      </c>
      <c r="AA445" s="41">
        <f t="shared" si="167"/>
        <v>0</v>
      </c>
      <c r="AB445" s="44">
        <v>0</v>
      </c>
      <c r="AC445" s="44">
        <f t="shared" si="194"/>
        <v>0</v>
      </c>
      <c r="AD445" s="44">
        <f t="shared" si="168"/>
        <v>0</v>
      </c>
      <c r="AE445" s="111">
        <f t="shared" si="169"/>
        <v>0</v>
      </c>
      <c r="AF445" s="51" t="s">
        <v>571</v>
      </c>
      <c r="AG445" s="115"/>
      <c r="AH445" s="35">
        <v>0</v>
      </c>
      <c r="AI445" s="36">
        <v>0</v>
      </c>
      <c r="AJ445" s="36">
        <v>0</v>
      </c>
      <c r="AK445" s="36"/>
      <c r="AL445" s="36">
        <v>0</v>
      </c>
      <c r="AM445" s="36">
        <v>0</v>
      </c>
      <c r="AN445" s="46">
        <v>0</v>
      </c>
      <c r="AO445" s="100">
        <f t="shared" si="195"/>
        <v>0</v>
      </c>
      <c r="AP445" s="3">
        <f t="shared" si="193"/>
        <v>0</v>
      </c>
    </row>
    <row r="446" spans="1:42" x14ac:dyDescent="0.2">
      <c r="A446" s="49" t="s">
        <v>873</v>
      </c>
      <c r="B446" s="37" t="s">
        <v>554</v>
      </c>
      <c r="C446" s="37" t="s">
        <v>571</v>
      </c>
      <c r="D446" s="52"/>
      <c r="E446" s="38" t="s">
        <v>803</v>
      </c>
      <c r="F446" s="36" t="s">
        <v>560</v>
      </c>
      <c r="G446" s="36" t="s">
        <v>973</v>
      </c>
      <c r="H446" s="39"/>
      <c r="I446" s="40"/>
      <c r="J446" s="39"/>
      <c r="K446" s="40"/>
      <c r="L446" s="51"/>
      <c r="M446" s="41">
        <v>1291.1500000000001</v>
      </c>
      <c r="N446" s="41"/>
      <c r="O446" s="36"/>
      <c r="P446" s="41"/>
      <c r="Q446" s="36"/>
      <c r="R446" s="43"/>
      <c r="S446" s="43"/>
      <c r="T446" s="41"/>
      <c r="U446" s="44"/>
      <c r="V446" s="45"/>
      <c r="W446" s="36">
        <v>45</v>
      </c>
      <c r="X446" s="86">
        <v>58101.75</v>
      </c>
      <c r="Y446" s="199">
        <v>0</v>
      </c>
      <c r="Z446" s="44">
        <v>0</v>
      </c>
      <c r="AA446" s="41">
        <f t="shared" si="167"/>
        <v>0</v>
      </c>
      <c r="AB446" s="44">
        <v>0</v>
      </c>
      <c r="AC446" s="44">
        <f t="shared" si="194"/>
        <v>0</v>
      </c>
      <c r="AD446" s="44">
        <f t="shared" si="168"/>
        <v>0</v>
      </c>
      <c r="AE446" s="111">
        <f t="shared" si="169"/>
        <v>0</v>
      </c>
      <c r="AF446" s="51" t="s">
        <v>571</v>
      </c>
      <c r="AG446" s="115"/>
      <c r="AH446" s="35">
        <v>0</v>
      </c>
      <c r="AI446" s="36">
        <v>0</v>
      </c>
      <c r="AJ446" s="36">
        <v>0</v>
      </c>
      <c r="AK446" s="36"/>
      <c r="AL446" s="36">
        <v>0</v>
      </c>
      <c r="AM446" s="36">
        <v>0</v>
      </c>
      <c r="AN446" s="46">
        <v>0</v>
      </c>
      <c r="AO446" s="100">
        <f t="shared" si="195"/>
        <v>0</v>
      </c>
      <c r="AP446" s="3">
        <f t="shared" si="193"/>
        <v>0</v>
      </c>
    </row>
    <row r="447" spans="1:42" x14ac:dyDescent="0.2">
      <c r="A447" s="35" t="s">
        <v>376</v>
      </c>
      <c r="B447" s="37" t="s">
        <v>562</v>
      </c>
      <c r="C447" s="37" t="s">
        <v>571</v>
      </c>
      <c r="D447" s="52"/>
      <c r="E447" s="38" t="s">
        <v>800</v>
      </c>
      <c r="F447" s="36" t="s">
        <v>558</v>
      </c>
      <c r="G447" s="36" t="s">
        <v>582</v>
      </c>
      <c r="H447" s="39">
        <v>4</v>
      </c>
      <c r="I447" s="40">
        <v>4251.2</v>
      </c>
      <c r="J447" s="39">
        <v>4</v>
      </c>
      <c r="K447" s="40">
        <v>4251.2</v>
      </c>
      <c r="L447" s="37" t="s">
        <v>571</v>
      </c>
      <c r="M447" s="41">
        <v>400.96041666666667</v>
      </c>
      <c r="N447" s="42">
        <v>0</v>
      </c>
      <c r="O447" s="36">
        <v>124</v>
      </c>
      <c r="P447" s="41">
        <f>(N447+O447)*M447</f>
        <v>49719.091666666667</v>
      </c>
      <c r="Q447" s="36">
        <v>0</v>
      </c>
      <c r="R447" s="43">
        <f>O447-Q447</f>
        <v>124</v>
      </c>
      <c r="S447" s="43">
        <f>U447-O447</f>
        <v>0</v>
      </c>
      <c r="T447" s="41">
        <f>S447*M447</f>
        <v>0</v>
      </c>
      <c r="U447" s="44">
        <v>124</v>
      </c>
      <c r="V447" s="45">
        <f>U447*M447</f>
        <v>49719.091666666667</v>
      </c>
      <c r="W447" s="36">
        <v>144</v>
      </c>
      <c r="X447" s="86">
        <v>57738.3</v>
      </c>
      <c r="Y447" s="199">
        <v>0</v>
      </c>
      <c r="Z447" s="44">
        <v>0</v>
      </c>
      <c r="AA447" s="41">
        <f t="shared" si="167"/>
        <v>0</v>
      </c>
      <c r="AB447" s="44">
        <v>0</v>
      </c>
      <c r="AC447" s="44">
        <f t="shared" si="194"/>
        <v>0</v>
      </c>
      <c r="AD447" s="44">
        <f t="shared" si="168"/>
        <v>0</v>
      </c>
      <c r="AE447" s="111">
        <f t="shared" si="169"/>
        <v>0</v>
      </c>
      <c r="AF447" s="51" t="s">
        <v>571</v>
      </c>
      <c r="AG447" s="115" t="s">
        <v>1064</v>
      </c>
      <c r="AH447" s="35">
        <v>0</v>
      </c>
      <c r="AI447" s="36">
        <v>0</v>
      </c>
      <c r="AJ447" s="36">
        <v>0</v>
      </c>
      <c r="AK447" s="36"/>
      <c r="AL447" s="36">
        <v>0</v>
      </c>
      <c r="AM447" s="36">
        <v>0</v>
      </c>
      <c r="AN447" s="46">
        <v>0</v>
      </c>
      <c r="AO447" s="100">
        <f t="shared" si="195"/>
        <v>0</v>
      </c>
      <c r="AP447" s="3">
        <f t="shared" si="193"/>
        <v>0</v>
      </c>
    </row>
    <row r="448" spans="1:42" x14ac:dyDescent="0.2">
      <c r="A448" s="35" t="s">
        <v>507</v>
      </c>
      <c r="B448" s="156" t="s">
        <v>562</v>
      </c>
      <c r="C448" s="37" t="s">
        <v>578</v>
      </c>
      <c r="D448" s="52"/>
      <c r="E448" s="38" t="s">
        <v>755</v>
      </c>
      <c r="F448" s="36" t="s">
        <v>560</v>
      </c>
      <c r="G448" s="36" t="s">
        <v>680</v>
      </c>
      <c r="H448" s="39">
        <v>0</v>
      </c>
      <c r="I448" s="40">
        <v>0</v>
      </c>
      <c r="J448" s="39">
        <v>0</v>
      </c>
      <c r="K448" s="40">
        <v>0</v>
      </c>
      <c r="L448" s="37" t="s">
        <v>571</v>
      </c>
      <c r="M448" s="41">
        <v>718.61999999999989</v>
      </c>
      <c r="N448" s="42">
        <v>0</v>
      </c>
      <c r="O448" s="36">
        <v>0</v>
      </c>
      <c r="P448" s="41">
        <f>(N448+O448)*M448</f>
        <v>0</v>
      </c>
      <c r="Q448" s="36">
        <v>73</v>
      </c>
      <c r="R448" s="43">
        <f>O448-Q448</f>
        <v>-73</v>
      </c>
      <c r="S448" s="43">
        <f>U448-O448</f>
        <v>73</v>
      </c>
      <c r="T448" s="41">
        <f>S448*M448</f>
        <v>52459.259999999995</v>
      </c>
      <c r="U448" s="44">
        <f>Q448</f>
        <v>73</v>
      </c>
      <c r="V448" s="45">
        <f>U448*M448</f>
        <v>52459.259999999995</v>
      </c>
      <c r="W448" s="36">
        <v>80</v>
      </c>
      <c r="X448" s="86">
        <v>57489.599999999991</v>
      </c>
      <c r="Y448" s="199">
        <v>0</v>
      </c>
      <c r="Z448" s="44">
        <v>0</v>
      </c>
      <c r="AA448" s="41">
        <f t="shared" ref="AA448:AA511" si="196">Z448*Y448</f>
        <v>0</v>
      </c>
      <c r="AB448" s="44">
        <v>0</v>
      </c>
      <c r="AC448" s="44">
        <f t="shared" si="194"/>
        <v>0</v>
      </c>
      <c r="AD448" s="44">
        <f t="shared" ref="AD448:AD511" si="197">AC448+Z448</f>
        <v>0</v>
      </c>
      <c r="AE448" s="111">
        <f t="shared" ref="AE448:AE511" si="198">AD448*Y448</f>
        <v>0</v>
      </c>
      <c r="AF448" s="51" t="s">
        <v>571</v>
      </c>
      <c r="AG448" s="115" t="s">
        <v>1065</v>
      </c>
      <c r="AH448" s="35">
        <v>0</v>
      </c>
      <c r="AI448" s="36">
        <v>0</v>
      </c>
      <c r="AJ448" s="36">
        <v>0</v>
      </c>
      <c r="AK448" s="36"/>
      <c r="AL448" s="36">
        <v>0</v>
      </c>
      <c r="AM448" s="36">
        <v>0</v>
      </c>
      <c r="AN448" s="46">
        <v>0</v>
      </c>
      <c r="AO448" s="100">
        <f t="shared" si="195"/>
        <v>0</v>
      </c>
      <c r="AP448" s="3">
        <f t="shared" si="193"/>
        <v>0</v>
      </c>
    </row>
    <row r="449" spans="1:42" x14ac:dyDescent="0.2">
      <c r="A449" s="35" t="s">
        <v>381</v>
      </c>
      <c r="B449" s="37" t="s">
        <v>562</v>
      </c>
      <c r="C449" s="37" t="s">
        <v>571</v>
      </c>
      <c r="D449" s="52"/>
      <c r="E449" s="38" t="s">
        <v>755</v>
      </c>
      <c r="F449" s="36" t="s">
        <v>558</v>
      </c>
      <c r="G449" s="36" t="s">
        <v>639</v>
      </c>
      <c r="H449" s="39">
        <v>0</v>
      </c>
      <c r="I449" s="40">
        <v>0</v>
      </c>
      <c r="J449" s="39">
        <v>9</v>
      </c>
      <c r="K449" s="40">
        <v>45000</v>
      </c>
      <c r="L449" s="37" t="s">
        <v>571</v>
      </c>
      <c r="M449" s="41">
        <v>5000</v>
      </c>
      <c r="N449" s="42">
        <v>0</v>
      </c>
      <c r="O449" s="36">
        <v>11</v>
      </c>
      <c r="P449" s="41">
        <f>(N449+O449)*M449</f>
        <v>55000</v>
      </c>
      <c r="Q449" s="36">
        <v>0</v>
      </c>
      <c r="R449" s="43">
        <f>O449-Q449</f>
        <v>11</v>
      </c>
      <c r="S449" s="43">
        <f>U449-O449</f>
        <v>0</v>
      </c>
      <c r="T449" s="41">
        <f>S449*M449</f>
        <v>0</v>
      </c>
      <c r="U449" s="44">
        <f>O449</f>
        <v>11</v>
      </c>
      <c r="V449" s="45">
        <f>U449*M449</f>
        <v>55000</v>
      </c>
      <c r="W449" s="36">
        <v>11</v>
      </c>
      <c r="X449" s="86">
        <v>55000</v>
      </c>
      <c r="Y449" s="199">
        <v>0</v>
      </c>
      <c r="Z449" s="44">
        <v>0</v>
      </c>
      <c r="AA449" s="41">
        <f t="shared" si="196"/>
        <v>0</v>
      </c>
      <c r="AB449" s="44">
        <v>0</v>
      </c>
      <c r="AC449" s="44">
        <f t="shared" si="194"/>
        <v>0</v>
      </c>
      <c r="AD449" s="44">
        <f t="shared" si="197"/>
        <v>0</v>
      </c>
      <c r="AE449" s="111">
        <f t="shared" si="198"/>
        <v>0</v>
      </c>
      <c r="AF449" s="51" t="s">
        <v>571</v>
      </c>
      <c r="AG449" s="115" t="s">
        <v>1066</v>
      </c>
      <c r="AH449" s="35">
        <v>0</v>
      </c>
      <c r="AI449" s="36">
        <v>0</v>
      </c>
      <c r="AJ449" s="36">
        <v>0</v>
      </c>
      <c r="AK449" s="36"/>
      <c r="AL449" s="36">
        <v>0</v>
      </c>
      <c r="AM449" s="36">
        <v>0</v>
      </c>
      <c r="AN449" s="46">
        <v>0</v>
      </c>
      <c r="AO449" s="100">
        <f t="shared" si="195"/>
        <v>0</v>
      </c>
      <c r="AP449" s="3">
        <f t="shared" si="193"/>
        <v>0</v>
      </c>
    </row>
    <row r="450" spans="1:42" x14ac:dyDescent="0.2">
      <c r="A450" s="49" t="s">
        <v>875</v>
      </c>
      <c r="B450" s="157" t="s">
        <v>562</v>
      </c>
      <c r="C450" s="37" t="s">
        <v>571</v>
      </c>
      <c r="D450" s="52"/>
      <c r="E450" s="38" t="s">
        <v>1013</v>
      </c>
      <c r="F450" s="36" t="s">
        <v>555</v>
      </c>
      <c r="G450" s="36" t="s">
        <v>624</v>
      </c>
      <c r="H450" s="39"/>
      <c r="I450" s="40"/>
      <c r="J450" s="39"/>
      <c r="K450" s="40"/>
      <c r="L450" s="51"/>
      <c r="M450" s="41">
        <v>1155.83</v>
      </c>
      <c r="N450" s="41"/>
      <c r="O450" s="36"/>
      <c r="P450" s="41"/>
      <c r="Q450" s="36"/>
      <c r="R450" s="43"/>
      <c r="S450" s="43"/>
      <c r="T450" s="41"/>
      <c r="U450" s="44"/>
      <c r="V450" s="45"/>
      <c r="W450" s="36">
        <v>45</v>
      </c>
      <c r="X450" s="86">
        <v>52012.35</v>
      </c>
      <c r="Y450" s="199">
        <v>0</v>
      </c>
      <c r="Z450" s="44">
        <v>0</v>
      </c>
      <c r="AA450" s="41">
        <f t="shared" si="196"/>
        <v>0</v>
      </c>
      <c r="AB450" s="44">
        <v>0</v>
      </c>
      <c r="AC450" s="44">
        <f t="shared" si="194"/>
        <v>0</v>
      </c>
      <c r="AD450" s="44">
        <f t="shared" si="197"/>
        <v>0</v>
      </c>
      <c r="AE450" s="111">
        <f t="shared" si="198"/>
        <v>0</v>
      </c>
      <c r="AF450" s="51" t="s">
        <v>571</v>
      </c>
      <c r="AG450" s="115"/>
      <c r="AH450" s="35">
        <v>0</v>
      </c>
      <c r="AI450" s="36">
        <v>0</v>
      </c>
      <c r="AJ450" s="36">
        <v>0</v>
      </c>
      <c r="AK450" s="36"/>
      <c r="AL450" s="36">
        <v>0</v>
      </c>
      <c r="AM450" s="36">
        <v>0</v>
      </c>
      <c r="AN450" s="46">
        <v>0</v>
      </c>
      <c r="AO450" s="100">
        <f t="shared" si="195"/>
        <v>0</v>
      </c>
      <c r="AP450" s="3">
        <f t="shared" si="193"/>
        <v>0</v>
      </c>
    </row>
    <row r="451" spans="1:42" x14ac:dyDescent="0.2">
      <c r="A451" s="35" t="s">
        <v>494</v>
      </c>
      <c r="B451" s="37" t="s">
        <v>562</v>
      </c>
      <c r="C451" s="37" t="s">
        <v>578</v>
      </c>
      <c r="D451" s="52"/>
      <c r="E451" s="38" t="s">
        <v>755</v>
      </c>
      <c r="F451" s="36" t="s">
        <v>560</v>
      </c>
      <c r="G451" s="36" t="s">
        <v>680</v>
      </c>
      <c r="H451" s="39">
        <v>149</v>
      </c>
      <c r="I451" s="40">
        <v>100163.76000000001</v>
      </c>
      <c r="J451" s="39">
        <v>0</v>
      </c>
      <c r="K451" s="40">
        <v>0</v>
      </c>
      <c r="L451" s="37" t="s">
        <v>571</v>
      </c>
      <c r="M451" s="41">
        <v>702.49</v>
      </c>
      <c r="N451" s="42">
        <v>0</v>
      </c>
      <c r="O451" s="36">
        <v>0</v>
      </c>
      <c r="P451" s="41">
        <f>(N451+O451)*M451</f>
        <v>0</v>
      </c>
      <c r="Q451" s="36">
        <v>100</v>
      </c>
      <c r="R451" s="43">
        <f>O451-Q451</f>
        <v>-100</v>
      </c>
      <c r="S451" s="43">
        <f>U451-O451</f>
        <v>100</v>
      </c>
      <c r="T451" s="41">
        <f>S451*M451</f>
        <v>70249</v>
      </c>
      <c r="U451" s="44">
        <f>Q451</f>
        <v>100</v>
      </c>
      <c r="V451" s="45">
        <f>U451*M451</f>
        <v>70249</v>
      </c>
      <c r="W451" s="36">
        <v>72</v>
      </c>
      <c r="X451" s="86">
        <v>50579.28</v>
      </c>
      <c r="Y451" s="199">
        <v>0</v>
      </c>
      <c r="Z451" s="44">
        <v>0</v>
      </c>
      <c r="AA451" s="41">
        <f t="shared" si="196"/>
        <v>0</v>
      </c>
      <c r="AB451" s="44">
        <v>0</v>
      </c>
      <c r="AC451" s="44">
        <f t="shared" si="194"/>
        <v>0</v>
      </c>
      <c r="AD451" s="44">
        <f t="shared" si="197"/>
        <v>0</v>
      </c>
      <c r="AE451" s="111">
        <f t="shared" si="198"/>
        <v>0</v>
      </c>
      <c r="AF451" s="51" t="s">
        <v>571</v>
      </c>
      <c r="AG451" s="115" t="s">
        <v>1067</v>
      </c>
      <c r="AH451" s="35">
        <v>0</v>
      </c>
      <c r="AI451" s="36">
        <v>0</v>
      </c>
      <c r="AJ451" s="36">
        <v>0</v>
      </c>
      <c r="AK451" s="36"/>
      <c r="AL451" s="36">
        <v>0</v>
      </c>
      <c r="AM451" s="36">
        <v>0</v>
      </c>
      <c r="AN451" s="46">
        <v>0</v>
      </c>
      <c r="AO451" s="100">
        <f t="shared" si="195"/>
        <v>0</v>
      </c>
      <c r="AP451" s="3">
        <f t="shared" si="193"/>
        <v>0</v>
      </c>
    </row>
    <row r="452" spans="1:42" x14ac:dyDescent="0.2">
      <c r="A452" s="49" t="s">
        <v>876</v>
      </c>
      <c r="B452" s="157" t="s">
        <v>562</v>
      </c>
      <c r="C452" s="37" t="s">
        <v>571</v>
      </c>
      <c r="D452" s="52"/>
      <c r="E452" s="38" t="s">
        <v>773</v>
      </c>
      <c r="F452" s="36" t="s">
        <v>555</v>
      </c>
      <c r="G452" s="36" t="s">
        <v>976</v>
      </c>
      <c r="H452" s="39"/>
      <c r="I452" s="40"/>
      <c r="J452" s="39"/>
      <c r="K452" s="40"/>
      <c r="L452" s="51"/>
      <c r="M452" s="41">
        <v>2101</v>
      </c>
      <c r="N452" s="41"/>
      <c r="O452" s="36"/>
      <c r="P452" s="41"/>
      <c r="Q452" s="36"/>
      <c r="R452" s="43"/>
      <c r="S452" s="43"/>
      <c r="T452" s="41"/>
      <c r="U452" s="44"/>
      <c r="V452" s="45"/>
      <c r="W452" s="36">
        <v>24</v>
      </c>
      <c r="X452" s="86">
        <v>50424</v>
      </c>
      <c r="Y452" s="199">
        <v>0</v>
      </c>
      <c r="Z452" s="44">
        <v>0</v>
      </c>
      <c r="AA452" s="41">
        <f t="shared" si="196"/>
        <v>0</v>
      </c>
      <c r="AB452" s="44">
        <v>0</v>
      </c>
      <c r="AC452" s="44">
        <f t="shared" si="194"/>
        <v>0</v>
      </c>
      <c r="AD452" s="44">
        <f t="shared" si="197"/>
        <v>0</v>
      </c>
      <c r="AE452" s="111">
        <f t="shared" si="198"/>
        <v>0</v>
      </c>
      <c r="AF452" s="51" t="s">
        <v>571</v>
      </c>
      <c r="AG452" s="115"/>
      <c r="AH452" s="35">
        <v>0</v>
      </c>
      <c r="AI452" s="36">
        <v>0</v>
      </c>
      <c r="AJ452" s="36">
        <v>0</v>
      </c>
      <c r="AK452" s="36"/>
      <c r="AL452" s="36">
        <v>0</v>
      </c>
      <c r="AM452" s="36">
        <v>0</v>
      </c>
      <c r="AN452" s="46">
        <v>0</v>
      </c>
      <c r="AO452" s="100">
        <f t="shared" si="195"/>
        <v>0</v>
      </c>
      <c r="AP452" s="3">
        <f t="shared" si="193"/>
        <v>0</v>
      </c>
    </row>
    <row r="453" spans="1:42" x14ac:dyDescent="0.2">
      <c r="A453" s="49" t="s">
        <v>877</v>
      </c>
      <c r="B453" s="37" t="s">
        <v>554</v>
      </c>
      <c r="C453" s="37"/>
      <c r="D453" s="52"/>
      <c r="E453" s="38" t="s">
        <v>753</v>
      </c>
      <c r="F453" s="36" t="s">
        <v>557</v>
      </c>
      <c r="G453" s="36" t="s">
        <v>643</v>
      </c>
      <c r="H453" s="39"/>
      <c r="I453" s="40"/>
      <c r="J453" s="39"/>
      <c r="K453" s="40"/>
      <c r="L453" s="51"/>
      <c r="M453" s="41">
        <v>676.46999999999991</v>
      </c>
      <c r="N453" s="41"/>
      <c r="O453" s="36"/>
      <c r="P453" s="41"/>
      <c r="Q453" s="36"/>
      <c r="R453" s="43"/>
      <c r="S453" s="43"/>
      <c r="T453" s="41"/>
      <c r="U453" s="44"/>
      <c r="V453" s="45"/>
      <c r="W453" s="36">
        <v>72</v>
      </c>
      <c r="X453" s="86">
        <v>48705.84</v>
      </c>
      <c r="Y453" s="199">
        <v>0</v>
      </c>
      <c r="Z453" s="44">
        <v>0</v>
      </c>
      <c r="AA453" s="41">
        <f t="shared" si="196"/>
        <v>0</v>
      </c>
      <c r="AB453" s="44">
        <v>0</v>
      </c>
      <c r="AC453" s="44">
        <f t="shared" si="194"/>
        <v>0</v>
      </c>
      <c r="AD453" s="44">
        <f t="shared" si="197"/>
        <v>0</v>
      </c>
      <c r="AE453" s="111">
        <f t="shared" si="198"/>
        <v>0</v>
      </c>
      <c r="AF453" s="51" t="s">
        <v>571</v>
      </c>
      <c r="AG453" s="115"/>
      <c r="AH453" s="35">
        <v>0</v>
      </c>
      <c r="AI453" s="36">
        <v>0</v>
      </c>
      <c r="AJ453" s="36">
        <v>0</v>
      </c>
      <c r="AK453" s="36"/>
      <c r="AL453" s="36">
        <v>0</v>
      </c>
      <c r="AM453" s="36">
        <v>0</v>
      </c>
      <c r="AN453" s="46">
        <v>0</v>
      </c>
      <c r="AO453" s="100">
        <f t="shared" si="195"/>
        <v>0</v>
      </c>
      <c r="AP453" s="3">
        <f t="shared" si="193"/>
        <v>0</v>
      </c>
    </row>
    <row r="454" spans="1:42" x14ac:dyDescent="0.2">
      <c r="A454" s="35" t="s">
        <v>319</v>
      </c>
      <c r="B454" s="37" t="s">
        <v>554</v>
      </c>
      <c r="C454" s="37" t="s">
        <v>571</v>
      </c>
      <c r="D454" s="52"/>
      <c r="E454" s="38" t="s">
        <v>753</v>
      </c>
      <c r="F454" s="36" t="s">
        <v>557</v>
      </c>
      <c r="G454" s="36" t="s">
        <v>643</v>
      </c>
      <c r="H454" s="39">
        <v>0</v>
      </c>
      <c r="I454" s="40">
        <v>0</v>
      </c>
      <c r="J454" s="39">
        <v>0</v>
      </c>
      <c r="K454" s="40">
        <v>0</v>
      </c>
      <c r="L454" s="37" t="s">
        <v>571</v>
      </c>
      <c r="M454" s="41">
        <v>724.34</v>
      </c>
      <c r="N454" s="42">
        <v>0</v>
      </c>
      <c r="O454" s="36">
        <v>64</v>
      </c>
      <c r="P454" s="41">
        <f t="shared" ref="P454:P459" si="199">(N454+O454)*M454</f>
        <v>46357.760000000002</v>
      </c>
      <c r="Q454" s="36">
        <v>0</v>
      </c>
      <c r="R454" s="43">
        <f>O454-Q454</f>
        <v>64</v>
      </c>
      <c r="S454" s="43">
        <f t="shared" ref="S454:S459" si="200">U454-O454</f>
        <v>0</v>
      </c>
      <c r="T454" s="41">
        <f t="shared" ref="T454:T459" si="201">S454*M454</f>
        <v>0</v>
      </c>
      <c r="U454" s="44">
        <f>O454</f>
        <v>64</v>
      </c>
      <c r="V454" s="45">
        <f t="shared" ref="V454:V459" si="202">U454*M454</f>
        <v>46357.760000000002</v>
      </c>
      <c r="W454" s="36">
        <v>64</v>
      </c>
      <c r="X454" s="86">
        <v>46357.760000000002</v>
      </c>
      <c r="Y454" s="199">
        <v>0</v>
      </c>
      <c r="Z454" s="44">
        <v>0</v>
      </c>
      <c r="AA454" s="41">
        <f t="shared" si="196"/>
        <v>0</v>
      </c>
      <c r="AB454" s="44">
        <v>0</v>
      </c>
      <c r="AC454" s="44">
        <f t="shared" si="194"/>
        <v>0</v>
      </c>
      <c r="AD454" s="44">
        <f t="shared" si="197"/>
        <v>0</v>
      </c>
      <c r="AE454" s="111">
        <f t="shared" si="198"/>
        <v>0</v>
      </c>
      <c r="AF454" s="51" t="s">
        <v>571</v>
      </c>
      <c r="AG454" s="115"/>
      <c r="AH454" s="35">
        <v>0</v>
      </c>
      <c r="AI454" s="36">
        <v>0</v>
      </c>
      <c r="AJ454" s="36">
        <v>0</v>
      </c>
      <c r="AK454" s="36"/>
      <c r="AL454" s="36">
        <v>0</v>
      </c>
      <c r="AM454" s="36">
        <v>0</v>
      </c>
      <c r="AN454" s="46">
        <v>0</v>
      </c>
      <c r="AO454" s="100">
        <f t="shared" si="195"/>
        <v>0</v>
      </c>
      <c r="AP454" s="3">
        <f t="shared" si="193"/>
        <v>0</v>
      </c>
    </row>
    <row r="455" spans="1:42" x14ac:dyDescent="0.2">
      <c r="A455" s="35" t="s">
        <v>272</v>
      </c>
      <c r="B455" s="37" t="s">
        <v>556</v>
      </c>
      <c r="C455" s="37" t="s">
        <v>571</v>
      </c>
      <c r="D455" s="52"/>
      <c r="E455" s="38" t="s">
        <v>761</v>
      </c>
      <c r="F455" s="36" t="s">
        <v>560</v>
      </c>
      <c r="G455" s="36" t="s">
        <v>586</v>
      </c>
      <c r="H455" s="39">
        <v>0</v>
      </c>
      <c r="I455" s="40">
        <v>0</v>
      </c>
      <c r="J455" s="39">
        <v>72</v>
      </c>
      <c r="K455" s="40">
        <v>123221.52</v>
      </c>
      <c r="L455" s="37" t="s">
        <v>571</v>
      </c>
      <c r="M455" s="41">
        <v>1711.41</v>
      </c>
      <c r="N455" s="42">
        <v>0</v>
      </c>
      <c r="O455" s="36">
        <v>25</v>
      </c>
      <c r="P455" s="41">
        <f t="shared" si="199"/>
        <v>42785.25</v>
      </c>
      <c r="Q455" s="36">
        <v>25</v>
      </c>
      <c r="R455" s="43">
        <f>O455-Q455</f>
        <v>0</v>
      </c>
      <c r="S455" s="43">
        <f t="shared" si="200"/>
        <v>0</v>
      </c>
      <c r="T455" s="41">
        <f t="shared" si="201"/>
        <v>0</v>
      </c>
      <c r="U455" s="44">
        <v>25</v>
      </c>
      <c r="V455" s="45">
        <f t="shared" si="202"/>
        <v>42785.25</v>
      </c>
      <c r="W455" s="36">
        <v>25</v>
      </c>
      <c r="X455" s="86">
        <v>42785.25</v>
      </c>
      <c r="Y455" s="199">
        <v>0</v>
      </c>
      <c r="Z455" s="44">
        <v>0</v>
      </c>
      <c r="AA455" s="41">
        <f t="shared" si="196"/>
        <v>0</v>
      </c>
      <c r="AB455" s="44">
        <v>0</v>
      </c>
      <c r="AC455" s="44">
        <f t="shared" si="194"/>
        <v>0</v>
      </c>
      <c r="AD455" s="44">
        <f t="shared" si="197"/>
        <v>0</v>
      </c>
      <c r="AE455" s="111">
        <f t="shared" si="198"/>
        <v>0</v>
      </c>
      <c r="AF455" s="51" t="s">
        <v>571</v>
      </c>
      <c r="AG455" s="115" t="s">
        <v>1068</v>
      </c>
      <c r="AH455" s="35">
        <v>0</v>
      </c>
      <c r="AI455" s="36">
        <v>0</v>
      </c>
      <c r="AJ455" s="36">
        <v>0</v>
      </c>
      <c r="AK455" s="36"/>
      <c r="AL455" s="36">
        <v>0</v>
      </c>
      <c r="AM455" s="36">
        <v>0</v>
      </c>
      <c r="AN455" s="46">
        <v>0</v>
      </c>
      <c r="AO455" s="100">
        <f t="shared" si="195"/>
        <v>0</v>
      </c>
      <c r="AP455" s="3">
        <f t="shared" si="193"/>
        <v>0</v>
      </c>
    </row>
    <row r="456" spans="1:42" x14ac:dyDescent="0.2">
      <c r="A456" s="35" t="s">
        <v>735</v>
      </c>
      <c r="B456" s="37" t="s">
        <v>556</v>
      </c>
      <c r="C456" s="37" t="s">
        <v>571</v>
      </c>
      <c r="D456" s="52"/>
      <c r="E456" s="38" t="s">
        <v>815</v>
      </c>
      <c r="F456" s="36" t="s">
        <v>557</v>
      </c>
      <c r="G456" s="36" t="s">
        <v>977</v>
      </c>
      <c r="H456" s="39">
        <v>48</v>
      </c>
      <c r="I456" s="40">
        <v>35777.279999999999</v>
      </c>
      <c r="J456" s="39">
        <v>0</v>
      </c>
      <c r="K456" s="40">
        <v>0</v>
      </c>
      <c r="L456" s="37" t="s">
        <v>571</v>
      </c>
      <c r="M456" s="41">
        <v>881.64</v>
      </c>
      <c r="N456" s="42">
        <v>12</v>
      </c>
      <c r="O456" s="36">
        <v>36</v>
      </c>
      <c r="P456" s="41">
        <f t="shared" si="199"/>
        <v>42318.720000000001</v>
      </c>
      <c r="Q456" s="36">
        <v>0</v>
      </c>
      <c r="R456" s="43"/>
      <c r="S456" s="43">
        <f t="shared" si="200"/>
        <v>0</v>
      </c>
      <c r="T456" s="41">
        <f t="shared" si="201"/>
        <v>0</v>
      </c>
      <c r="U456" s="44">
        <f>O456</f>
        <v>36</v>
      </c>
      <c r="V456" s="45">
        <f t="shared" si="202"/>
        <v>31739.040000000001</v>
      </c>
      <c r="W456" s="36">
        <v>48</v>
      </c>
      <c r="X456" s="86">
        <v>42318.720000000001</v>
      </c>
      <c r="Y456" s="199">
        <v>0</v>
      </c>
      <c r="Z456" s="44">
        <v>0</v>
      </c>
      <c r="AA456" s="41">
        <f t="shared" si="196"/>
        <v>0</v>
      </c>
      <c r="AB456" s="44">
        <v>0</v>
      </c>
      <c r="AC456" s="44">
        <f t="shared" si="194"/>
        <v>0</v>
      </c>
      <c r="AD456" s="44">
        <f t="shared" si="197"/>
        <v>0</v>
      </c>
      <c r="AE456" s="111">
        <f t="shared" si="198"/>
        <v>0</v>
      </c>
      <c r="AF456" s="51" t="s">
        <v>571</v>
      </c>
      <c r="AG456" s="115"/>
      <c r="AH456" s="35">
        <v>0</v>
      </c>
      <c r="AI456" s="36">
        <v>0</v>
      </c>
      <c r="AJ456" s="36">
        <v>0</v>
      </c>
      <c r="AK456" s="36"/>
      <c r="AL456" s="36">
        <v>0</v>
      </c>
      <c r="AM456" s="36">
        <v>0</v>
      </c>
      <c r="AN456" s="46">
        <v>0</v>
      </c>
      <c r="AO456" s="100">
        <f t="shared" si="195"/>
        <v>0</v>
      </c>
      <c r="AP456" s="3">
        <f t="shared" si="193"/>
        <v>0</v>
      </c>
    </row>
    <row r="457" spans="1:42" x14ac:dyDescent="0.2">
      <c r="A457" s="35" t="s">
        <v>700</v>
      </c>
      <c r="B457" s="37" t="s">
        <v>562</v>
      </c>
      <c r="C457" s="37" t="s">
        <v>571</v>
      </c>
      <c r="D457" s="52"/>
      <c r="E457" s="38" t="s">
        <v>778</v>
      </c>
      <c r="F457" s="36" t="s">
        <v>560</v>
      </c>
      <c r="G457" s="36" t="s">
        <v>612</v>
      </c>
      <c r="H457" s="39">
        <v>0</v>
      </c>
      <c r="I457" s="40">
        <v>0</v>
      </c>
      <c r="J457" s="39">
        <v>58</v>
      </c>
      <c r="K457" s="40">
        <v>55680</v>
      </c>
      <c r="L457" s="37" t="s">
        <v>571</v>
      </c>
      <c r="M457" s="41">
        <v>960</v>
      </c>
      <c r="N457" s="42">
        <v>0</v>
      </c>
      <c r="O457" s="36">
        <v>42</v>
      </c>
      <c r="P457" s="41">
        <f t="shared" si="199"/>
        <v>40320</v>
      </c>
      <c r="Q457" s="36">
        <v>0</v>
      </c>
      <c r="R457" s="43">
        <f>O457-Q457</f>
        <v>42</v>
      </c>
      <c r="S457" s="43">
        <f t="shared" si="200"/>
        <v>0</v>
      </c>
      <c r="T457" s="41">
        <f t="shared" si="201"/>
        <v>0</v>
      </c>
      <c r="U457" s="44">
        <f>O457</f>
        <v>42</v>
      </c>
      <c r="V457" s="45">
        <f t="shared" si="202"/>
        <v>40320</v>
      </c>
      <c r="W457" s="36">
        <v>42</v>
      </c>
      <c r="X457" s="86">
        <v>40320</v>
      </c>
      <c r="Y457" s="199">
        <v>0</v>
      </c>
      <c r="Z457" s="44">
        <v>0</v>
      </c>
      <c r="AA457" s="41">
        <f t="shared" si="196"/>
        <v>0</v>
      </c>
      <c r="AB457" s="44">
        <v>0</v>
      </c>
      <c r="AC457" s="44">
        <f t="shared" si="194"/>
        <v>0</v>
      </c>
      <c r="AD457" s="44">
        <f t="shared" si="197"/>
        <v>0</v>
      </c>
      <c r="AE457" s="111">
        <f t="shared" si="198"/>
        <v>0</v>
      </c>
      <c r="AF457" s="51" t="s">
        <v>571</v>
      </c>
      <c r="AG457" s="115"/>
      <c r="AH457" s="35">
        <v>0</v>
      </c>
      <c r="AI457" s="36">
        <v>0</v>
      </c>
      <c r="AJ457" s="36">
        <v>0</v>
      </c>
      <c r="AK457" s="36"/>
      <c r="AL457" s="36">
        <v>0</v>
      </c>
      <c r="AM457" s="36">
        <v>0</v>
      </c>
      <c r="AN457" s="46">
        <v>0</v>
      </c>
      <c r="AO457" s="100">
        <f t="shared" si="195"/>
        <v>0</v>
      </c>
      <c r="AP457" s="3">
        <f t="shared" si="193"/>
        <v>0</v>
      </c>
    </row>
    <row r="458" spans="1:42" x14ac:dyDescent="0.2">
      <c r="A458" s="35" t="s">
        <v>727</v>
      </c>
      <c r="B458" s="37" t="s">
        <v>554</v>
      </c>
      <c r="C458" s="37" t="s">
        <v>571</v>
      </c>
      <c r="D458" s="52"/>
      <c r="E458" s="38" t="s">
        <v>783</v>
      </c>
      <c r="F458" s="36" t="s">
        <v>560</v>
      </c>
      <c r="G458" s="36" t="s">
        <v>978</v>
      </c>
      <c r="H458" s="39">
        <v>0</v>
      </c>
      <c r="I458" s="40">
        <v>0</v>
      </c>
      <c r="J458" s="39">
        <v>0</v>
      </c>
      <c r="K458" s="40">
        <v>0</v>
      </c>
      <c r="L458" s="37" t="s">
        <v>571</v>
      </c>
      <c r="M458" s="47">
        <v>2666.67</v>
      </c>
      <c r="N458" s="48">
        <v>0</v>
      </c>
      <c r="O458" s="36">
        <v>15</v>
      </c>
      <c r="P458" s="47">
        <f t="shared" si="199"/>
        <v>40000.050000000003</v>
      </c>
      <c r="Q458" s="36">
        <v>0</v>
      </c>
      <c r="R458" s="43">
        <f>O458-Q458</f>
        <v>15</v>
      </c>
      <c r="S458" s="43">
        <f t="shared" si="200"/>
        <v>0</v>
      </c>
      <c r="T458" s="47">
        <f t="shared" si="201"/>
        <v>0</v>
      </c>
      <c r="U458" s="44">
        <f>O458</f>
        <v>15</v>
      </c>
      <c r="V458" s="45">
        <f t="shared" si="202"/>
        <v>40000.050000000003</v>
      </c>
      <c r="W458" s="36">
        <v>15</v>
      </c>
      <c r="X458" s="86">
        <v>40000.050000000003</v>
      </c>
      <c r="Y458" s="199">
        <v>0</v>
      </c>
      <c r="Z458" s="44">
        <v>0</v>
      </c>
      <c r="AA458" s="41">
        <f t="shared" si="196"/>
        <v>0</v>
      </c>
      <c r="AB458" s="44">
        <v>0</v>
      </c>
      <c r="AC458" s="44">
        <f t="shared" si="194"/>
        <v>0</v>
      </c>
      <c r="AD458" s="44">
        <f t="shared" si="197"/>
        <v>0</v>
      </c>
      <c r="AE458" s="111">
        <f t="shared" si="198"/>
        <v>0</v>
      </c>
      <c r="AF458" s="51" t="s">
        <v>571</v>
      </c>
      <c r="AG458" s="115"/>
      <c r="AH458" s="35">
        <v>0</v>
      </c>
      <c r="AI458" s="36">
        <v>0</v>
      </c>
      <c r="AJ458" s="36">
        <v>0</v>
      </c>
      <c r="AK458" s="36"/>
      <c r="AL458" s="36">
        <v>0</v>
      </c>
      <c r="AM458" s="36">
        <v>0</v>
      </c>
      <c r="AN458" s="46">
        <v>0</v>
      </c>
      <c r="AO458" s="100">
        <f t="shared" si="195"/>
        <v>0</v>
      </c>
      <c r="AP458" s="3">
        <f t="shared" si="193"/>
        <v>0</v>
      </c>
    </row>
    <row r="459" spans="1:42" x14ac:dyDescent="0.2">
      <c r="A459" s="35" t="s">
        <v>713</v>
      </c>
      <c r="B459" s="37" t="s">
        <v>554</v>
      </c>
      <c r="C459" s="37" t="s">
        <v>571</v>
      </c>
      <c r="D459" s="52"/>
      <c r="E459" s="38" t="s">
        <v>790</v>
      </c>
      <c r="F459" s="36" t="s">
        <v>564</v>
      </c>
      <c r="G459" s="36" t="s">
        <v>730</v>
      </c>
      <c r="H459" s="39">
        <v>0</v>
      </c>
      <c r="I459" s="40">
        <v>0</v>
      </c>
      <c r="J459" s="39">
        <v>0</v>
      </c>
      <c r="K459" s="40">
        <v>0</v>
      </c>
      <c r="L459" s="37" t="s">
        <v>571</v>
      </c>
      <c r="M459" s="41">
        <v>351.86</v>
      </c>
      <c r="N459" s="42">
        <v>0</v>
      </c>
      <c r="O459" s="36">
        <v>100</v>
      </c>
      <c r="P459" s="41">
        <f t="shared" si="199"/>
        <v>35186</v>
      </c>
      <c r="Q459" s="36">
        <v>0</v>
      </c>
      <c r="R459" s="43">
        <f>O459-Q459</f>
        <v>100</v>
      </c>
      <c r="S459" s="43">
        <f t="shared" si="200"/>
        <v>0</v>
      </c>
      <c r="T459" s="41">
        <f t="shared" si="201"/>
        <v>0</v>
      </c>
      <c r="U459" s="44">
        <f>O459</f>
        <v>100</v>
      </c>
      <c r="V459" s="45">
        <f t="shared" si="202"/>
        <v>35186</v>
      </c>
      <c r="W459" s="36">
        <v>100</v>
      </c>
      <c r="X459" s="86">
        <v>35186</v>
      </c>
      <c r="Y459" s="199">
        <v>0</v>
      </c>
      <c r="Z459" s="44">
        <v>0</v>
      </c>
      <c r="AA459" s="41">
        <f t="shared" si="196"/>
        <v>0</v>
      </c>
      <c r="AB459" s="44">
        <v>0</v>
      </c>
      <c r="AC459" s="44">
        <f t="shared" si="194"/>
        <v>0</v>
      </c>
      <c r="AD459" s="44">
        <f t="shared" si="197"/>
        <v>0</v>
      </c>
      <c r="AE459" s="111">
        <f t="shared" si="198"/>
        <v>0</v>
      </c>
      <c r="AF459" s="51" t="s">
        <v>571</v>
      </c>
      <c r="AG459" s="115"/>
      <c r="AH459" s="35">
        <v>0</v>
      </c>
      <c r="AI459" s="36">
        <v>0</v>
      </c>
      <c r="AJ459" s="36">
        <v>0</v>
      </c>
      <c r="AK459" s="36"/>
      <c r="AL459" s="36">
        <v>0</v>
      </c>
      <c r="AM459" s="36">
        <v>0</v>
      </c>
      <c r="AN459" s="46">
        <v>0</v>
      </c>
      <c r="AO459" s="100">
        <f t="shared" si="195"/>
        <v>0</v>
      </c>
      <c r="AP459" s="3">
        <f t="shared" si="193"/>
        <v>0</v>
      </c>
    </row>
    <row r="460" spans="1:42" x14ac:dyDescent="0.2">
      <c r="A460" s="49" t="s">
        <v>880</v>
      </c>
      <c r="B460" s="157" t="s">
        <v>562</v>
      </c>
      <c r="C460" s="37" t="s">
        <v>571</v>
      </c>
      <c r="D460" s="52"/>
      <c r="E460" s="38" t="s">
        <v>1014</v>
      </c>
      <c r="F460" s="36" t="s">
        <v>555</v>
      </c>
      <c r="G460" s="36" t="s">
        <v>636</v>
      </c>
      <c r="H460" s="39"/>
      <c r="I460" s="40"/>
      <c r="J460" s="39"/>
      <c r="K460" s="40"/>
      <c r="L460" s="51"/>
      <c r="M460" s="41">
        <v>2333.3399999999997</v>
      </c>
      <c r="N460" s="41"/>
      <c r="O460" s="36"/>
      <c r="P460" s="41"/>
      <c r="Q460" s="36"/>
      <c r="R460" s="43"/>
      <c r="S460" s="43"/>
      <c r="T460" s="41"/>
      <c r="U460" s="44"/>
      <c r="V460" s="45"/>
      <c r="W460" s="36">
        <v>15</v>
      </c>
      <c r="X460" s="86">
        <v>35000.1</v>
      </c>
      <c r="Y460" s="199">
        <v>0</v>
      </c>
      <c r="Z460" s="44">
        <v>0</v>
      </c>
      <c r="AA460" s="41">
        <f t="shared" si="196"/>
        <v>0</v>
      </c>
      <c r="AB460" s="44">
        <v>0</v>
      </c>
      <c r="AC460" s="44">
        <f t="shared" si="194"/>
        <v>0</v>
      </c>
      <c r="AD460" s="44">
        <f t="shared" si="197"/>
        <v>0</v>
      </c>
      <c r="AE460" s="111">
        <f t="shared" si="198"/>
        <v>0</v>
      </c>
      <c r="AF460" s="51" t="s">
        <v>571</v>
      </c>
      <c r="AG460" s="115"/>
      <c r="AH460" s="35">
        <v>0</v>
      </c>
      <c r="AI460" s="36">
        <v>0</v>
      </c>
      <c r="AJ460" s="36">
        <v>0</v>
      </c>
      <c r="AK460" s="36"/>
      <c r="AL460" s="36">
        <v>0</v>
      </c>
      <c r="AM460" s="36">
        <v>0</v>
      </c>
      <c r="AN460" s="46">
        <v>0</v>
      </c>
      <c r="AO460" s="100">
        <f t="shared" si="195"/>
        <v>0</v>
      </c>
      <c r="AP460" s="3">
        <f t="shared" si="193"/>
        <v>0</v>
      </c>
    </row>
    <row r="461" spans="1:42" x14ac:dyDescent="0.2">
      <c r="A461" s="49" t="s">
        <v>882</v>
      </c>
      <c r="B461" s="37" t="s">
        <v>554</v>
      </c>
      <c r="C461" s="37" t="s">
        <v>571</v>
      </c>
      <c r="D461" s="52"/>
      <c r="E461" s="38" t="s">
        <v>803</v>
      </c>
      <c r="F461" s="36" t="s">
        <v>560</v>
      </c>
      <c r="G461" s="36" t="s">
        <v>973</v>
      </c>
      <c r="H461" s="39"/>
      <c r="I461" s="40"/>
      <c r="J461" s="39"/>
      <c r="K461" s="40"/>
      <c r="L461" s="51"/>
      <c r="M461" s="41">
        <v>1750</v>
      </c>
      <c r="N461" s="41"/>
      <c r="O461" s="36"/>
      <c r="P461" s="41"/>
      <c r="Q461" s="36"/>
      <c r="R461" s="43"/>
      <c r="S461" s="43"/>
      <c r="T461" s="41"/>
      <c r="U461" s="44"/>
      <c r="V461" s="45"/>
      <c r="W461" s="36">
        <v>20</v>
      </c>
      <c r="X461" s="86">
        <v>35000</v>
      </c>
      <c r="Y461" s="199">
        <v>0</v>
      </c>
      <c r="Z461" s="44">
        <v>0</v>
      </c>
      <c r="AA461" s="41">
        <f t="shared" si="196"/>
        <v>0</v>
      </c>
      <c r="AB461" s="44">
        <v>0</v>
      </c>
      <c r="AC461" s="44">
        <f t="shared" si="194"/>
        <v>0</v>
      </c>
      <c r="AD461" s="44">
        <f t="shared" si="197"/>
        <v>0</v>
      </c>
      <c r="AE461" s="111">
        <f t="shared" si="198"/>
        <v>0</v>
      </c>
      <c r="AF461" s="51" t="s">
        <v>571</v>
      </c>
      <c r="AG461" s="115"/>
      <c r="AH461" s="35">
        <v>0</v>
      </c>
      <c r="AI461" s="36">
        <v>0</v>
      </c>
      <c r="AJ461" s="36">
        <v>0</v>
      </c>
      <c r="AK461" s="36"/>
      <c r="AL461" s="36">
        <v>0</v>
      </c>
      <c r="AM461" s="36">
        <v>0</v>
      </c>
      <c r="AN461" s="46">
        <v>0</v>
      </c>
      <c r="AO461" s="100">
        <f t="shared" si="195"/>
        <v>0</v>
      </c>
      <c r="AP461" s="3">
        <f t="shared" si="193"/>
        <v>0</v>
      </c>
    </row>
    <row r="462" spans="1:42" x14ac:dyDescent="0.2">
      <c r="A462" s="49" t="s">
        <v>883</v>
      </c>
      <c r="B462" s="37" t="s">
        <v>554</v>
      </c>
      <c r="C462" s="37" t="s">
        <v>571</v>
      </c>
      <c r="D462" s="52"/>
      <c r="E462" s="38" t="s">
        <v>803</v>
      </c>
      <c r="F462" s="36" t="s">
        <v>560</v>
      </c>
      <c r="G462" s="36" t="s">
        <v>973</v>
      </c>
      <c r="H462" s="39"/>
      <c r="I462" s="40"/>
      <c r="J462" s="39"/>
      <c r="K462" s="40"/>
      <c r="L462" s="51"/>
      <c r="M462" s="41">
        <v>1750</v>
      </c>
      <c r="N462" s="41"/>
      <c r="O462" s="36"/>
      <c r="P462" s="41"/>
      <c r="Q462" s="36"/>
      <c r="R462" s="43"/>
      <c r="S462" s="43"/>
      <c r="T462" s="41"/>
      <c r="U462" s="44"/>
      <c r="V462" s="45"/>
      <c r="W462" s="36">
        <v>20</v>
      </c>
      <c r="X462" s="86">
        <v>35000</v>
      </c>
      <c r="Y462" s="199">
        <v>0</v>
      </c>
      <c r="Z462" s="44">
        <v>0</v>
      </c>
      <c r="AA462" s="41">
        <f t="shared" si="196"/>
        <v>0</v>
      </c>
      <c r="AB462" s="44">
        <v>0</v>
      </c>
      <c r="AC462" s="44">
        <f t="shared" si="194"/>
        <v>0</v>
      </c>
      <c r="AD462" s="44">
        <f t="shared" si="197"/>
        <v>0</v>
      </c>
      <c r="AE462" s="111">
        <f t="shared" si="198"/>
        <v>0</v>
      </c>
      <c r="AF462" s="51" t="s">
        <v>571</v>
      </c>
      <c r="AG462" s="115"/>
      <c r="AH462" s="35">
        <v>0</v>
      </c>
      <c r="AI462" s="36">
        <v>0</v>
      </c>
      <c r="AJ462" s="36">
        <v>0</v>
      </c>
      <c r="AK462" s="36"/>
      <c r="AL462" s="36">
        <v>0</v>
      </c>
      <c r="AM462" s="36">
        <v>0</v>
      </c>
      <c r="AN462" s="46">
        <v>0</v>
      </c>
      <c r="AO462" s="100">
        <f t="shared" si="195"/>
        <v>0</v>
      </c>
      <c r="AP462" s="3">
        <f t="shared" si="193"/>
        <v>0</v>
      </c>
    </row>
    <row r="463" spans="1:42" x14ac:dyDescent="0.2">
      <c r="A463" s="35" t="s">
        <v>398</v>
      </c>
      <c r="B463" s="37" t="s">
        <v>565</v>
      </c>
      <c r="C463" s="37" t="s">
        <v>571</v>
      </c>
      <c r="D463" s="52"/>
      <c r="E463" s="38" t="s">
        <v>594</v>
      </c>
      <c r="F463" s="36" t="s">
        <v>555</v>
      </c>
      <c r="G463" s="36" t="s">
        <v>624</v>
      </c>
      <c r="H463" s="39">
        <v>11</v>
      </c>
      <c r="I463" s="40">
        <v>12639</v>
      </c>
      <c r="J463" s="39">
        <v>0</v>
      </c>
      <c r="K463" s="40">
        <v>0</v>
      </c>
      <c r="L463" s="37" t="s">
        <v>571</v>
      </c>
      <c r="M463" s="41">
        <v>1400</v>
      </c>
      <c r="N463" s="42">
        <v>0</v>
      </c>
      <c r="O463" s="36">
        <v>25</v>
      </c>
      <c r="P463" s="41">
        <f>(N463+O463)*M463</f>
        <v>35000</v>
      </c>
      <c r="Q463" s="36">
        <v>0</v>
      </c>
      <c r="R463" s="43">
        <f>O463-Q463</f>
        <v>25</v>
      </c>
      <c r="S463" s="43">
        <f>U463-O463</f>
        <v>0</v>
      </c>
      <c r="T463" s="41">
        <f>S463*M463</f>
        <v>0</v>
      </c>
      <c r="U463" s="44">
        <f>O463</f>
        <v>25</v>
      </c>
      <c r="V463" s="45">
        <f>U463*M463</f>
        <v>35000</v>
      </c>
      <c r="W463" s="36">
        <v>25</v>
      </c>
      <c r="X463" s="86">
        <v>35000</v>
      </c>
      <c r="Y463" s="199">
        <v>0</v>
      </c>
      <c r="Z463" s="44">
        <v>0</v>
      </c>
      <c r="AA463" s="41">
        <f t="shared" si="196"/>
        <v>0</v>
      </c>
      <c r="AB463" s="44">
        <v>0</v>
      </c>
      <c r="AC463" s="44">
        <f t="shared" si="194"/>
        <v>0</v>
      </c>
      <c r="AD463" s="44">
        <f t="shared" si="197"/>
        <v>0</v>
      </c>
      <c r="AE463" s="111">
        <f t="shared" si="198"/>
        <v>0</v>
      </c>
      <c r="AF463" s="51" t="s">
        <v>571</v>
      </c>
      <c r="AG463" s="115"/>
      <c r="AH463" s="35">
        <v>0</v>
      </c>
      <c r="AI463" s="36">
        <v>0</v>
      </c>
      <c r="AJ463" s="36">
        <v>0</v>
      </c>
      <c r="AK463" s="36"/>
      <c r="AL463" s="36">
        <v>0</v>
      </c>
      <c r="AM463" s="36">
        <v>0</v>
      </c>
      <c r="AN463" s="46">
        <v>0</v>
      </c>
      <c r="AO463" s="100">
        <f t="shared" si="195"/>
        <v>0</v>
      </c>
      <c r="AP463" s="3">
        <f t="shared" si="193"/>
        <v>0</v>
      </c>
    </row>
    <row r="464" spans="1:42" x14ac:dyDescent="0.2">
      <c r="A464" s="35" t="s">
        <v>412</v>
      </c>
      <c r="B464" s="157" t="s">
        <v>562</v>
      </c>
      <c r="C464" s="37" t="s">
        <v>571</v>
      </c>
      <c r="D464" s="52"/>
      <c r="E464" s="38" t="s">
        <v>758</v>
      </c>
      <c r="F464" s="36" t="s">
        <v>555</v>
      </c>
      <c r="G464" s="36" t="s">
        <v>583</v>
      </c>
      <c r="H464" s="39">
        <v>0</v>
      </c>
      <c r="I464" s="40">
        <v>0</v>
      </c>
      <c r="J464" s="39">
        <v>0</v>
      </c>
      <c r="K464" s="40">
        <v>0</v>
      </c>
      <c r="L464" s="37" t="s">
        <v>571</v>
      </c>
      <c r="M464" s="41">
        <v>140</v>
      </c>
      <c r="N464" s="42">
        <v>0</v>
      </c>
      <c r="O464" s="36">
        <v>250</v>
      </c>
      <c r="P464" s="41">
        <f>(N464+O464)*M464</f>
        <v>35000</v>
      </c>
      <c r="Q464" s="36">
        <v>0</v>
      </c>
      <c r="R464" s="43">
        <f>O464-Q464</f>
        <v>250</v>
      </c>
      <c r="S464" s="43">
        <f>U464-O464</f>
        <v>0</v>
      </c>
      <c r="T464" s="41">
        <f>S464*M464</f>
        <v>0</v>
      </c>
      <c r="U464" s="44">
        <f>O464</f>
        <v>250</v>
      </c>
      <c r="V464" s="45">
        <f>U464*M464</f>
        <v>35000</v>
      </c>
      <c r="W464" s="36">
        <v>250</v>
      </c>
      <c r="X464" s="86">
        <v>35000</v>
      </c>
      <c r="Y464" s="199">
        <v>0</v>
      </c>
      <c r="Z464" s="44">
        <v>0</v>
      </c>
      <c r="AA464" s="41">
        <f t="shared" si="196"/>
        <v>0</v>
      </c>
      <c r="AB464" s="44">
        <v>0</v>
      </c>
      <c r="AC464" s="44">
        <f t="shared" si="194"/>
        <v>0</v>
      </c>
      <c r="AD464" s="44">
        <f t="shared" si="197"/>
        <v>0</v>
      </c>
      <c r="AE464" s="111">
        <f t="shared" si="198"/>
        <v>0</v>
      </c>
      <c r="AF464" s="51" t="s">
        <v>571</v>
      </c>
      <c r="AG464" s="115"/>
      <c r="AH464" s="35">
        <v>0</v>
      </c>
      <c r="AI464" s="36">
        <v>0</v>
      </c>
      <c r="AJ464" s="36">
        <v>0</v>
      </c>
      <c r="AK464" s="36"/>
      <c r="AL464" s="36">
        <v>0</v>
      </c>
      <c r="AM464" s="36">
        <v>0</v>
      </c>
      <c r="AN464" s="46">
        <v>0</v>
      </c>
      <c r="AO464" s="100">
        <f t="shared" si="195"/>
        <v>0</v>
      </c>
      <c r="AP464" s="3">
        <f t="shared" si="193"/>
        <v>0</v>
      </c>
    </row>
    <row r="465" spans="1:42" x14ac:dyDescent="0.2">
      <c r="A465" s="49" t="s">
        <v>881</v>
      </c>
      <c r="B465" s="157" t="s">
        <v>562</v>
      </c>
      <c r="C465" s="37" t="s">
        <v>571</v>
      </c>
      <c r="D465" s="52"/>
      <c r="E465" s="38" t="s">
        <v>773</v>
      </c>
      <c r="F465" s="36" t="s">
        <v>555</v>
      </c>
      <c r="G465" s="36" t="s">
        <v>645</v>
      </c>
      <c r="H465" s="39"/>
      <c r="I465" s="40"/>
      <c r="J465" s="39"/>
      <c r="K465" s="40"/>
      <c r="L465" s="51"/>
      <c r="M465" s="41">
        <v>3500</v>
      </c>
      <c r="N465" s="41"/>
      <c r="O465" s="36"/>
      <c r="P465" s="41"/>
      <c r="Q465" s="36"/>
      <c r="R465" s="43"/>
      <c r="S465" s="43"/>
      <c r="T465" s="41"/>
      <c r="U465" s="44"/>
      <c r="V465" s="45"/>
      <c r="W465" s="36">
        <v>10</v>
      </c>
      <c r="X465" s="86">
        <v>35000</v>
      </c>
      <c r="Y465" s="199">
        <v>0</v>
      </c>
      <c r="Z465" s="44">
        <v>0</v>
      </c>
      <c r="AA465" s="41">
        <f t="shared" si="196"/>
        <v>0</v>
      </c>
      <c r="AB465" s="44">
        <v>0</v>
      </c>
      <c r="AC465" s="44">
        <f t="shared" si="194"/>
        <v>0</v>
      </c>
      <c r="AD465" s="44">
        <f t="shared" si="197"/>
        <v>0</v>
      </c>
      <c r="AE465" s="111">
        <f t="shared" si="198"/>
        <v>0</v>
      </c>
      <c r="AF465" s="51" t="s">
        <v>571</v>
      </c>
      <c r="AG465" s="115"/>
      <c r="AH465" s="35">
        <v>0</v>
      </c>
      <c r="AI465" s="36">
        <v>0</v>
      </c>
      <c r="AJ465" s="36">
        <v>0</v>
      </c>
      <c r="AK465" s="36"/>
      <c r="AL465" s="36">
        <v>0</v>
      </c>
      <c r="AM465" s="36">
        <v>0</v>
      </c>
      <c r="AN465" s="46">
        <v>0</v>
      </c>
      <c r="AO465" s="100">
        <f t="shared" si="195"/>
        <v>0</v>
      </c>
      <c r="AP465" s="3">
        <f t="shared" si="193"/>
        <v>0</v>
      </c>
    </row>
    <row r="466" spans="1:42" x14ac:dyDescent="0.2">
      <c r="A466" s="49" t="s">
        <v>884</v>
      </c>
      <c r="B466" s="37" t="s">
        <v>562</v>
      </c>
      <c r="C466" s="37" t="s">
        <v>571</v>
      </c>
      <c r="D466" s="52"/>
      <c r="E466" s="38" t="s">
        <v>1013</v>
      </c>
      <c r="F466" s="36" t="s">
        <v>555</v>
      </c>
      <c r="G466" s="36" t="s">
        <v>624</v>
      </c>
      <c r="H466" s="39"/>
      <c r="I466" s="40"/>
      <c r="J466" s="39"/>
      <c r="K466" s="40"/>
      <c r="L466" s="51"/>
      <c r="M466" s="41">
        <v>777.77</v>
      </c>
      <c r="N466" s="41"/>
      <c r="O466" s="36"/>
      <c r="P466" s="41"/>
      <c r="Q466" s="36"/>
      <c r="R466" s="43"/>
      <c r="S466" s="43"/>
      <c r="T466" s="41"/>
      <c r="U466" s="44"/>
      <c r="V466" s="45"/>
      <c r="W466" s="36">
        <v>45</v>
      </c>
      <c r="X466" s="86">
        <v>34999.65</v>
      </c>
      <c r="Y466" s="199">
        <v>0</v>
      </c>
      <c r="Z466" s="44">
        <v>0</v>
      </c>
      <c r="AA466" s="41">
        <f t="shared" si="196"/>
        <v>0</v>
      </c>
      <c r="AB466" s="44">
        <v>0</v>
      </c>
      <c r="AC466" s="44">
        <f t="shared" si="194"/>
        <v>0</v>
      </c>
      <c r="AD466" s="44">
        <f t="shared" si="197"/>
        <v>0</v>
      </c>
      <c r="AE466" s="111">
        <f t="shared" si="198"/>
        <v>0</v>
      </c>
      <c r="AF466" s="51" t="s">
        <v>571</v>
      </c>
      <c r="AG466" s="115"/>
      <c r="AH466" s="35">
        <v>0</v>
      </c>
      <c r="AI466" s="36">
        <v>0</v>
      </c>
      <c r="AJ466" s="36">
        <v>0</v>
      </c>
      <c r="AK466" s="36"/>
      <c r="AL466" s="36">
        <v>0</v>
      </c>
      <c r="AM466" s="36">
        <v>0</v>
      </c>
      <c r="AN466" s="46">
        <v>0</v>
      </c>
      <c r="AO466" s="100">
        <f t="shared" si="195"/>
        <v>0</v>
      </c>
      <c r="AP466" s="3">
        <f t="shared" si="193"/>
        <v>0</v>
      </c>
    </row>
    <row r="467" spans="1:42" x14ac:dyDescent="0.2">
      <c r="A467" s="35" t="s">
        <v>736</v>
      </c>
      <c r="B467" s="37" t="s">
        <v>556</v>
      </c>
      <c r="C467" s="37" t="s">
        <v>571</v>
      </c>
      <c r="D467" s="52"/>
      <c r="E467" s="38" t="s">
        <v>810</v>
      </c>
      <c r="F467" s="36" t="s">
        <v>558</v>
      </c>
      <c r="G467" s="36" t="s">
        <v>584</v>
      </c>
      <c r="H467" s="39">
        <v>288</v>
      </c>
      <c r="I467" s="40">
        <v>57600</v>
      </c>
      <c r="J467" s="39">
        <v>128</v>
      </c>
      <c r="K467" s="40">
        <v>25600</v>
      </c>
      <c r="L467" s="37" t="s">
        <v>571</v>
      </c>
      <c r="M467" s="41">
        <v>200</v>
      </c>
      <c r="N467" s="42">
        <v>158</v>
      </c>
      <c r="O467" s="36">
        <v>0</v>
      </c>
      <c r="P467" s="41">
        <f t="shared" ref="P467:P474" si="203">(N467+O467)*M467</f>
        <v>31600</v>
      </c>
      <c r="Q467" s="36">
        <v>0</v>
      </c>
      <c r="R467" s="43"/>
      <c r="S467" s="43">
        <f t="shared" ref="S467:S474" si="204">U467-O467</f>
        <v>0</v>
      </c>
      <c r="T467" s="41">
        <f t="shared" ref="T467:T474" si="205">S467*M467</f>
        <v>0</v>
      </c>
      <c r="U467" s="44">
        <f>O467</f>
        <v>0</v>
      </c>
      <c r="V467" s="45">
        <f t="shared" ref="V467:V474" si="206">U467*M467</f>
        <v>0</v>
      </c>
      <c r="W467" s="36">
        <v>158</v>
      </c>
      <c r="X467" s="86">
        <v>31600</v>
      </c>
      <c r="Y467" s="199">
        <v>0</v>
      </c>
      <c r="Z467" s="44">
        <v>0</v>
      </c>
      <c r="AA467" s="41">
        <f t="shared" si="196"/>
        <v>0</v>
      </c>
      <c r="AB467" s="44">
        <v>0</v>
      </c>
      <c r="AC467" s="44">
        <f t="shared" si="194"/>
        <v>0</v>
      </c>
      <c r="AD467" s="44">
        <f t="shared" si="197"/>
        <v>0</v>
      </c>
      <c r="AE467" s="111">
        <f t="shared" si="198"/>
        <v>0</v>
      </c>
      <c r="AF467" s="51" t="s">
        <v>571</v>
      </c>
      <c r="AG467" s="115"/>
      <c r="AH467" s="35">
        <v>0</v>
      </c>
      <c r="AI467" s="36">
        <v>0</v>
      </c>
      <c r="AJ467" s="36">
        <v>0</v>
      </c>
      <c r="AK467" s="36"/>
      <c r="AL467" s="36">
        <v>0</v>
      </c>
      <c r="AM467" s="36">
        <v>0</v>
      </c>
      <c r="AN467" s="46">
        <v>0</v>
      </c>
      <c r="AO467" s="100">
        <f t="shared" si="195"/>
        <v>0</v>
      </c>
      <c r="AP467" s="3">
        <f t="shared" si="193"/>
        <v>0</v>
      </c>
    </row>
    <row r="468" spans="1:42" x14ac:dyDescent="0.2">
      <c r="A468" s="35" t="s">
        <v>270</v>
      </c>
      <c r="B468" s="37" t="s">
        <v>562</v>
      </c>
      <c r="C468" s="37" t="s">
        <v>571</v>
      </c>
      <c r="D468" s="52"/>
      <c r="E468" s="38" t="s">
        <v>803</v>
      </c>
      <c r="F468" s="36" t="s">
        <v>560</v>
      </c>
      <c r="G468" s="36" t="s">
        <v>622</v>
      </c>
      <c r="H468" s="39">
        <v>0</v>
      </c>
      <c r="I468" s="40">
        <v>0</v>
      </c>
      <c r="J468" s="39">
        <v>50</v>
      </c>
      <c r="K468" s="40">
        <v>31250</v>
      </c>
      <c r="L468" s="37" t="s">
        <v>571</v>
      </c>
      <c r="M468" s="41">
        <v>625</v>
      </c>
      <c r="N468" s="42">
        <v>0</v>
      </c>
      <c r="O468" s="36">
        <v>50</v>
      </c>
      <c r="P468" s="41">
        <f t="shared" si="203"/>
        <v>31250</v>
      </c>
      <c r="Q468" s="36">
        <v>0</v>
      </c>
      <c r="R468" s="43">
        <f t="shared" ref="R468:R473" si="207">O468-Q468</f>
        <v>50</v>
      </c>
      <c r="S468" s="43">
        <f t="shared" si="204"/>
        <v>0</v>
      </c>
      <c r="T468" s="41">
        <f t="shared" si="205"/>
        <v>0</v>
      </c>
      <c r="U468" s="44">
        <v>50</v>
      </c>
      <c r="V468" s="45">
        <f t="shared" si="206"/>
        <v>31250</v>
      </c>
      <c r="W468" s="36">
        <v>50</v>
      </c>
      <c r="X468" s="86">
        <v>31250</v>
      </c>
      <c r="Y468" s="199">
        <v>0</v>
      </c>
      <c r="Z468" s="44">
        <v>0</v>
      </c>
      <c r="AA468" s="41">
        <f t="shared" si="196"/>
        <v>0</v>
      </c>
      <c r="AB468" s="44">
        <v>0</v>
      </c>
      <c r="AC468" s="44">
        <f t="shared" si="194"/>
        <v>0</v>
      </c>
      <c r="AD468" s="44">
        <f t="shared" si="197"/>
        <v>0</v>
      </c>
      <c r="AE468" s="111">
        <f t="shared" si="198"/>
        <v>0</v>
      </c>
      <c r="AF468" s="51" t="s">
        <v>571</v>
      </c>
      <c r="AG468" s="115"/>
      <c r="AH468" s="35">
        <v>0</v>
      </c>
      <c r="AI468" s="36">
        <v>0</v>
      </c>
      <c r="AJ468" s="36">
        <v>0</v>
      </c>
      <c r="AK468" s="36"/>
      <c r="AL468" s="36">
        <v>0</v>
      </c>
      <c r="AM468" s="36">
        <v>0</v>
      </c>
      <c r="AN468" s="46">
        <v>0</v>
      </c>
      <c r="AO468" s="100">
        <f t="shared" si="195"/>
        <v>0</v>
      </c>
      <c r="AP468" s="3">
        <f t="shared" si="193"/>
        <v>0</v>
      </c>
    </row>
    <row r="469" spans="1:42" x14ac:dyDescent="0.2">
      <c r="A469" s="35" t="s">
        <v>266</v>
      </c>
      <c r="B469" s="37" t="s">
        <v>562</v>
      </c>
      <c r="C469" s="37" t="s">
        <v>571</v>
      </c>
      <c r="D469" s="52"/>
      <c r="E469" s="38" t="s">
        <v>804</v>
      </c>
      <c r="F469" s="36" t="s">
        <v>563</v>
      </c>
      <c r="G469" s="36" t="s">
        <v>652</v>
      </c>
      <c r="H469" s="39">
        <v>0</v>
      </c>
      <c r="I469" s="40">
        <v>0</v>
      </c>
      <c r="J469" s="39">
        <v>6</v>
      </c>
      <c r="K469" s="40">
        <v>2525.46</v>
      </c>
      <c r="L469" s="37" t="s">
        <v>571</v>
      </c>
      <c r="M469" s="41">
        <v>298.35000000000002</v>
      </c>
      <c r="N469" s="42">
        <v>0</v>
      </c>
      <c r="O469" s="36">
        <v>100</v>
      </c>
      <c r="P469" s="41">
        <f t="shared" si="203"/>
        <v>29835.000000000004</v>
      </c>
      <c r="Q469" s="36">
        <v>0</v>
      </c>
      <c r="R469" s="43">
        <f t="shared" si="207"/>
        <v>100</v>
      </c>
      <c r="S469" s="43">
        <f t="shared" si="204"/>
        <v>0</v>
      </c>
      <c r="T469" s="41">
        <f t="shared" si="205"/>
        <v>0</v>
      </c>
      <c r="U469" s="44">
        <v>100</v>
      </c>
      <c r="V469" s="45">
        <f t="shared" si="206"/>
        <v>29835.000000000004</v>
      </c>
      <c r="W469" s="36">
        <v>100</v>
      </c>
      <c r="X469" s="86">
        <v>29835</v>
      </c>
      <c r="Y469" s="199">
        <v>0</v>
      </c>
      <c r="Z469" s="44">
        <v>0</v>
      </c>
      <c r="AA469" s="41">
        <f t="shared" si="196"/>
        <v>0</v>
      </c>
      <c r="AB469" s="44">
        <v>0</v>
      </c>
      <c r="AC469" s="44">
        <f t="shared" si="194"/>
        <v>0</v>
      </c>
      <c r="AD469" s="44">
        <f t="shared" si="197"/>
        <v>0</v>
      </c>
      <c r="AE469" s="111">
        <f t="shared" si="198"/>
        <v>0</v>
      </c>
      <c r="AF469" s="51" t="s">
        <v>571</v>
      </c>
      <c r="AG469" s="115"/>
      <c r="AH469" s="35">
        <v>0</v>
      </c>
      <c r="AI469" s="36">
        <v>0</v>
      </c>
      <c r="AJ469" s="36">
        <v>0</v>
      </c>
      <c r="AK469" s="36"/>
      <c r="AL469" s="36">
        <v>0</v>
      </c>
      <c r="AM469" s="36">
        <v>0</v>
      </c>
      <c r="AN469" s="46">
        <v>0</v>
      </c>
      <c r="AO469" s="100">
        <f t="shared" si="195"/>
        <v>0</v>
      </c>
      <c r="AP469" s="3">
        <f t="shared" si="193"/>
        <v>0</v>
      </c>
    </row>
    <row r="470" spans="1:42" x14ac:dyDescent="0.2">
      <c r="A470" s="35" t="s">
        <v>195</v>
      </c>
      <c r="B470" s="37" t="s">
        <v>565</v>
      </c>
      <c r="C470" s="37" t="s">
        <v>578</v>
      </c>
      <c r="D470" s="52">
        <v>46022</v>
      </c>
      <c r="E470" s="38" t="s">
        <v>764</v>
      </c>
      <c r="F470" s="36" t="s">
        <v>559</v>
      </c>
      <c r="G470" s="36" t="s">
        <v>653</v>
      </c>
      <c r="H470" s="39">
        <v>0</v>
      </c>
      <c r="I470" s="40">
        <v>0</v>
      </c>
      <c r="J470" s="39">
        <v>0</v>
      </c>
      <c r="K470" s="40">
        <v>0</v>
      </c>
      <c r="L470" s="37" t="s">
        <v>571</v>
      </c>
      <c r="M470" s="41">
        <v>196.91</v>
      </c>
      <c r="N470" s="42">
        <v>0</v>
      </c>
      <c r="O470" s="36">
        <v>150</v>
      </c>
      <c r="P470" s="41">
        <f t="shared" si="203"/>
        <v>29536.5</v>
      </c>
      <c r="Q470" s="36">
        <v>0</v>
      </c>
      <c r="R470" s="43">
        <f t="shared" si="207"/>
        <v>150</v>
      </c>
      <c r="S470" s="43">
        <f t="shared" si="204"/>
        <v>0</v>
      </c>
      <c r="T470" s="41">
        <f t="shared" si="205"/>
        <v>0</v>
      </c>
      <c r="U470" s="44">
        <v>150</v>
      </c>
      <c r="V470" s="45">
        <f t="shared" si="206"/>
        <v>29536.5</v>
      </c>
      <c r="W470" s="36">
        <v>150</v>
      </c>
      <c r="X470" s="86">
        <v>29536.5</v>
      </c>
      <c r="Y470" s="199">
        <v>0</v>
      </c>
      <c r="Z470" s="44">
        <v>0</v>
      </c>
      <c r="AA470" s="41">
        <f t="shared" si="196"/>
        <v>0</v>
      </c>
      <c r="AB470" s="44">
        <v>0</v>
      </c>
      <c r="AC470" s="44">
        <f t="shared" si="194"/>
        <v>0</v>
      </c>
      <c r="AD470" s="44">
        <f t="shared" si="197"/>
        <v>0</v>
      </c>
      <c r="AE470" s="111">
        <f t="shared" si="198"/>
        <v>0</v>
      </c>
      <c r="AF470" s="51" t="s">
        <v>571</v>
      </c>
      <c r="AG470" s="115"/>
      <c r="AH470" s="35">
        <v>0</v>
      </c>
      <c r="AI470" s="36">
        <v>0</v>
      </c>
      <c r="AJ470" s="36">
        <v>0</v>
      </c>
      <c r="AK470" s="36"/>
      <c r="AL470" s="36">
        <v>0</v>
      </c>
      <c r="AM470" s="36">
        <v>0</v>
      </c>
      <c r="AN470" s="46">
        <v>0</v>
      </c>
      <c r="AO470" s="100">
        <f t="shared" si="195"/>
        <v>0</v>
      </c>
      <c r="AP470" s="3">
        <f t="shared" si="193"/>
        <v>0</v>
      </c>
    </row>
    <row r="471" spans="1:42" x14ac:dyDescent="0.2">
      <c r="A471" s="35" t="s">
        <v>226</v>
      </c>
      <c r="B471" s="37" t="s">
        <v>556</v>
      </c>
      <c r="C471" s="37" t="s">
        <v>578</v>
      </c>
      <c r="D471" s="52">
        <v>46387</v>
      </c>
      <c r="E471" s="38" t="s">
        <v>754</v>
      </c>
      <c r="F471" s="36" t="s">
        <v>559</v>
      </c>
      <c r="G471" s="36" t="s">
        <v>654</v>
      </c>
      <c r="H471" s="39">
        <v>680</v>
      </c>
      <c r="I471" s="40">
        <v>61575.999999999993</v>
      </c>
      <c r="J471" s="39">
        <v>1000</v>
      </c>
      <c r="K471" s="40">
        <v>46630</v>
      </c>
      <c r="L471" s="37" t="s">
        <v>571</v>
      </c>
      <c r="M471" s="41">
        <v>46.63</v>
      </c>
      <c r="N471" s="42">
        <v>0</v>
      </c>
      <c r="O471" s="36">
        <v>600</v>
      </c>
      <c r="P471" s="41">
        <f t="shared" si="203"/>
        <v>27978</v>
      </c>
      <c r="Q471" s="36">
        <v>1000</v>
      </c>
      <c r="R471" s="43">
        <f t="shared" si="207"/>
        <v>-400</v>
      </c>
      <c r="S471" s="43">
        <f t="shared" si="204"/>
        <v>0</v>
      </c>
      <c r="T471" s="41">
        <f t="shared" si="205"/>
        <v>0</v>
      </c>
      <c r="U471" s="44">
        <v>600</v>
      </c>
      <c r="V471" s="45">
        <f t="shared" si="206"/>
        <v>27978</v>
      </c>
      <c r="W471" s="36">
        <v>600</v>
      </c>
      <c r="X471" s="86">
        <v>27978</v>
      </c>
      <c r="Y471" s="199">
        <v>0</v>
      </c>
      <c r="Z471" s="44">
        <v>0</v>
      </c>
      <c r="AA471" s="41">
        <f t="shared" si="196"/>
        <v>0</v>
      </c>
      <c r="AB471" s="44">
        <v>0</v>
      </c>
      <c r="AC471" s="44">
        <f t="shared" si="194"/>
        <v>0</v>
      </c>
      <c r="AD471" s="44">
        <f t="shared" si="197"/>
        <v>0</v>
      </c>
      <c r="AE471" s="111">
        <f t="shared" si="198"/>
        <v>0</v>
      </c>
      <c r="AF471" s="51" t="s">
        <v>571</v>
      </c>
      <c r="AG471" s="115"/>
      <c r="AH471" s="35">
        <v>0</v>
      </c>
      <c r="AI471" s="36">
        <v>0</v>
      </c>
      <c r="AJ471" s="36">
        <v>0</v>
      </c>
      <c r="AK471" s="36"/>
      <c r="AL471" s="36">
        <v>0</v>
      </c>
      <c r="AM471" s="36">
        <v>0</v>
      </c>
      <c r="AN471" s="46">
        <v>0</v>
      </c>
      <c r="AO471" s="100">
        <f t="shared" si="195"/>
        <v>0</v>
      </c>
      <c r="AP471" s="3">
        <f t="shared" si="193"/>
        <v>0</v>
      </c>
    </row>
    <row r="472" spans="1:42" x14ac:dyDescent="0.2">
      <c r="A472" s="35" t="s">
        <v>347</v>
      </c>
      <c r="B472" s="37" t="s">
        <v>565</v>
      </c>
      <c r="C472" s="37" t="s">
        <v>578</v>
      </c>
      <c r="D472" s="52">
        <v>46022</v>
      </c>
      <c r="E472" s="38" t="s">
        <v>753</v>
      </c>
      <c r="F472" s="36" t="s">
        <v>557</v>
      </c>
      <c r="G472" s="36" t="s">
        <v>610</v>
      </c>
      <c r="H472" s="39">
        <v>0</v>
      </c>
      <c r="I472" s="40">
        <v>0</v>
      </c>
      <c r="J472" s="39">
        <v>0</v>
      </c>
      <c r="K472" s="40">
        <v>0</v>
      </c>
      <c r="L472" s="37" t="s">
        <v>571</v>
      </c>
      <c r="M472" s="41">
        <v>159</v>
      </c>
      <c r="N472" s="42">
        <v>0</v>
      </c>
      <c r="O472" s="36">
        <v>172</v>
      </c>
      <c r="P472" s="41">
        <f t="shared" si="203"/>
        <v>27348</v>
      </c>
      <c r="Q472" s="36">
        <v>172</v>
      </c>
      <c r="R472" s="43">
        <f t="shared" si="207"/>
        <v>0</v>
      </c>
      <c r="S472" s="43">
        <f t="shared" si="204"/>
        <v>0</v>
      </c>
      <c r="T472" s="41">
        <f t="shared" si="205"/>
        <v>0</v>
      </c>
      <c r="U472" s="44">
        <v>172</v>
      </c>
      <c r="V472" s="45">
        <f t="shared" si="206"/>
        <v>27348</v>
      </c>
      <c r="W472" s="36">
        <v>172</v>
      </c>
      <c r="X472" s="86">
        <v>27348</v>
      </c>
      <c r="Y472" s="199">
        <v>0</v>
      </c>
      <c r="Z472" s="44">
        <v>0</v>
      </c>
      <c r="AA472" s="41">
        <f t="shared" si="196"/>
        <v>0</v>
      </c>
      <c r="AB472" s="44">
        <v>0</v>
      </c>
      <c r="AC472" s="44">
        <f t="shared" si="194"/>
        <v>0</v>
      </c>
      <c r="AD472" s="44">
        <f t="shared" si="197"/>
        <v>0</v>
      </c>
      <c r="AE472" s="111">
        <f t="shared" si="198"/>
        <v>0</v>
      </c>
      <c r="AF472" s="51" t="s">
        <v>571</v>
      </c>
      <c r="AG472" s="115"/>
      <c r="AH472" s="35">
        <v>0</v>
      </c>
      <c r="AI472" s="36">
        <v>0</v>
      </c>
      <c r="AJ472" s="36">
        <v>0</v>
      </c>
      <c r="AK472" s="36"/>
      <c r="AL472" s="36">
        <v>0</v>
      </c>
      <c r="AM472" s="36">
        <v>0</v>
      </c>
      <c r="AN472" s="46">
        <v>0</v>
      </c>
      <c r="AO472" s="100">
        <f t="shared" si="195"/>
        <v>0</v>
      </c>
      <c r="AP472" s="3">
        <f t="shared" si="193"/>
        <v>0</v>
      </c>
    </row>
    <row r="473" spans="1:42" x14ac:dyDescent="0.2">
      <c r="A473" s="35" t="s">
        <v>404</v>
      </c>
      <c r="B473" s="157" t="s">
        <v>562</v>
      </c>
      <c r="C473" s="37" t="s">
        <v>571</v>
      </c>
      <c r="D473" s="52"/>
      <c r="E473" s="38" t="s">
        <v>594</v>
      </c>
      <c r="F473" s="36" t="s">
        <v>555</v>
      </c>
      <c r="G473" s="36" t="s">
        <v>656</v>
      </c>
      <c r="H473" s="39">
        <v>0</v>
      </c>
      <c r="I473" s="40">
        <v>0</v>
      </c>
      <c r="J473" s="39">
        <v>0</v>
      </c>
      <c r="K473" s="40">
        <v>0</v>
      </c>
      <c r="L473" s="37" t="s">
        <v>571</v>
      </c>
      <c r="M473" s="41">
        <v>2083.33</v>
      </c>
      <c r="N473" s="42">
        <v>0</v>
      </c>
      <c r="O473" s="36">
        <v>12</v>
      </c>
      <c r="P473" s="41">
        <f t="shared" si="203"/>
        <v>24999.96</v>
      </c>
      <c r="Q473" s="36">
        <v>0</v>
      </c>
      <c r="R473" s="43">
        <f t="shared" si="207"/>
        <v>12</v>
      </c>
      <c r="S473" s="43">
        <f t="shared" si="204"/>
        <v>0</v>
      </c>
      <c r="T473" s="41">
        <f t="shared" si="205"/>
        <v>0</v>
      </c>
      <c r="U473" s="44">
        <v>12</v>
      </c>
      <c r="V473" s="45">
        <f t="shared" si="206"/>
        <v>24999.96</v>
      </c>
      <c r="W473" s="36">
        <v>12</v>
      </c>
      <c r="X473" s="86">
        <v>24999.96</v>
      </c>
      <c r="Y473" s="199">
        <v>0</v>
      </c>
      <c r="Z473" s="44">
        <v>0</v>
      </c>
      <c r="AA473" s="41">
        <f t="shared" si="196"/>
        <v>0</v>
      </c>
      <c r="AB473" s="44">
        <v>0</v>
      </c>
      <c r="AC473" s="44">
        <f t="shared" si="194"/>
        <v>0</v>
      </c>
      <c r="AD473" s="44">
        <f t="shared" si="197"/>
        <v>0</v>
      </c>
      <c r="AE473" s="111">
        <f t="shared" si="198"/>
        <v>0</v>
      </c>
      <c r="AF473" s="51" t="s">
        <v>571</v>
      </c>
      <c r="AG473" s="115"/>
      <c r="AH473" s="35">
        <v>0</v>
      </c>
      <c r="AI473" s="36">
        <v>0</v>
      </c>
      <c r="AJ473" s="36">
        <v>0</v>
      </c>
      <c r="AK473" s="36"/>
      <c r="AL473" s="36">
        <v>0</v>
      </c>
      <c r="AM473" s="36">
        <v>0</v>
      </c>
      <c r="AN473" s="46">
        <v>0</v>
      </c>
      <c r="AO473" s="100">
        <f t="shared" si="195"/>
        <v>0</v>
      </c>
      <c r="AP473" s="3">
        <f t="shared" si="193"/>
        <v>0</v>
      </c>
    </row>
    <row r="474" spans="1:42" x14ac:dyDescent="0.2">
      <c r="A474" s="35" t="s">
        <v>738</v>
      </c>
      <c r="B474" s="37" t="s">
        <v>556</v>
      </c>
      <c r="C474" s="37" t="s">
        <v>578</v>
      </c>
      <c r="D474" s="52">
        <v>46022</v>
      </c>
      <c r="E474" s="38" t="s">
        <v>811</v>
      </c>
      <c r="F474" s="36" t="s">
        <v>559</v>
      </c>
      <c r="G474" s="36" t="s">
        <v>607</v>
      </c>
      <c r="H474" s="39">
        <v>107</v>
      </c>
      <c r="I474" s="40">
        <v>61702.5</v>
      </c>
      <c r="J474" s="39">
        <v>0</v>
      </c>
      <c r="K474" s="40">
        <v>0</v>
      </c>
      <c r="L474" s="37" t="s">
        <v>571</v>
      </c>
      <c r="M474" s="41">
        <v>966</v>
      </c>
      <c r="N474" s="42" t="s">
        <v>741</v>
      </c>
      <c r="O474" s="36">
        <v>25</v>
      </c>
      <c r="P474" s="41">
        <f t="shared" si="203"/>
        <v>24150</v>
      </c>
      <c r="Q474" s="36"/>
      <c r="R474" s="43"/>
      <c r="S474" s="43">
        <f t="shared" si="204"/>
        <v>0</v>
      </c>
      <c r="T474" s="41">
        <f t="shared" si="205"/>
        <v>0</v>
      </c>
      <c r="U474" s="44">
        <f>O474</f>
        <v>25</v>
      </c>
      <c r="V474" s="45">
        <f t="shared" si="206"/>
        <v>24150</v>
      </c>
      <c r="W474" s="36">
        <v>25</v>
      </c>
      <c r="X474" s="86">
        <v>24150</v>
      </c>
      <c r="Y474" s="199">
        <v>0</v>
      </c>
      <c r="Z474" s="44">
        <v>0</v>
      </c>
      <c r="AA474" s="41">
        <f t="shared" si="196"/>
        <v>0</v>
      </c>
      <c r="AB474" s="44">
        <v>0</v>
      </c>
      <c r="AC474" s="44">
        <f t="shared" si="194"/>
        <v>0</v>
      </c>
      <c r="AD474" s="44">
        <f t="shared" si="197"/>
        <v>0</v>
      </c>
      <c r="AE474" s="111">
        <f t="shared" si="198"/>
        <v>0</v>
      </c>
      <c r="AF474" s="51" t="s">
        <v>571</v>
      </c>
      <c r="AG474" s="115"/>
      <c r="AH474" s="35">
        <v>0</v>
      </c>
      <c r="AI474" s="36">
        <v>0</v>
      </c>
      <c r="AJ474" s="36">
        <v>0</v>
      </c>
      <c r="AK474" s="36"/>
      <c r="AL474" s="36">
        <v>0</v>
      </c>
      <c r="AM474" s="36">
        <v>0</v>
      </c>
      <c r="AN474" s="46">
        <v>0</v>
      </c>
      <c r="AO474" s="100">
        <f t="shared" si="195"/>
        <v>0</v>
      </c>
      <c r="AP474" s="3">
        <f t="shared" si="193"/>
        <v>0</v>
      </c>
    </row>
    <row r="475" spans="1:42" x14ac:dyDescent="0.2">
      <c r="A475" s="49" t="s">
        <v>888</v>
      </c>
      <c r="B475" s="37" t="s">
        <v>562</v>
      </c>
      <c r="C475" s="37" t="s">
        <v>571</v>
      </c>
      <c r="D475" s="52"/>
      <c r="E475" s="38" t="s">
        <v>999</v>
      </c>
      <c r="F475" s="36" t="s">
        <v>560</v>
      </c>
      <c r="G475" s="36" t="s">
        <v>569</v>
      </c>
      <c r="H475" s="39"/>
      <c r="I475" s="40"/>
      <c r="J475" s="39"/>
      <c r="K475" s="40"/>
      <c r="L475" s="51"/>
      <c r="M475" s="41">
        <v>162</v>
      </c>
      <c r="N475" s="41"/>
      <c r="O475" s="36"/>
      <c r="P475" s="41"/>
      <c r="Q475" s="36"/>
      <c r="R475" s="43"/>
      <c r="S475" s="43"/>
      <c r="T475" s="41"/>
      <c r="U475" s="44"/>
      <c r="V475" s="45"/>
      <c r="W475" s="36">
        <v>148</v>
      </c>
      <c r="X475" s="86">
        <v>23976</v>
      </c>
      <c r="Y475" s="199">
        <v>0</v>
      </c>
      <c r="Z475" s="44">
        <v>0</v>
      </c>
      <c r="AA475" s="41">
        <f t="shared" si="196"/>
        <v>0</v>
      </c>
      <c r="AB475" s="44">
        <v>0</v>
      </c>
      <c r="AC475" s="44">
        <f t="shared" ref="AC475:AC506" si="208">AB475+AO475</f>
        <v>0</v>
      </c>
      <c r="AD475" s="44">
        <f t="shared" si="197"/>
        <v>0</v>
      </c>
      <c r="AE475" s="111">
        <f t="shared" si="198"/>
        <v>0</v>
      </c>
      <c r="AF475" s="51" t="s">
        <v>571</v>
      </c>
      <c r="AG475" s="115"/>
      <c r="AH475" s="35">
        <v>0</v>
      </c>
      <c r="AI475" s="36">
        <v>0</v>
      </c>
      <c r="AJ475" s="36">
        <v>0</v>
      </c>
      <c r="AK475" s="36"/>
      <c r="AL475" s="36">
        <v>0</v>
      </c>
      <c r="AM475" s="36">
        <v>0</v>
      </c>
      <c r="AN475" s="46">
        <v>0</v>
      </c>
      <c r="AO475" s="100">
        <f t="shared" ref="AO475:AO506" si="209">SUM(AH475:AN475)</f>
        <v>0</v>
      </c>
      <c r="AP475" s="3">
        <f t="shared" si="193"/>
        <v>0</v>
      </c>
    </row>
    <row r="476" spans="1:42" x14ac:dyDescent="0.2">
      <c r="A476" s="35" t="s">
        <v>366</v>
      </c>
      <c r="B476" s="37" t="s">
        <v>562</v>
      </c>
      <c r="C476" s="37" t="s">
        <v>571</v>
      </c>
      <c r="D476" s="52"/>
      <c r="E476" s="38" t="s">
        <v>753</v>
      </c>
      <c r="F476" s="36" t="s">
        <v>557</v>
      </c>
      <c r="G476" s="36" t="s">
        <v>657</v>
      </c>
      <c r="H476" s="39">
        <v>0</v>
      </c>
      <c r="I476" s="40">
        <v>0</v>
      </c>
      <c r="J476" s="39">
        <v>0</v>
      </c>
      <c r="K476" s="40">
        <v>0</v>
      </c>
      <c r="L476" s="37" t="s">
        <v>571</v>
      </c>
      <c r="M476" s="41">
        <v>2375</v>
      </c>
      <c r="N476" s="42">
        <v>0</v>
      </c>
      <c r="O476" s="36">
        <v>10</v>
      </c>
      <c r="P476" s="41">
        <f>(N476+O476)*M476</f>
        <v>23750</v>
      </c>
      <c r="Q476" s="36">
        <v>0</v>
      </c>
      <c r="R476" s="43">
        <f>O476-Q476</f>
        <v>10</v>
      </c>
      <c r="S476" s="43">
        <f>U476-O476</f>
        <v>0</v>
      </c>
      <c r="T476" s="41">
        <f>S476*M476</f>
        <v>0</v>
      </c>
      <c r="U476" s="44">
        <v>10</v>
      </c>
      <c r="V476" s="45">
        <f>U476*M476</f>
        <v>23750</v>
      </c>
      <c r="W476" s="36">
        <v>10</v>
      </c>
      <c r="X476" s="86">
        <v>23750</v>
      </c>
      <c r="Y476" s="199">
        <v>0</v>
      </c>
      <c r="Z476" s="44">
        <v>0</v>
      </c>
      <c r="AA476" s="41">
        <f t="shared" si="196"/>
        <v>0</v>
      </c>
      <c r="AB476" s="44">
        <v>0</v>
      </c>
      <c r="AC476" s="44">
        <f t="shared" si="208"/>
        <v>0</v>
      </c>
      <c r="AD476" s="44">
        <f t="shared" si="197"/>
        <v>0</v>
      </c>
      <c r="AE476" s="111">
        <f t="shared" si="198"/>
        <v>0</v>
      </c>
      <c r="AF476" s="51" t="s">
        <v>571</v>
      </c>
      <c r="AG476" s="115"/>
      <c r="AH476" s="35">
        <v>0</v>
      </c>
      <c r="AI476" s="36">
        <v>0</v>
      </c>
      <c r="AJ476" s="36">
        <v>0</v>
      </c>
      <c r="AK476" s="36"/>
      <c r="AL476" s="36">
        <v>0</v>
      </c>
      <c r="AM476" s="36">
        <v>0</v>
      </c>
      <c r="AN476" s="46">
        <v>0</v>
      </c>
      <c r="AO476" s="100">
        <f t="shared" si="209"/>
        <v>0</v>
      </c>
      <c r="AP476" s="3">
        <f t="shared" si="193"/>
        <v>0</v>
      </c>
    </row>
    <row r="477" spans="1:42" x14ac:dyDescent="0.2">
      <c r="A477" s="35" t="s">
        <v>367</v>
      </c>
      <c r="B477" s="37" t="s">
        <v>554</v>
      </c>
      <c r="C477" s="37" t="s">
        <v>571</v>
      </c>
      <c r="D477" s="52"/>
      <c r="E477" s="38" t="s">
        <v>753</v>
      </c>
      <c r="F477" s="36" t="s">
        <v>557</v>
      </c>
      <c r="G477" s="36" t="s">
        <v>643</v>
      </c>
      <c r="H477" s="39">
        <v>0</v>
      </c>
      <c r="I477" s="40">
        <v>0</v>
      </c>
      <c r="J477" s="39">
        <v>0</v>
      </c>
      <c r="K477" s="40">
        <v>0</v>
      </c>
      <c r="L477" s="37" t="s">
        <v>571</v>
      </c>
      <c r="M477" s="41">
        <v>2375</v>
      </c>
      <c r="N477" s="42">
        <v>0</v>
      </c>
      <c r="O477" s="36">
        <v>10</v>
      </c>
      <c r="P477" s="41">
        <f>(N477+O477)*M477</f>
        <v>23750</v>
      </c>
      <c r="Q477" s="36">
        <v>0</v>
      </c>
      <c r="R477" s="43">
        <f>O477-Q477</f>
        <v>10</v>
      </c>
      <c r="S477" s="43">
        <f>U477-O477</f>
        <v>0</v>
      </c>
      <c r="T477" s="41">
        <f>S477*M477</f>
        <v>0</v>
      </c>
      <c r="U477" s="44">
        <v>10</v>
      </c>
      <c r="V477" s="45">
        <f>U477*M477</f>
        <v>23750</v>
      </c>
      <c r="W477" s="36">
        <v>10</v>
      </c>
      <c r="X477" s="86">
        <v>23750</v>
      </c>
      <c r="Y477" s="199">
        <v>0</v>
      </c>
      <c r="Z477" s="44">
        <v>0</v>
      </c>
      <c r="AA477" s="41">
        <f t="shared" si="196"/>
        <v>0</v>
      </c>
      <c r="AB477" s="44">
        <v>0</v>
      </c>
      <c r="AC477" s="44">
        <f t="shared" si="208"/>
        <v>0</v>
      </c>
      <c r="AD477" s="44">
        <f t="shared" si="197"/>
        <v>0</v>
      </c>
      <c r="AE477" s="111">
        <f t="shared" si="198"/>
        <v>0</v>
      </c>
      <c r="AF477" s="51" t="s">
        <v>571</v>
      </c>
      <c r="AG477" s="115"/>
      <c r="AH477" s="35">
        <v>0</v>
      </c>
      <c r="AI477" s="36">
        <v>0</v>
      </c>
      <c r="AJ477" s="36">
        <v>0</v>
      </c>
      <c r="AK477" s="36"/>
      <c r="AL477" s="36">
        <v>0</v>
      </c>
      <c r="AM477" s="36">
        <v>0</v>
      </c>
      <c r="AN477" s="46">
        <v>0</v>
      </c>
      <c r="AO477" s="100">
        <f t="shared" si="209"/>
        <v>0</v>
      </c>
      <c r="AP477" s="3">
        <f t="shared" si="193"/>
        <v>0</v>
      </c>
    </row>
    <row r="478" spans="1:42" x14ac:dyDescent="0.2">
      <c r="A478" s="49" t="s">
        <v>890</v>
      </c>
      <c r="B478" s="157" t="s">
        <v>562</v>
      </c>
      <c r="C478" s="37" t="s">
        <v>571</v>
      </c>
      <c r="D478" s="52"/>
      <c r="E478" s="38" t="s">
        <v>758</v>
      </c>
      <c r="F478" s="36" t="s">
        <v>555</v>
      </c>
      <c r="G478" s="36" t="s">
        <v>583</v>
      </c>
      <c r="H478" s="39"/>
      <c r="I478" s="40"/>
      <c r="J478" s="39">
        <v>0</v>
      </c>
      <c r="K478" s="40">
        <v>0</v>
      </c>
      <c r="L478" s="51"/>
      <c r="M478" s="41"/>
      <c r="N478" s="41"/>
      <c r="O478" s="36"/>
      <c r="P478" s="41"/>
      <c r="Q478" s="36"/>
      <c r="R478" s="43"/>
      <c r="S478" s="43"/>
      <c r="T478" s="41"/>
      <c r="U478" s="44"/>
      <c r="V478" s="45"/>
      <c r="W478" s="36">
        <v>250</v>
      </c>
      <c r="X478" s="86">
        <v>22347.5</v>
      </c>
      <c r="Y478" s="199">
        <v>0</v>
      </c>
      <c r="Z478" s="44">
        <v>0</v>
      </c>
      <c r="AA478" s="41">
        <f t="shared" si="196"/>
        <v>0</v>
      </c>
      <c r="AB478" s="44">
        <v>0</v>
      </c>
      <c r="AC478" s="44">
        <f t="shared" si="208"/>
        <v>0</v>
      </c>
      <c r="AD478" s="44">
        <f t="shared" si="197"/>
        <v>0</v>
      </c>
      <c r="AE478" s="111">
        <f t="shared" si="198"/>
        <v>0</v>
      </c>
      <c r="AF478" s="51" t="s">
        <v>571</v>
      </c>
      <c r="AG478" s="115"/>
      <c r="AH478" s="35">
        <v>0</v>
      </c>
      <c r="AI478" s="36">
        <v>0</v>
      </c>
      <c r="AJ478" s="36">
        <v>0</v>
      </c>
      <c r="AK478" s="36"/>
      <c r="AL478" s="36">
        <v>0</v>
      </c>
      <c r="AM478" s="36">
        <v>0</v>
      </c>
      <c r="AN478" s="46">
        <v>0</v>
      </c>
      <c r="AO478" s="100">
        <f t="shared" si="209"/>
        <v>0</v>
      </c>
      <c r="AP478" s="3">
        <f t="shared" si="193"/>
        <v>0</v>
      </c>
    </row>
    <row r="479" spans="1:42" x14ac:dyDescent="0.2">
      <c r="A479" s="49" t="s">
        <v>891</v>
      </c>
      <c r="B479" s="37" t="s">
        <v>562</v>
      </c>
      <c r="C479" s="37" t="s">
        <v>571</v>
      </c>
      <c r="D479" s="52"/>
      <c r="E479" s="38" t="s">
        <v>1012</v>
      </c>
      <c r="F479" s="36" t="s">
        <v>557</v>
      </c>
      <c r="G479" s="36" t="s">
        <v>618</v>
      </c>
      <c r="H479" s="39"/>
      <c r="I479" s="40"/>
      <c r="J479" s="39"/>
      <c r="K479" s="40"/>
      <c r="L479" s="51"/>
      <c r="M479" s="41">
        <v>5000</v>
      </c>
      <c r="N479" s="41"/>
      <c r="O479" s="36"/>
      <c r="P479" s="41"/>
      <c r="Q479" s="36"/>
      <c r="R479" s="43"/>
      <c r="S479" s="43"/>
      <c r="T479" s="41"/>
      <c r="U479" s="44"/>
      <c r="V479" s="45"/>
      <c r="W479" s="36">
        <v>4</v>
      </c>
      <c r="X479" s="86">
        <v>20000</v>
      </c>
      <c r="Y479" s="199">
        <v>0</v>
      </c>
      <c r="Z479" s="44">
        <v>0</v>
      </c>
      <c r="AA479" s="41">
        <f t="shared" si="196"/>
        <v>0</v>
      </c>
      <c r="AB479" s="44">
        <v>0</v>
      </c>
      <c r="AC479" s="44">
        <f t="shared" si="208"/>
        <v>0</v>
      </c>
      <c r="AD479" s="44">
        <f t="shared" si="197"/>
        <v>0</v>
      </c>
      <c r="AE479" s="111">
        <f t="shared" si="198"/>
        <v>0</v>
      </c>
      <c r="AF479" s="51" t="s">
        <v>571</v>
      </c>
      <c r="AG479" s="115"/>
      <c r="AH479" s="35">
        <v>0</v>
      </c>
      <c r="AI479" s="36">
        <v>0</v>
      </c>
      <c r="AJ479" s="36">
        <v>0</v>
      </c>
      <c r="AK479" s="36"/>
      <c r="AL479" s="36">
        <v>0</v>
      </c>
      <c r="AM479" s="36">
        <v>0</v>
      </c>
      <c r="AN479" s="46">
        <v>0</v>
      </c>
      <c r="AO479" s="100">
        <f t="shared" si="209"/>
        <v>0</v>
      </c>
      <c r="AP479" s="3">
        <f t="shared" si="193"/>
        <v>0</v>
      </c>
    </row>
    <row r="480" spans="1:42" x14ac:dyDescent="0.2">
      <c r="A480" s="49" t="s">
        <v>855</v>
      </c>
      <c r="B480" s="37" t="s">
        <v>562</v>
      </c>
      <c r="C480" s="37" t="s">
        <v>571</v>
      </c>
      <c r="D480" s="52"/>
      <c r="E480" s="38" t="s">
        <v>999</v>
      </c>
      <c r="F480" s="36" t="s">
        <v>560</v>
      </c>
      <c r="G480" s="36" t="s">
        <v>979</v>
      </c>
      <c r="H480" s="39"/>
      <c r="I480" s="40"/>
      <c r="J480" s="39">
        <v>139</v>
      </c>
      <c r="K480" s="40">
        <v>28334</v>
      </c>
      <c r="L480" s="51"/>
      <c r="M480" s="41">
        <v>212</v>
      </c>
      <c r="N480" s="41"/>
      <c r="O480" s="36"/>
      <c r="P480" s="41"/>
      <c r="Q480" s="36"/>
      <c r="R480" s="43"/>
      <c r="S480" s="43"/>
      <c r="T480" s="41"/>
      <c r="U480" s="44"/>
      <c r="V480" s="45"/>
      <c r="W480" s="36">
        <v>88</v>
      </c>
      <c r="X480" s="86">
        <v>18656</v>
      </c>
      <c r="Y480" s="199">
        <v>0</v>
      </c>
      <c r="Z480" s="44">
        <v>0</v>
      </c>
      <c r="AA480" s="41">
        <f t="shared" si="196"/>
        <v>0</v>
      </c>
      <c r="AB480" s="44">
        <v>0</v>
      </c>
      <c r="AC480" s="44">
        <f t="shared" si="208"/>
        <v>0</v>
      </c>
      <c r="AD480" s="44">
        <f t="shared" si="197"/>
        <v>0</v>
      </c>
      <c r="AE480" s="111">
        <f t="shared" si="198"/>
        <v>0</v>
      </c>
      <c r="AF480" s="51" t="s">
        <v>571</v>
      </c>
      <c r="AG480" s="115" t="s">
        <v>1070</v>
      </c>
      <c r="AH480" s="35">
        <v>0</v>
      </c>
      <c r="AI480" s="36">
        <v>0</v>
      </c>
      <c r="AJ480" s="36">
        <v>0</v>
      </c>
      <c r="AK480" s="36"/>
      <c r="AL480" s="36">
        <v>0</v>
      </c>
      <c r="AM480" s="36">
        <v>0</v>
      </c>
      <c r="AN480" s="46">
        <v>0</v>
      </c>
      <c r="AO480" s="100">
        <f t="shared" si="209"/>
        <v>0</v>
      </c>
      <c r="AP480" s="3">
        <f t="shared" si="193"/>
        <v>0</v>
      </c>
    </row>
    <row r="481" spans="1:42" x14ac:dyDescent="0.2">
      <c r="A481" s="35" t="s">
        <v>209</v>
      </c>
      <c r="B481" s="37" t="s">
        <v>565</v>
      </c>
      <c r="C481" s="37" t="s">
        <v>571</v>
      </c>
      <c r="D481" s="52"/>
      <c r="E481" s="38" t="s">
        <v>753</v>
      </c>
      <c r="F481" s="36" t="s">
        <v>559</v>
      </c>
      <c r="G481" s="36" t="s">
        <v>659</v>
      </c>
      <c r="H481" s="39">
        <v>0</v>
      </c>
      <c r="I481" s="40">
        <v>0</v>
      </c>
      <c r="J481" s="39">
        <v>0</v>
      </c>
      <c r="K481" s="40">
        <v>0</v>
      </c>
      <c r="L481" s="37" t="s">
        <v>571</v>
      </c>
      <c r="M481" s="41">
        <v>67.3</v>
      </c>
      <c r="N481" s="42">
        <v>0</v>
      </c>
      <c r="O481" s="36">
        <v>260</v>
      </c>
      <c r="P481" s="41">
        <f>(N481+O481)*M481</f>
        <v>17498</v>
      </c>
      <c r="Q481" s="36">
        <v>0</v>
      </c>
      <c r="R481" s="43">
        <f>O481-Q481</f>
        <v>260</v>
      </c>
      <c r="S481" s="43">
        <f>U481-O481</f>
        <v>0</v>
      </c>
      <c r="T481" s="41">
        <f>S481*M481</f>
        <v>0</v>
      </c>
      <c r="U481" s="44">
        <v>260</v>
      </c>
      <c r="V481" s="45">
        <f>U481*M481</f>
        <v>17498</v>
      </c>
      <c r="W481" s="36">
        <v>260</v>
      </c>
      <c r="X481" s="86">
        <v>17498</v>
      </c>
      <c r="Y481" s="199">
        <v>0</v>
      </c>
      <c r="Z481" s="44">
        <v>0</v>
      </c>
      <c r="AA481" s="41">
        <f t="shared" si="196"/>
        <v>0</v>
      </c>
      <c r="AB481" s="44">
        <v>0</v>
      </c>
      <c r="AC481" s="44">
        <f t="shared" si="208"/>
        <v>0</v>
      </c>
      <c r="AD481" s="44">
        <f t="shared" si="197"/>
        <v>0</v>
      </c>
      <c r="AE481" s="111">
        <f t="shared" si="198"/>
        <v>0</v>
      </c>
      <c r="AF481" s="51" t="s">
        <v>571</v>
      </c>
      <c r="AG481" s="115"/>
      <c r="AH481" s="35">
        <v>0</v>
      </c>
      <c r="AI481" s="36">
        <v>0</v>
      </c>
      <c r="AJ481" s="36">
        <v>0</v>
      </c>
      <c r="AK481" s="36"/>
      <c r="AL481" s="36">
        <v>0</v>
      </c>
      <c r="AM481" s="36">
        <v>0</v>
      </c>
      <c r="AN481" s="46">
        <v>0</v>
      </c>
      <c r="AO481" s="100">
        <f t="shared" si="209"/>
        <v>0</v>
      </c>
      <c r="AP481" s="3">
        <f t="shared" si="193"/>
        <v>0</v>
      </c>
    </row>
    <row r="482" spans="1:42" x14ac:dyDescent="0.2">
      <c r="A482" s="35" t="s">
        <v>346</v>
      </c>
      <c r="B482" s="37" t="s">
        <v>565</v>
      </c>
      <c r="C482" s="37" t="s">
        <v>571</v>
      </c>
      <c r="D482" s="52"/>
      <c r="E482" s="38" t="s">
        <v>753</v>
      </c>
      <c r="F482" s="36" t="s">
        <v>557</v>
      </c>
      <c r="G482" s="36" t="s">
        <v>610</v>
      </c>
      <c r="H482" s="39">
        <v>0</v>
      </c>
      <c r="I482" s="40">
        <v>0</v>
      </c>
      <c r="J482" s="39">
        <v>0</v>
      </c>
      <c r="K482" s="40">
        <v>0</v>
      </c>
      <c r="L482" s="37" t="s">
        <v>571</v>
      </c>
      <c r="M482" s="41">
        <v>260</v>
      </c>
      <c r="N482" s="42">
        <v>0</v>
      </c>
      <c r="O482" s="36">
        <v>67</v>
      </c>
      <c r="P482" s="41">
        <f>(N482+O482)*M482</f>
        <v>17420</v>
      </c>
      <c r="Q482" s="36">
        <v>67</v>
      </c>
      <c r="R482" s="43">
        <f>O482-Q482</f>
        <v>0</v>
      </c>
      <c r="S482" s="43">
        <f>U482-O482</f>
        <v>0</v>
      </c>
      <c r="T482" s="41">
        <f>S482*M482</f>
        <v>0</v>
      </c>
      <c r="U482" s="44">
        <v>67</v>
      </c>
      <c r="V482" s="45">
        <f>U482*M482</f>
        <v>17420</v>
      </c>
      <c r="W482" s="36">
        <v>67</v>
      </c>
      <c r="X482" s="86">
        <v>17420</v>
      </c>
      <c r="Y482" s="199">
        <v>0</v>
      </c>
      <c r="Z482" s="44">
        <v>0</v>
      </c>
      <c r="AA482" s="41">
        <f t="shared" si="196"/>
        <v>0</v>
      </c>
      <c r="AB482" s="44">
        <v>0</v>
      </c>
      <c r="AC482" s="44">
        <f t="shared" si="208"/>
        <v>0</v>
      </c>
      <c r="AD482" s="44">
        <f t="shared" si="197"/>
        <v>0</v>
      </c>
      <c r="AE482" s="111">
        <f t="shared" si="198"/>
        <v>0</v>
      </c>
      <c r="AF482" s="51" t="s">
        <v>571</v>
      </c>
      <c r="AG482" s="115"/>
      <c r="AH482" s="35">
        <v>0</v>
      </c>
      <c r="AI482" s="36">
        <v>0</v>
      </c>
      <c r="AJ482" s="36">
        <v>0</v>
      </c>
      <c r="AK482" s="36"/>
      <c r="AL482" s="36">
        <v>0</v>
      </c>
      <c r="AM482" s="36">
        <v>0</v>
      </c>
      <c r="AN482" s="46">
        <v>0</v>
      </c>
      <c r="AO482" s="100">
        <f t="shared" si="209"/>
        <v>0</v>
      </c>
      <c r="AP482" s="3">
        <f t="shared" si="193"/>
        <v>0</v>
      </c>
    </row>
    <row r="483" spans="1:42" x14ac:dyDescent="0.2">
      <c r="A483" s="49" t="s">
        <v>893</v>
      </c>
      <c r="B483" s="37" t="s">
        <v>554</v>
      </c>
      <c r="C483" s="37" t="s">
        <v>571</v>
      </c>
      <c r="D483" s="52"/>
      <c r="E483" s="38" t="s">
        <v>754</v>
      </c>
      <c r="F483" s="36" t="s">
        <v>559</v>
      </c>
      <c r="G483" s="36" t="s">
        <v>663</v>
      </c>
      <c r="H483" s="39"/>
      <c r="I483" s="40"/>
      <c r="J483" s="39"/>
      <c r="K483" s="40"/>
      <c r="L483" s="51"/>
      <c r="M483" s="41">
        <v>18.580000000000002</v>
      </c>
      <c r="N483" s="41"/>
      <c r="O483" s="36"/>
      <c r="P483" s="41"/>
      <c r="Q483" s="36"/>
      <c r="R483" s="43"/>
      <c r="S483" s="43"/>
      <c r="T483" s="41"/>
      <c r="U483" s="44"/>
      <c r="V483" s="45"/>
      <c r="W483" s="36">
        <v>917</v>
      </c>
      <c r="X483" s="86">
        <v>17037.86</v>
      </c>
      <c r="Y483" s="199">
        <v>0</v>
      </c>
      <c r="Z483" s="44">
        <v>0</v>
      </c>
      <c r="AA483" s="41">
        <f t="shared" si="196"/>
        <v>0</v>
      </c>
      <c r="AB483" s="44">
        <v>0</v>
      </c>
      <c r="AC483" s="44">
        <f t="shared" si="208"/>
        <v>0</v>
      </c>
      <c r="AD483" s="44">
        <f t="shared" si="197"/>
        <v>0</v>
      </c>
      <c r="AE483" s="111">
        <f t="shared" si="198"/>
        <v>0</v>
      </c>
      <c r="AF483" s="51" t="s">
        <v>571</v>
      </c>
      <c r="AG483" s="115"/>
      <c r="AH483" s="35">
        <v>0</v>
      </c>
      <c r="AI483" s="36">
        <v>0</v>
      </c>
      <c r="AJ483" s="36">
        <v>0</v>
      </c>
      <c r="AK483" s="36"/>
      <c r="AL483" s="36">
        <v>0</v>
      </c>
      <c r="AM483" s="36">
        <v>0</v>
      </c>
      <c r="AN483" s="46">
        <v>0</v>
      </c>
      <c r="AO483" s="100">
        <f t="shared" si="209"/>
        <v>0</v>
      </c>
      <c r="AP483" s="3">
        <f t="shared" si="193"/>
        <v>0</v>
      </c>
    </row>
    <row r="484" spans="1:42" x14ac:dyDescent="0.2">
      <c r="A484" s="35" t="s">
        <v>710</v>
      </c>
      <c r="B484" s="37" t="s">
        <v>562</v>
      </c>
      <c r="C484" s="37" t="s">
        <v>571</v>
      </c>
      <c r="D484" s="52"/>
      <c r="E484" s="38" t="s">
        <v>758</v>
      </c>
      <c r="F484" s="36" t="s">
        <v>555</v>
      </c>
      <c r="G484" s="36" t="s">
        <v>969</v>
      </c>
      <c r="H484" s="39">
        <v>0</v>
      </c>
      <c r="I484" s="40">
        <v>0</v>
      </c>
      <c r="J484" s="39">
        <v>2</v>
      </c>
      <c r="K484" s="40">
        <v>13859.5</v>
      </c>
      <c r="L484" s="37" t="s">
        <v>571</v>
      </c>
      <c r="M484" s="41">
        <v>8441.9500000000007</v>
      </c>
      <c r="N484" s="42">
        <v>0</v>
      </c>
      <c r="O484" s="36">
        <v>2</v>
      </c>
      <c r="P484" s="41">
        <f>(N484+O484)*M484</f>
        <v>16883.900000000001</v>
      </c>
      <c r="Q484" s="36">
        <v>0</v>
      </c>
      <c r="R484" s="43">
        <f>O484-Q484</f>
        <v>2</v>
      </c>
      <c r="S484" s="43">
        <f>U484-O484</f>
        <v>0</v>
      </c>
      <c r="T484" s="41">
        <f>S484*M484</f>
        <v>0</v>
      </c>
      <c r="U484" s="44">
        <f>O484</f>
        <v>2</v>
      </c>
      <c r="V484" s="45">
        <f>U484*M484</f>
        <v>16883.900000000001</v>
      </c>
      <c r="W484" s="36">
        <v>2</v>
      </c>
      <c r="X484" s="86">
        <v>16883.900000000001</v>
      </c>
      <c r="Y484" s="199">
        <v>0</v>
      </c>
      <c r="Z484" s="44">
        <v>0</v>
      </c>
      <c r="AA484" s="41">
        <f t="shared" si="196"/>
        <v>0</v>
      </c>
      <c r="AB484" s="44">
        <v>0</v>
      </c>
      <c r="AC484" s="44">
        <f t="shared" si="208"/>
        <v>0</v>
      </c>
      <c r="AD484" s="44">
        <f t="shared" si="197"/>
        <v>0</v>
      </c>
      <c r="AE484" s="111">
        <f t="shared" si="198"/>
        <v>0</v>
      </c>
      <c r="AF484" s="51" t="s">
        <v>571</v>
      </c>
      <c r="AG484" s="115"/>
      <c r="AH484" s="35">
        <v>0</v>
      </c>
      <c r="AI484" s="36">
        <v>0</v>
      </c>
      <c r="AJ484" s="36">
        <v>0</v>
      </c>
      <c r="AK484" s="36"/>
      <c r="AL484" s="36">
        <v>0</v>
      </c>
      <c r="AM484" s="36">
        <v>0</v>
      </c>
      <c r="AN484" s="46">
        <v>0</v>
      </c>
      <c r="AO484" s="100">
        <f t="shared" si="209"/>
        <v>0</v>
      </c>
      <c r="AP484" s="3">
        <f t="shared" si="193"/>
        <v>0</v>
      </c>
    </row>
    <row r="485" spans="1:42" x14ac:dyDescent="0.2">
      <c r="A485" s="35" t="s">
        <v>529</v>
      </c>
      <c r="B485" s="37" t="s">
        <v>567</v>
      </c>
      <c r="C485" s="37" t="s">
        <v>571</v>
      </c>
      <c r="D485" s="52"/>
      <c r="E485" s="38" t="s">
        <v>594</v>
      </c>
      <c r="F485" s="36" t="s">
        <v>555</v>
      </c>
      <c r="G485" s="36" t="s">
        <v>624</v>
      </c>
      <c r="H485" s="39">
        <v>0</v>
      </c>
      <c r="I485" s="40">
        <v>0</v>
      </c>
      <c r="J485" s="39">
        <v>64</v>
      </c>
      <c r="K485" s="40">
        <v>18675.2</v>
      </c>
      <c r="L485" s="37" t="s">
        <v>571</v>
      </c>
      <c r="M485" s="41">
        <v>291.8</v>
      </c>
      <c r="N485" s="42">
        <v>0</v>
      </c>
      <c r="O485" s="36">
        <v>0</v>
      </c>
      <c r="P485" s="41">
        <f>(N485+O485)*M485</f>
        <v>0</v>
      </c>
      <c r="Q485" s="36">
        <v>64</v>
      </c>
      <c r="R485" s="43">
        <f>O485-Q485</f>
        <v>-64</v>
      </c>
      <c r="S485" s="43">
        <f>U485-O485</f>
        <v>64</v>
      </c>
      <c r="T485" s="41">
        <f>S485*M485</f>
        <v>18675.2</v>
      </c>
      <c r="U485" s="44">
        <f>Q485</f>
        <v>64</v>
      </c>
      <c r="V485" s="45">
        <f>U485*M485</f>
        <v>18675.2</v>
      </c>
      <c r="W485" s="36">
        <v>56</v>
      </c>
      <c r="X485" s="86">
        <v>16340.8</v>
      </c>
      <c r="Y485" s="199">
        <v>0</v>
      </c>
      <c r="Z485" s="44">
        <v>0</v>
      </c>
      <c r="AA485" s="41">
        <f t="shared" si="196"/>
        <v>0</v>
      </c>
      <c r="AB485" s="44">
        <v>0</v>
      </c>
      <c r="AC485" s="44">
        <f t="shared" si="208"/>
        <v>0</v>
      </c>
      <c r="AD485" s="44">
        <f t="shared" si="197"/>
        <v>0</v>
      </c>
      <c r="AE485" s="111">
        <f t="shared" si="198"/>
        <v>0</v>
      </c>
      <c r="AF485" s="51" t="s">
        <v>571</v>
      </c>
      <c r="AG485" s="115"/>
      <c r="AH485" s="35">
        <v>0</v>
      </c>
      <c r="AI485" s="36">
        <v>0</v>
      </c>
      <c r="AJ485" s="36">
        <v>0</v>
      </c>
      <c r="AK485" s="36"/>
      <c r="AL485" s="36">
        <v>0</v>
      </c>
      <c r="AM485" s="36">
        <v>0</v>
      </c>
      <c r="AN485" s="46">
        <v>0</v>
      </c>
      <c r="AO485" s="100">
        <f t="shared" si="209"/>
        <v>0</v>
      </c>
      <c r="AP485" s="3">
        <f t="shared" si="193"/>
        <v>0</v>
      </c>
    </row>
    <row r="486" spans="1:42" x14ac:dyDescent="0.2">
      <c r="A486" s="35" t="s">
        <v>519</v>
      </c>
      <c r="B486" s="37" t="s">
        <v>556</v>
      </c>
      <c r="C486" s="37" t="s">
        <v>578</v>
      </c>
      <c r="D486" s="52">
        <v>46022</v>
      </c>
      <c r="E486" s="38" t="s">
        <v>764</v>
      </c>
      <c r="F486" s="36" t="s">
        <v>559</v>
      </c>
      <c r="G486" s="36" t="s">
        <v>686</v>
      </c>
      <c r="H486" s="39">
        <v>0</v>
      </c>
      <c r="I486" s="40">
        <v>0</v>
      </c>
      <c r="J486" s="39">
        <v>5061</v>
      </c>
      <c r="K486" s="40">
        <v>83051.009999999995</v>
      </c>
      <c r="L486" s="37" t="s">
        <v>571</v>
      </c>
      <c r="M486" s="41">
        <v>16.41</v>
      </c>
      <c r="N486" s="42">
        <v>0</v>
      </c>
      <c r="O486" s="36">
        <v>939</v>
      </c>
      <c r="P486" s="41">
        <f>(N486+O486)*M486</f>
        <v>15408.99</v>
      </c>
      <c r="Q486" s="36">
        <v>2000</v>
      </c>
      <c r="R486" s="43">
        <f>O486-Q486</f>
        <v>-1061</v>
      </c>
      <c r="S486" s="43">
        <f>U486-O486</f>
        <v>61</v>
      </c>
      <c r="T486" s="41">
        <f>S486*M486</f>
        <v>1001.01</v>
      </c>
      <c r="U486" s="44">
        <v>1000</v>
      </c>
      <c r="V486" s="45">
        <f>U486*M486</f>
        <v>16410</v>
      </c>
      <c r="W486" s="36">
        <v>939</v>
      </c>
      <c r="X486" s="86">
        <v>15408.99</v>
      </c>
      <c r="Y486" s="199">
        <v>0</v>
      </c>
      <c r="Z486" s="44">
        <v>0</v>
      </c>
      <c r="AA486" s="41">
        <f t="shared" si="196"/>
        <v>0</v>
      </c>
      <c r="AB486" s="44">
        <v>0</v>
      </c>
      <c r="AC486" s="44">
        <f t="shared" si="208"/>
        <v>0</v>
      </c>
      <c r="AD486" s="44">
        <f t="shared" si="197"/>
        <v>0</v>
      </c>
      <c r="AE486" s="111">
        <f t="shared" si="198"/>
        <v>0</v>
      </c>
      <c r="AF486" s="51" t="s">
        <v>571</v>
      </c>
      <c r="AG486" s="115"/>
      <c r="AH486" s="35">
        <v>0</v>
      </c>
      <c r="AI486" s="36">
        <v>0</v>
      </c>
      <c r="AJ486" s="36">
        <v>0</v>
      </c>
      <c r="AK486" s="36"/>
      <c r="AL486" s="36">
        <v>0</v>
      </c>
      <c r="AM486" s="36">
        <v>0</v>
      </c>
      <c r="AN486" s="46">
        <v>0</v>
      </c>
      <c r="AO486" s="100">
        <f t="shared" si="209"/>
        <v>0</v>
      </c>
      <c r="AP486" s="3">
        <f t="shared" si="193"/>
        <v>0</v>
      </c>
    </row>
    <row r="487" spans="1:42" x14ac:dyDescent="0.2">
      <c r="A487" s="35" t="s">
        <v>311</v>
      </c>
      <c r="B487" s="37" t="s">
        <v>554</v>
      </c>
      <c r="C487" s="37" t="s">
        <v>571</v>
      </c>
      <c r="D487" s="52"/>
      <c r="E487" s="38" t="s">
        <v>753</v>
      </c>
      <c r="F487" s="36" t="s">
        <v>557</v>
      </c>
      <c r="G487" s="36" t="s">
        <v>663</v>
      </c>
      <c r="H487" s="39">
        <v>0</v>
      </c>
      <c r="I487" s="40">
        <v>0</v>
      </c>
      <c r="J487" s="39">
        <v>0</v>
      </c>
      <c r="K487" s="40">
        <v>0</v>
      </c>
      <c r="L487" s="37" t="s">
        <v>571</v>
      </c>
      <c r="M487" s="41">
        <v>855</v>
      </c>
      <c r="N487" s="42">
        <v>0</v>
      </c>
      <c r="O487" s="36">
        <v>18</v>
      </c>
      <c r="P487" s="41">
        <f>(N487+O487)*M487</f>
        <v>15390</v>
      </c>
      <c r="Q487" s="36">
        <v>0</v>
      </c>
      <c r="R487" s="43">
        <f>O487-Q487</f>
        <v>18</v>
      </c>
      <c r="S487" s="43">
        <f>U487-O487</f>
        <v>0</v>
      </c>
      <c r="T487" s="41">
        <f>S487*M487</f>
        <v>0</v>
      </c>
      <c r="U487" s="44">
        <v>18</v>
      </c>
      <c r="V487" s="45">
        <f>U487*M487</f>
        <v>15390</v>
      </c>
      <c r="W487" s="36">
        <v>18</v>
      </c>
      <c r="X487" s="86">
        <v>15390</v>
      </c>
      <c r="Y487" s="199">
        <v>0</v>
      </c>
      <c r="Z487" s="44">
        <v>0</v>
      </c>
      <c r="AA487" s="41">
        <f t="shared" si="196"/>
        <v>0</v>
      </c>
      <c r="AB487" s="44">
        <v>0</v>
      </c>
      <c r="AC487" s="44">
        <f t="shared" si="208"/>
        <v>0</v>
      </c>
      <c r="AD487" s="44">
        <f t="shared" si="197"/>
        <v>0</v>
      </c>
      <c r="AE487" s="111">
        <f t="shared" si="198"/>
        <v>0</v>
      </c>
      <c r="AF487" s="51" t="s">
        <v>571</v>
      </c>
      <c r="AG487" s="115"/>
      <c r="AH487" s="35">
        <v>0</v>
      </c>
      <c r="AI487" s="36">
        <v>0</v>
      </c>
      <c r="AJ487" s="36">
        <v>0</v>
      </c>
      <c r="AK487" s="36"/>
      <c r="AL487" s="36">
        <v>0</v>
      </c>
      <c r="AM487" s="36">
        <v>0</v>
      </c>
      <c r="AN487" s="46">
        <v>0</v>
      </c>
      <c r="AO487" s="100">
        <f t="shared" si="209"/>
        <v>0</v>
      </c>
      <c r="AP487" s="3">
        <f t="shared" si="193"/>
        <v>0</v>
      </c>
    </row>
    <row r="488" spans="1:42" x14ac:dyDescent="0.2">
      <c r="A488" s="49" t="s">
        <v>895</v>
      </c>
      <c r="B488" s="37" t="s">
        <v>554</v>
      </c>
      <c r="C488" s="37" t="s">
        <v>571</v>
      </c>
      <c r="D488" s="52"/>
      <c r="E488" s="38" t="s">
        <v>682</v>
      </c>
      <c r="F488" s="36" t="s">
        <v>564</v>
      </c>
      <c r="G488" s="36" t="s">
        <v>569</v>
      </c>
      <c r="H488" s="39"/>
      <c r="I488" s="40"/>
      <c r="J488" s="39"/>
      <c r="K488" s="40"/>
      <c r="L488" s="51"/>
      <c r="M488" s="41">
        <v>150</v>
      </c>
      <c r="N488" s="41"/>
      <c r="O488" s="36"/>
      <c r="P488" s="41"/>
      <c r="Q488" s="36"/>
      <c r="R488" s="43"/>
      <c r="S488" s="43"/>
      <c r="T488" s="41"/>
      <c r="U488" s="44"/>
      <c r="V488" s="45"/>
      <c r="W488" s="36">
        <v>100</v>
      </c>
      <c r="X488" s="86">
        <v>15000</v>
      </c>
      <c r="Y488" s="199">
        <v>0</v>
      </c>
      <c r="Z488" s="44">
        <v>0</v>
      </c>
      <c r="AA488" s="41">
        <f t="shared" si="196"/>
        <v>0</v>
      </c>
      <c r="AB488" s="44">
        <v>0</v>
      </c>
      <c r="AC488" s="44">
        <f t="shared" si="208"/>
        <v>0</v>
      </c>
      <c r="AD488" s="44">
        <f t="shared" si="197"/>
        <v>0</v>
      </c>
      <c r="AE488" s="111">
        <f t="shared" si="198"/>
        <v>0</v>
      </c>
      <c r="AF488" s="51" t="s">
        <v>571</v>
      </c>
      <c r="AG488" s="115"/>
      <c r="AH488" s="35">
        <v>0</v>
      </c>
      <c r="AI488" s="36">
        <v>0</v>
      </c>
      <c r="AJ488" s="36">
        <v>0</v>
      </c>
      <c r="AK488" s="36"/>
      <c r="AL488" s="36">
        <v>0</v>
      </c>
      <c r="AM488" s="36">
        <v>0</v>
      </c>
      <c r="AN488" s="46">
        <v>0</v>
      </c>
      <c r="AO488" s="100">
        <f t="shared" si="209"/>
        <v>0</v>
      </c>
      <c r="AP488" s="3">
        <f t="shared" si="193"/>
        <v>0</v>
      </c>
    </row>
    <row r="489" spans="1:42" x14ac:dyDescent="0.2">
      <c r="A489" s="35" t="s">
        <v>724</v>
      </c>
      <c r="B489" s="37" t="s">
        <v>562</v>
      </c>
      <c r="C489" s="37" t="s">
        <v>571</v>
      </c>
      <c r="D489" s="52"/>
      <c r="E489" s="38" t="s">
        <v>758</v>
      </c>
      <c r="F489" s="36" t="s">
        <v>555</v>
      </c>
      <c r="G489" s="36" t="s">
        <v>600</v>
      </c>
      <c r="H489" s="39">
        <v>0</v>
      </c>
      <c r="I489" s="40">
        <v>0</v>
      </c>
      <c r="J489" s="39">
        <v>0</v>
      </c>
      <c r="K489" s="40">
        <v>0</v>
      </c>
      <c r="L489" s="37" t="s">
        <v>571</v>
      </c>
      <c r="M489" s="41">
        <v>7156.04</v>
      </c>
      <c r="N489" s="42">
        <v>0</v>
      </c>
      <c r="O489" s="36">
        <v>2</v>
      </c>
      <c r="P489" s="41">
        <f>(N489+O489)*M489</f>
        <v>14312.08</v>
      </c>
      <c r="Q489" s="36">
        <v>0</v>
      </c>
      <c r="R489" s="43">
        <f>O489-Q489</f>
        <v>2</v>
      </c>
      <c r="S489" s="43">
        <f>U489-O489</f>
        <v>0</v>
      </c>
      <c r="T489" s="41">
        <f>S489*M489</f>
        <v>0</v>
      </c>
      <c r="U489" s="44">
        <f>O489</f>
        <v>2</v>
      </c>
      <c r="V489" s="45">
        <f>U489*M489</f>
        <v>14312.08</v>
      </c>
      <c r="W489" s="36">
        <v>2</v>
      </c>
      <c r="X489" s="86">
        <v>14312.08</v>
      </c>
      <c r="Y489" s="199">
        <v>0</v>
      </c>
      <c r="Z489" s="44">
        <v>0</v>
      </c>
      <c r="AA489" s="41">
        <f t="shared" si="196"/>
        <v>0</v>
      </c>
      <c r="AB489" s="44">
        <v>0</v>
      </c>
      <c r="AC489" s="44">
        <f t="shared" si="208"/>
        <v>0</v>
      </c>
      <c r="AD489" s="44">
        <f t="shared" si="197"/>
        <v>0</v>
      </c>
      <c r="AE489" s="111">
        <f t="shared" si="198"/>
        <v>0</v>
      </c>
      <c r="AF489" s="51" t="s">
        <v>571</v>
      </c>
      <c r="AG489" s="115"/>
      <c r="AH489" s="35">
        <v>0</v>
      </c>
      <c r="AI489" s="36">
        <v>0</v>
      </c>
      <c r="AJ489" s="36">
        <v>0</v>
      </c>
      <c r="AK489" s="36"/>
      <c r="AL489" s="36">
        <v>0</v>
      </c>
      <c r="AM489" s="36">
        <v>0</v>
      </c>
      <c r="AN489" s="46">
        <v>0</v>
      </c>
      <c r="AO489" s="100">
        <f t="shared" si="209"/>
        <v>0</v>
      </c>
      <c r="AP489" s="3">
        <f t="shared" si="193"/>
        <v>0</v>
      </c>
    </row>
    <row r="490" spans="1:42" x14ac:dyDescent="0.2">
      <c r="A490" s="35" t="s">
        <v>320</v>
      </c>
      <c r="B490" s="37" t="s">
        <v>562</v>
      </c>
      <c r="C490" s="37" t="s">
        <v>571</v>
      </c>
      <c r="D490" s="52">
        <v>46387</v>
      </c>
      <c r="E490" s="38" t="s">
        <v>754</v>
      </c>
      <c r="F490" s="36" t="s">
        <v>557</v>
      </c>
      <c r="G490" s="36" t="s">
        <v>668</v>
      </c>
      <c r="H490" s="39">
        <v>108</v>
      </c>
      <c r="I490" s="40">
        <v>38808.160000000003</v>
      </c>
      <c r="J490" s="39">
        <v>128</v>
      </c>
      <c r="K490" s="40">
        <v>46631.159999999996</v>
      </c>
      <c r="L490" s="37" t="s">
        <v>571</v>
      </c>
      <c r="M490" s="41">
        <v>340.62</v>
      </c>
      <c r="N490" s="42">
        <v>0</v>
      </c>
      <c r="O490" s="36">
        <v>23</v>
      </c>
      <c r="P490" s="41">
        <f>(N490+O490)*M490</f>
        <v>7834.26</v>
      </c>
      <c r="Q490" s="36">
        <v>13</v>
      </c>
      <c r="R490" s="43">
        <f>O490-Q490</f>
        <v>10</v>
      </c>
      <c r="S490" s="43">
        <f>U490-O490</f>
        <v>27</v>
      </c>
      <c r="T490" s="41">
        <f>S490*M490</f>
        <v>9196.74</v>
      </c>
      <c r="U490" s="44">
        <v>50</v>
      </c>
      <c r="V490" s="45">
        <f>U490*M490</f>
        <v>17031</v>
      </c>
      <c r="W490" s="36">
        <v>42</v>
      </c>
      <c r="X490" s="86">
        <v>14306.04</v>
      </c>
      <c r="Y490" s="199">
        <v>0</v>
      </c>
      <c r="Z490" s="44">
        <v>0</v>
      </c>
      <c r="AA490" s="41">
        <f t="shared" si="196"/>
        <v>0</v>
      </c>
      <c r="AB490" s="44">
        <v>0</v>
      </c>
      <c r="AC490" s="44">
        <f t="shared" si="208"/>
        <v>0</v>
      </c>
      <c r="AD490" s="44">
        <f t="shared" si="197"/>
        <v>0</v>
      </c>
      <c r="AE490" s="111">
        <f t="shared" si="198"/>
        <v>0</v>
      </c>
      <c r="AF490" s="51" t="s">
        <v>571</v>
      </c>
      <c r="AG490" s="115"/>
      <c r="AH490" s="35">
        <v>0</v>
      </c>
      <c r="AI490" s="36">
        <v>0</v>
      </c>
      <c r="AJ490" s="36">
        <v>0</v>
      </c>
      <c r="AK490" s="36"/>
      <c r="AL490" s="36">
        <v>0</v>
      </c>
      <c r="AM490" s="36">
        <v>0</v>
      </c>
      <c r="AN490" s="46">
        <v>0</v>
      </c>
      <c r="AO490" s="100">
        <f t="shared" si="209"/>
        <v>0</v>
      </c>
      <c r="AP490" s="3">
        <f t="shared" si="193"/>
        <v>0</v>
      </c>
    </row>
    <row r="491" spans="1:42" x14ac:dyDescent="0.2">
      <c r="A491" s="49" t="s">
        <v>898</v>
      </c>
      <c r="B491" s="157" t="s">
        <v>562</v>
      </c>
      <c r="C491" s="37" t="s">
        <v>571</v>
      </c>
      <c r="D491" s="52"/>
      <c r="E491" s="38" t="s">
        <v>758</v>
      </c>
      <c r="F491" s="36" t="s">
        <v>555</v>
      </c>
      <c r="G491" s="36" t="s">
        <v>969</v>
      </c>
      <c r="H491" s="39"/>
      <c r="I491" s="40"/>
      <c r="J491" s="39"/>
      <c r="K491" s="40"/>
      <c r="L491" s="51"/>
      <c r="M491" s="41">
        <v>6873.63</v>
      </c>
      <c r="N491" s="41"/>
      <c r="O491" s="36"/>
      <c r="P491" s="41"/>
      <c r="Q491" s="36"/>
      <c r="R491" s="43"/>
      <c r="S491" s="43"/>
      <c r="T491" s="41"/>
      <c r="U491" s="44"/>
      <c r="V491" s="45"/>
      <c r="W491" s="36">
        <v>2</v>
      </c>
      <c r="X491" s="86">
        <v>13747.26</v>
      </c>
      <c r="Y491" s="199">
        <v>0</v>
      </c>
      <c r="Z491" s="44">
        <v>0</v>
      </c>
      <c r="AA491" s="41">
        <f t="shared" si="196"/>
        <v>0</v>
      </c>
      <c r="AB491" s="44">
        <v>0</v>
      </c>
      <c r="AC491" s="44">
        <f t="shared" si="208"/>
        <v>0</v>
      </c>
      <c r="AD491" s="44">
        <f t="shared" si="197"/>
        <v>0</v>
      </c>
      <c r="AE491" s="111">
        <f t="shared" si="198"/>
        <v>0</v>
      </c>
      <c r="AF491" s="51" t="s">
        <v>571</v>
      </c>
      <c r="AG491" s="115"/>
      <c r="AH491" s="35">
        <v>0</v>
      </c>
      <c r="AI491" s="36">
        <v>0</v>
      </c>
      <c r="AJ491" s="36">
        <v>0</v>
      </c>
      <c r="AK491" s="36"/>
      <c r="AL491" s="36">
        <v>0</v>
      </c>
      <c r="AM491" s="36">
        <v>0</v>
      </c>
      <c r="AN491" s="46">
        <v>0</v>
      </c>
      <c r="AO491" s="100">
        <f t="shared" si="209"/>
        <v>0</v>
      </c>
      <c r="AP491" s="3">
        <f t="shared" si="193"/>
        <v>0</v>
      </c>
    </row>
    <row r="492" spans="1:42" x14ac:dyDescent="0.2">
      <c r="A492" s="35" t="s">
        <v>703</v>
      </c>
      <c r="B492" s="37" t="s">
        <v>562</v>
      </c>
      <c r="C492" s="37" t="s">
        <v>571</v>
      </c>
      <c r="D492" s="52"/>
      <c r="E492" s="38" t="s">
        <v>778</v>
      </c>
      <c r="F492" s="36" t="s">
        <v>560</v>
      </c>
      <c r="G492" s="36" t="s">
        <v>622</v>
      </c>
      <c r="H492" s="39">
        <v>0</v>
      </c>
      <c r="I492" s="40">
        <v>0</v>
      </c>
      <c r="J492" s="39">
        <v>10</v>
      </c>
      <c r="K492" s="40">
        <v>13003.9</v>
      </c>
      <c r="L492" s="37" t="s">
        <v>571</v>
      </c>
      <c r="M492" s="41">
        <v>1300.3899999999999</v>
      </c>
      <c r="N492" s="42">
        <v>0</v>
      </c>
      <c r="O492" s="36">
        <v>10</v>
      </c>
      <c r="P492" s="41">
        <f>(N492+O492)*M492</f>
        <v>13003.899999999998</v>
      </c>
      <c r="Q492" s="36">
        <v>0</v>
      </c>
      <c r="R492" s="43">
        <f>O492-Q492</f>
        <v>10</v>
      </c>
      <c r="S492" s="43">
        <f>U492-O492</f>
        <v>0</v>
      </c>
      <c r="T492" s="41">
        <f>S492*M492</f>
        <v>0</v>
      </c>
      <c r="U492" s="44">
        <f>O492</f>
        <v>10</v>
      </c>
      <c r="V492" s="45">
        <f>U492*M492</f>
        <v>13003.899999999998</v>
      </c>
      <c r="W492" s="36">
        <v>10</v>
      </c>
      <c r="X492" s="86">
        <v>13003.9</v>
      </c>
      <c r="Y492" s="199">
        <v>0</v>
      </c>
      <c r="Z492" s="44">
        <v>0</v>
      </c>
      <c r="AA492" s="41">
        <f t="shared" si="196"/>
        <v>0</v>
      </c>
      <c r="AB492" s="44">
        <v>0</v>
      </c>
      <c r="AC492" s="44">
        <f t="shared" si="208"/>
        <v>0</v>
      </c>
      <c r="AD492" s="44">
        <f t="shared" si="197"/>
        <v>0</v>
      </c>
      <c r="AE492" s="111">
        <f t="shared" si="198"/>
        <v>0</v>
      </c>
      <c r="AF492" s="51" t="s">
        <v>571</v>
      </c>
      <c r="AG492" s="115"/>
      <c r="AH492" s="35">
        <v>0</v>
      </c>
      <c r="AI492" s="36">
        <v>0</v>
      </c>
      <c r="AJ492" s="36">
        <v>0</v>
      </c>
      <c r="AK492" s="36"/>
      <c r="AL492" s="36">
        <v>0</v>
      </c>
      <c r="AM492" s="36">
        <v>0</v>
      </c>
      <c r="AN492" s="46">
        <v>0</v>
      </c>
      <c r="AO492" s="100">
        <f t="shared" si="209"/>
        <v>0</v>
      </c>
      <c r="AP492" s="3">
        <f t="shared" si="193"/>
        <v>0</v>
      </c>
    </row>
    <row r="493" spans="1:42" x14ac:dyDescent="0.2">
      <c r="A493" s="35" t="s">
        <v>434</v>
      </c>
      <c r="B493" s="37" t="s">
        <v>554</v>
      </c>
      <c r="C493" s="37" t="s">
        <v>571</v>
      </c>
      <c r="D493" s="52"/>
      <c r="E493" s="38" t="s">
        <v>594</v>
      </c>
      <c r="F493" s="36" t="s">
        <v>555</v>
      </c>
      <c r="G493" s="36" t="s">
        <v>580</v>
      </c>
      <c r="H493" s="39">
        <v>0</v>
      </c>
      <c r="I493" s="40">
        <v>0</v>
      </c>
      <c r="J493" s="39">
        <v>0</v>
      </c>
      <c r="K493" s="40">
        <v>0</v>
      </c>
      <c r="L493" s="37" t="s">
        <v>571</v>
      </c>
      <c r="M493" s="41">
        <v>12797.5</v>
      </c>
      <c r="N493" s="42">
        <v>0</v>
      </c>
      <c r="O493" s="36">
        <v>1</v>
      </c>
      <c r="P493" s="41">
        <f>(N493+O493)*M493</f>
        <v>12797.5</v>
      </c>
      <c r="Q493" s="36">
        <v>0</v>
      </c>
      <c r="R493" s="43">
        <f>O493-Q493</f>
        <v>1</v>
      </c>
      <c r="S493" s="43">
        <f>U493-O493</f>
        <v>0</v>
      </c>
      <c r="T493" s="41">
        <f>S493*M493</f>
        <v>0</v>
      </c>
      <c r="U493" s="44">
        <f>O493</f>
        <v>1</v>
      </c>
      <c r="V493" s="45">
        <f>U493*M493</f>
        <v>12797.5</v>
      </c>
      <c r="W493" s="36">
        <v>1</v>
      </c>
      <c r="X493" s="86">
        <v>12797.5</v>
      </c>
      <c r="Y493" s="199">
        <v>0</v>
      </c>
      <c r="Z493" s="44">
        <v>0</v>
      </c>
      <c r="AA493" s="41">
        <f t="shared" si="196"/>
        <v>0</v>
      </c>
      <c r="AB493" s="44">
        <v>0</v>
      </c>
      <c r="AC493" s="44">
        <f t="shared" si="208"/>
        <v>0</v>
      </c>
      <c r="AD493" s="44">
        <f t="shared" si="197"/>
        <v>0</v>
      </c>
      <c r="AE493" s="111">
        <f t="shared" si="198"/>
        <v>0</v>
      </c>
      <c r="AF493" s="51" t="s">
        <v>571</v>
      </c>
      <c r="AG493" s="115"/>
      <c r="AH493" s="35">
        <v>0</v>
      </c>
      <c r="AI493" s="36">
        <v>0</v>
      </c>
      <c r="AJ493" s="36">
        <v>0</v>
      </c>
      <c r="AK493" s="36"/>
      <c r="AL493" s="36">
        <v>0</v>
      </c>
      <c r="AM493" s="36">
        <v>0</v>
      </c>
      <c r="AN493" s="46">
        <v>0</v>
      </c>
      <c r="AO493" s="100">
        <f t="shared" si="209"/>
        <v>0</v>
      </c>
      <c r="AP493" s="3">
        <f t="shared" si="193"/>
        <v>0</v>
      </c>
    </row>
    <row r="494" spans="1:42" x14ac:dyDescent="0.2">
      <c r="A494" s="35" t="s">
        <v>705</v>
      </c>
      <c r="B494" s="37" t="s">
        <v>562</v>
      </c>
      <c r="C494" s="37" t="s">
        <v>571</v>
      </c>
      <c r="D494" s="52"/>
      <c r="E494" s="38" t="s">
        <v>758</v>
      </c>
      <c r="F494" s="36" t="s">
        <v>555</v>
      </c>
      <c r="G494" s="36" t="s">
        <v>600</v>
      </c>
      <c r="H494" s="39">
        <v>0</v>
      </c>
      <c r="I494" s="40">
        <v>0</v>
      </c>
      <c r="J494" s="39">
        <v>3</v>
      </c>
      <c r="K494" s="40">
        <v>7500</v>
      </c>
      <c r="L494" s="37" t="s">
        <v>571</v>
      </c>
      <c r="M494" s="41">
        <v>3109.78</v>
      </c>
      <c r="N494" s="42">
        <v>0</v>
      </c>
      <c r="O494" s="36">
        <v>29</v>
      </c>
      <c r="P494" s="41">
        <f>(N494+O494)*M494</f>
        <v>90183.62000000001</v>
      </c>
      <c r="Q494" s="36">
        <v>0</v>
      </c>
      <c r="R494" s="43">
        <f>O494-Q494</f>
        <v>29</v>
      </c>
      <c r="S494" s="43">
        <f>U494-O494</f>
        <v>0</v>
      </c>
      <c r="T494" s="41">
        <f>S494*M494</f>
        <v>0</v>
      </c>
      <c r="U494" s="44">
        <f>O494</f>
        <v>29</v>
      </c>
      <c r="V494" s="45">
        <f>U494*M494</f>
        <v>90183.62000000001</v>
      </c>
      <c r="W494" s="36">
        <v>4</v>
      </c>
      <c r="X494" s="86">
        <v>12439.12</v>
      </c>
      <c r="Y494" s="199">
        <v>0</v>
      </c>
      <c r="Z494" s="44">
        <v>0</v>
      </c>
      <c r="AA494" s="41">
        <f t="shared" si="196"/>
        <v>0</v>
      </c>
      <c r="AB494" s="44">
        <v>0</v>
      </c>
      <c r="AC494" s="44">
        <f t="shared" si="208"/>
        <v>0</v>
      </c>
      <c r="AD494" s="44">
        <f t="shared" si="197"/>
        <v>0</v>
      </c>
      <c r="AE494" s="111">
        <f t="shared" si="198"/>
        <v>0</v>
      </c>
      <c r="AF494" s="51" t="s">
        <v>571</v>
      </c>
      <c r="AG494" s="115"/>
      <c r="AH494" s="35">
        <v>0</v>
      </c>
      <c r="AI494" s="36">
        <v>0</v>
      </c>
      <c r="AJ494" s="36">
        <v>0</v>
      </c>
      <c r="AK494" s="36"/>
      <c r="AL494" s="36">
        <v>0</v>
      </c>
      <c r="AM494" s="36">
        <v>0</v>
      </c>
      <c r="AN494" s="46">
        <v>0</v>
      </c>
      <c r="AO494" s="100">
        <f t="shared" si="209"/>
        <v>0</v>
      </c>
      <c r="AP494" s="3">
        <f t="shared" si="193"/>
        <v>0</v>
      </c>
    </row>
    <row r="495" spans="1:42" x14ac:dyDescent="0.2">
      <c r="A495" s="49" t="s">
        <v>900</v>
      </c>
      <c r="B495" s="37" t="s">
        <v>562</v>
      </c>
      <c r="C495" s="37" t="s">
        <v>571</v>
      </c>
      <c r="D495" s="52"/>
      <c r="E495" s="38" t="s">
        <v>1010</v>
      </c>
      <c r="F495" s="36" t="s">
        <v>560</v>
      </c>
      <c r="G495" s="36" t="s">
        <v>981</v>
      </c>
      <c r="H495" s="39"/>
      <c r="I495" s="40"/>
      <c r="J495" s="39"/>
      <c r="K495" s="40"/>
      <c r="L495" s="51"/>
      <c r="M495" s="41">
        <v>1755</v>
      </c>
      <c r="N495" s="41"/>
      <c r="O495" s="36"/>
      <c r="P495" s="41"/>
      <c r="Q495" s="36"/>
      <c r="R495" s="43"/>
      <c r="S495" s="43"/>
      <c r="T495" s="41"/>
      <c r="U495" s="44"/>
      <c r="V495" s="45"/>
      <c r="W495" s="36">
        <v>7</v>
      </c>
      <c r="X495" s="86">
        <v>12285</v>
      </c>
      <c r="Y495" s="199">
        <v>0</v>
      </c>
      <c r="Z495" s="44">
        <v>0</v>
      </c>
      <c r="AA495" s="41">
        <f t="shared" si="196"/>
        <v>0</v>
      </c>
      <c r="AB495" s="44">
        <v>0</v>
      </c>
      <c r="AC495" s="44">
        <f t="shared" si="208"/>
        <v>0</v>
      </c>
      <c r="AD495" s="44">
        <f t="shared" si="197"/>
        <v>0</v>
      </c>
      <c r="AE495" s="111">
        <f t="shared" si="198"/>
        <v>0</v>
      </c>
      <c r="AF495" s="51" t="s">
        <v>571</v>
      </c>
      <c r="AG495" s="115"/>
      <c r="AH495" s="35">
        <v>0</v>
      </c>
      <c r="AI495" s="36">
        <v>0</v>
      </c>
      <c r="AJ495" s="36">
        <v>0</v>
      </c>
      <c r="AK495" s="36"/>
      <c r="AL495" s="36">
        <v>0</v>
      </c>
      <c r="AM495" s="36">
        <v>0</v>
      </c>
      <c r="AN495" s="46">
        <v>0</v>
      </c>
      <c r="AO495" s="100">
        <f t="shared" si="209"/>
        <v>0</v>
      </c>
      <c r="AP495" s="3">
        <f t="shared" si="193"/>
        <v>0</v>
      </c>
    </row>
    <row r="496" spans="1:42" x14ac:dyDescent="0.2">
      <c r="A496" s="35" t="s">
        <v>728</v>
      </c>
      <c r="B496" s="37" t="s">
        <v>554</v>
      </c>
      <c r="C496" s="37" t="s">
        <v>571</v>
      </c>
      <c r="D496" s="52"/>
      <c r="E496" s="38" t="s">
        <v>783</v>
      </c>
      <c r="F496" s="36" t="s">
        <v>560</v>
      </c>
      <c r="G496" s="36" t="s">
        <v>978</v>
      </c>
      <c r="H496" s="39">
        <v>0</v>
      </c>
      <c r="I496" s="40">
        <v>0</v>
      </c>
      <c r="J496" s="39">
        <v>0</v>
      </c>
      <c r="K496" s="40">
        <v>0</v>
      </c>
      <c r="L496" s="37" t="s">
        <v>571</v>
      </c>
      <c r="M496" s="47">
        <v>583.33000000000004</v>
      </c>
      <c r="N496" s="48">
        <v>0</v>
      </c>
      <c r="O496" s="36">
        <v>19</v>
      </c>
      <c r="P496" s="47">
        <f>(N496+O496)*M496</f>
        <v>11083.27</v>
      </c>
      <c r="Q496" s="36">
        <v>0</v>
      </c>
      <c r="R496" s="43">
        <f>O496-Q496</f>
        <v>19</v>
      </c>
      <c r="S496" s="43">
        <f>U496-O496</f>
        <v>0</v>
      </c>
      <c r="T496" s="47">
        <f>S496*M496</f>
        <v>0</v>
      </c>
      <c r="U496" s="44">
        <f>O496</f>
        <v>19</v>
      </c>
      <c r="V496" s="45">
        <f>U496*M496</f>
        <v>11083.27</v>
      </c>
      <c r="W496" s="36">
        <v>19</v>
      </c>
      <c r="X496" s="86">
        <v>11083.27</v>
      </c>
      <c r="Y496" s="199">
        <v>0</v>
      </c>
      <c r="Z496" s="44">
        <v>0</v>
      </c>
      <c r="AA496" s="41">
        <f t="shared" si="196"/>
        <v>0</v>
      </c>
      <c r="AB496" s="44">
        <v>0</v>
      </c>
      <c r="AC496" s="44">
        <f t="shared" si="208"/>
        <v>0</v>
      </c>
      <c r="AD496" s="44">
        <f t="shared" si="197"/>
        <v>0</v>
      </c>
      <c r="AE496" s="111">
        <f t="shared" si="198"/>
        <v>0</v>
      </c>
      <c r="AF496" s="51" t="s">
        <v>571</v>
      </c>
      <c r="AG496" s="115"/>
      <c r="AH496" s="35">
        <v>0</v>
      </c>
      <c r="AI496" s="36">
        <v>0</v>
      </c>
      <c r="AJ496" s="36">
        <v>0</v>
      </c>
      <c r="AK496" s="36"/>
      <c r="AL496" s="36">
        <v>0</v>
      </c>
      <c r="AM496" s="36">
        <v>0</v>
      </c>
      <c r="AN496" s="46">
        <v>0</v>
      </c>
      <c r="AO496" s="100">
        <f t="shared" si="209"/>
        <v>0</v>
      </c>
      <c r="AP496" s="3">
        <f t="shared" si="193"/>
        <v>0</v>
      </c>
    </row>
    <row r="497" spans="1:42" x14ac:dyDescent="0.2">
      <c r="A497" s="49" t="s">
        <v>901</v>
      </c>
      <c r="B497" s="37" t="s">
        <v>562</v>
      </c>
      <c r="C497" s="37" t="s">
        <v>571</v>
      </c>
      <c r="D497" s="52"/>
      <c r="E497" s="38" t="s">
        <v>770</v>
      </c>
      <c r="F497" s="36" t="s">
        <v>564</v>
      </c>
      <c r="G497" s="36" t="s">
        <v>982</v>
      </c>
      <c r="H497" s="39"/>
      <c r="I497" s="40"/>
      <c r="J497" s="39"/>
      <c r="K497" s="40"/>
      <c r="L497" s="51"/>
      <c r="M497" s="41">
        <v>1782</v>
      </c>
      <c r="N497" s="41"/>
      <c r="O497" s="36"/>
      <c r="P497" s="41"/>
      <c r="Q497" s="36"/>
      <c r="R497" s="43"/>
      <c r="S497" s="43"/>
      <c r="T497" s="41"/>
      <c r="U497" s="44"/>
      <c r="V497" s="45"/>
      <c r="W497" s="36">
        <v>6</v>
      </c>
      <c r="X497" s="86">
        <v>10692</v>
      </c>
      <c r="Y497" s="199">
        <v>0</v>
      </c>
      <c r="Z497" s="44">
        <v>0</v>
      </c>
      <c r="AA497" s="41">
        <f t="shared" si="196"/>
        <v>0</v>
      </c>
      <c r="AB497" s="44">
        <v>0</v>
      </c>
      <c r="AC497" s="44">
        <f t="shared" si="208"/>
        <v>0</v>
      </c>
      <c r="AD497" s="44">
        <f t="shared" si="197"/>
        <v>0</v>
      </c>
      <c r="AE497" s="111">
        <f t="shared" si="198"/>
        <v>0</v>
      </c>
      <c r="AF497" s="51" t="s">
        <v>571</v>
      </c>
      <c r="AG497" s="115"/>
      <c r="AH497" s="35">
        <v>0</v>
      </c>
      <c r="AI497" s="36">
        <v>0</v>
      </c>
      <c r="AJ497" s="36">
        <v>0</v>
      </c>
      <c r="AK497" s="36"/>
      <c r="AL497" s="36">
        <v>0</v>
      </c>
      <c r="AM497" s="36">
        <v>0</v>
      </c>
      <c r="AN497" s="46">
        <v>0</v>
      </c>
      <c r="AO497" s="100">
        <f t="shared" si="209"/>
        <v>0</v>
      </c>
      <c r="AP497" s="3">
        <f t="shared" si="193"/>
        <v>0</v>
      </c>
    </row>
    <row r="498" spans="1:42" x14ac:dyDescent="0.2">
      <c r="A498" s="49" t="s">
        <v>902</v>
      </c>
      <c r="B498" s="37" t="s">
        <v>556</v>
      </c>
      <c r="C498" s="37" t="s">
        <v>578</v>
      </c>
      <c r="D498" s="52">
        <v>46387</v>
      </c>
      <c r="E498" s="38" t="s">
        <v>754</v>
      </c>
      <c r="F498" s="36" t="s">
        <v>564</v>
      </c>
      <c r="G498" s="36" t="s">
        <v>674</v>
      </c>
      <c r="H498" s="39"/>
      <c r="I498" s="40"/>
      <c r="J498" s="39"/>
      <c r="K498" s="40"/>
      <c r="L498" s="51"/>
      <c r="M498" s="41">
        <v>177.25</v>
      </c>
      <c r="N498" s="41"/>
      <c r="O498" s="36"/>
      <c r="P498" s="41"/>
      <c r="Q498" s="36"/>
      <c r="R498" s="43"/>
      <c r="S498" s="43"/>
      <c r="T498" s="41"/>
      <c r="U498" s="44"/>
      <c r="V498" s="45"/>
      <c r="W498" s="36">
        <v>57</v>
      </c>
      <c r="X498" s="86">
        <v>10103.25</v>
      </c>
      <c r="Y498" s="199">
        <v>0</v>
      </c>
      <c r="Z498" s="44">
        <v>0</v>
      </c>
      <c r="AA498" s="41">
        <f t="shared" si="196"/>
        <v>0</v>
      </c>
      <c r="AB498" s="44">
        <v>0</v>
      </c>
      <c r="AC498" s="44">
        <f t="shared" si="208"/>
        <v>0</v>
      </c>
      <c r="AD498" s="44">
        <f t="shared" si="197"/>
        <v>0</v>
      </c>
      <c r="AE498" s="111">
        <f t="shared" si="198"/>
        <v>0</v>
      </c>
      <c r="AF498" s="51" t="s">
        <v>571</v>
      </c>
      <c r="AG498" s="115"/>
      <c r="AH498" s="35">
        <v>0</v>
      </c>
      <c r="AI498" s="36">
        <v>0</v>
      </c>
      <c r="AJ498" s="36">
        <v>0</v>
      </c>
      <c r="AK498" s="36"/>
      <c r="AL498" s="36">
        <v>0</v>
      </c>
      <c r="AM498" s="36">
        <v>0</v>
      </c>
      <c r="AN498" s="46">
        <v>0</v>
      </c>
      <c r="AO498" s="100">
        <f t="shared" si="209"/>
        <v>0</v>
      </c>
      <c r="AP498" s="3">
        <f t="shared" si="193"/>
        <v>0</v>
      </c>
    </row>
    <row r="499" spans="1:42" x14ac:dyDescent="0.2">
      <c r="A499" s="49" t="s">
        <v>903</v>
      </c>
      <c r="B499" s="37" t="s">
        <v>565</v>
      </c>
      <c r="C499" s="37" t="s">
        <v>571</v>
      </c>
      <c r="D499" s="52"/>
      <c r="E499" s="38" t="s">
        <v>1011</v>
      </c>
      <c r="F499" s="36" t="s">
        <v>559</v>
      </c>
      <c r="G499" s="36" t="s">
        <v>637</v>
      </c>
      <c r="H499" s="39"/>
      <c r="I499" s="40"/>
      <c r="J499" s="39"/>
      <c r="K499" s="40"/>
      <c r="L499" s="51"/>
      <c r="M499" s="41">
        <v>100.18</v>
      </c>
      <c r="N499" s="41"/>
      <c r="O499" s="36"/>
      <c r="P499" s="41"/>
      <c r="Q499" s="36"/>
      <c r="R499" s="43"/>
      <c r="S499" s="43"/>
      <c r="T499" s="41"/>
      <c r="U499" s="44"/>
      <c r="V499" s="45"/>
      <c r="W499" s="36">
        <v>100</v>
      </c>
      <c r="X499" s="86">
        <v>10018</v>
      </c>
      <c r="Y499" s="199">
        <v>0</v>
      </c>
      <c r="Z499" s="44">
        <v>0</v>
      </c>
      <c r="AA499" s="41">
        <f t="shared" si="196"/>
        <v>0</v>
      </c>
      <c r="AB499" s="44">
        <v>0</v>
      </c>
      <c r="AC499" s="44">
        <f t="shared" si="208"/>
        <v>0</v>
      </c>
      <c r="AD499" s="44">
        <f t="shared" si="197"/>
        <v>0</v>
      </c>
      <c r="AE499" s="111">
        <f t="shared" si="198"/>
        <v>0</v>
      </c>
      <c r="AF499" s="51" t="s">
        <v>571</v>
      </c>
      <c r="AG499" s="115"/>
      <c r="AH499" s="35">
        <v>0</v>
      </c>
      <c r="AI499" s="36">
        <v>0</v>
      </c>
      <c r="AJ499" s="36">
        <v>0</v>
      </c>
      <c r="AK499" s="36"/>
      <c r="AL499" s="36">
        <v>0</v>
      </c>
      <c r="AM499" s="36">
        <v>0</v>
      </c>
      <c r="AN499" s="46">
        <v>0</v>
      </c>
      <c r="AO499" s="100">
        <f t="shared" si="209"/>
        <v>0</v>
      </c>
      <c r="AP499" s="3">
        <f t="shared" si="193"/>
        <v>0</v>
      </c>
    </row>
    <row r="500" spans="1:42" x14ac:dyDescent="0.2">
      <c r="A500" s="35" t="s">
        <v>739</v>
      </c>
      <c r="B500" s="37" t="s">
        <v>565</v>
      </c>
      <c r="C500" s="37" t="s">
        <v>578</v>
      </c>
      <c r="D500" s="52">
        <v>46752</v>
      </c>
      <c r="E500" s="38" t="s">
        <v>772</v>
      </c>
      <c r="F500" s="36" t="s">
        <v>559</v>
      </c>
      <c r="G500" s="36" t="s">
        <v>742</v>
      </c>
      <c r="H500" s="39">
        <v>0</v>
      </c>
      <c r="I500" s="40">
        <v>0</v>
      </c>
      <c r="J500" s="39">
        <v>560</v>
      </c>
      <c r="K500" s="40">
        <v>25916.799999999999</v>
      </c>
      <c r="L500" s="37" t="s">
        <v>571</v>
      </c>
      <c r="M500" s="41">
        <v>47.280000000000008</v>
      </c>
      <c r="N500" s="42" t="s">
        <v>741</v>
      </c>
      <c r="O500" s="36">
        <v>100</v>
      </c>
      <c r="P500" s="41">
        <f>(N500+O500)*M500</f>
        <v>4728.0000000000009</v>
      </c>
      <c r="Q500" s="36"/>
      <c r="R500" s="43"/>
      <c r="S500" s="43">
        <f>U500-O500</f>
        <v>0</v>
      </c>
      <c r="T500" s="41">
        <f>S500*M500</f>
        <v>0</v>
      </c>
      <c r="U500" s="44">
        <f>O500</f>
        <v>100</v>
      </c>
      <c r="V500" s="45">
        <f>U500*M500</f>
        <v>4728.0000000000009</v>
      </c>
      <c r="W500" s="36">
        <v>196</v>
      </c>
      <c r="X500" s="86">
        <v>9266.880000000001</v>
      </c>
      <c r="Y500" s="199">
        <v>0</v>
      </c>
      <c r="Z500" s="44">
        <v>0</v>
      </c>
      <c r="AA500" s="41">
        <f t="shared" si="196"/>
        <v>0</v>
      </c>
      <c r="AB500" s="44">
        <v>0</v>
      </c>
      <c r="AC500" s="44">
        <f t="shared" si="208"/>
        <v>0</v>
      </c>
      <c r="AD500" s="44">
        <f t="shared" si="197"/>
        <v>0</v>
      </c>
      <c r="AE500" s="111">
        <f t="shared" si="198"/>
        <v>0</v>
      </c>
      <c r="AF500" s="51" t="s">
        <v>571</v>
      </c>
      <c r="AG500" s="115"/>
      <c r="AH500" s="35">
        <v>0</v>
      </c>
      <c r="AI500" s="36">
        <v>0</v>
      </c>
      <c r="AJ500" s="36">
        <v>0</v>
      </c>
      <c r="AK500" s="36"/>
      <c r="AL500" s="36">
        <v>0</v>
      </c>
      <c r="AM500" s="36">
        <v>0</v>
      </c>
      <c r="AN500" s="46">
        <v>0</v>
      </c>
      <c r="AO500" s="100">
        <f t="shared" si="209"/>
        <v>0</v>
      </c>
      <c r="AP500" s="3">
        <f t="shared" si="193"/>
        <v>0</v>
      </c>
    </row>
    <row r="501" spans="1:42" x14ac:dyDescent="0.2">
      <c r="A501" s="35" t="s">
        <v>723</v>
      </c>
      <c r="B501" s="37" t="s">
        <v>562</v>
      </c>
      <c r="C501" s="37" t="s">
        <v>571</v>
      </c>
      <c r="D501" s="52"/>
      <c r="E501" s="38" t="s">
        <v>758</v>
      </c>
      <c r="F501" s="36" t="s">
        <v>555</v>
      </c>
      <c r="G501" s="36" t="s">
        <v>969</v>
      </c>
      <c r="H501" s="39">
        <v>0</v>
      </c>
      <c r="I501" s="40">
        <v>0</v>
      </c>
      <c r="J501" s="39">
        <v>0</v>
      </c>
      <c r="K501" s="40">
        <v>0</v>
      </c>
      <c r="L501" s="37" t="s">
        <v>571</v>
      </c>
      <c r="M501" s="41">
        <v>4631.51</v>
      </c>
      <c r="N501" s="42">
        <v>0</v>
      </c>
      <c r="O501" s="36">
        <v>2</v>
      </c>
      <c r="P501" s="41">
        <f>(N501+O501)*M501</f>
        <v>9263.02</v>
      </c>
      <c r="Q501" s="36">
        <v>0</v>
      </c>
      <c r="R501" s="43">
        <f>O501-Q501</f>
        <v>2</v>
      </c>
      <c r="S501" s="43">
        <f>U501-O501</f>
        <v>0</v>
      </c>
      <c r="T501" s="41">
        <f>S501*M501</f>
        <v>0</v>
      </c>
      <c r="U501" s="44">
        <f>O501</f>
        <v>2</v>
      </c>
      <c r="V501" s="45">
        <f>U501*M501</f>
        <v>9263.02</v>
      </c>
      <c r="W501" s="36">
        <v>2</v>
      </c>
      <c r="X501" s="86">
        <v>9263.02</v>
      </c>
      <c r="Y501" s="199">
        <v>0</v>
      </c>
      <c r="Z501" s="44">
        <v>0</v>
      </c>
      <c r="AA501" s="41">
        <f t="shared" si="196"/>
        <v>0</v>
      </c>
      <c r="AB501" s="44">
        <v>0</v>
      </c>
      <c r="AC501" s="44">
        <f t="shared" si="208"/>
        <v>0</v>
      </c>
      <c r="AD501" s="44">
        <f t="shared" si="197"/>
        <v>0</v>
      </c>
      <c r="AE501" s="111">
        <f t="shared" si="198"/>
        <v>0</v>
      </c>
      <c r="AF501" s="51" t="s">
        <v>571</v>
      </c>
      <c r="AG501" s="115"/>
      <c r="AH501" s="35">
        <v>0</v>
      </c>
      <c r="AI501" s="36">
        <v>0</v>
      </c>
      <c r="AJ501" s="36">
        <v>0</v>
      </c>
      <c r="AK501" s="36"/>
      <c r="AL501" s="36">
        <v>0</v>
      </c>
      <c r="AM501" s="36">
        <v>0</v>
      </c>
      <c r="AN501" s="46">
        <v>0</v>
      </c>
      <c r="AO501" s="100">
        <f t="shared" si="209"/>
        <v>0</v>
      </c>
      <c r="AP501" s="3">
        <f t="shared" si="193"/>
        <v>0</v>
      </c>
    </row>
    <row r="502" spans="1:42" x14ac:dyDescent="0.2">
      <c r="A502" s="35" t="s">
        <v>413</v>
      </c>
      <c r="B502" s="37" t="s">
        <v>567</v>
      </c>
      <c r="C502" s="37" t="s">
        <v>571</v>
      </c>
      <c r="D502" s="52"/>
      <c r="E502" s="38" t="s">
        <v>758</v>
      </c>
      <c r="F502" s="36" t="s">
        <v>555</v>
      </c>
      <c r="G502" s="36" t="s">
        <v>666</v>
      </c>
      <c r="H502" s="39">
        <v>950</v>
      </c>
      <c r="I502" s="40">
        <v>20548.5</v>
      </c>
      <c r="J502" s="39">
        <v>442</v>
      </c>
      <c r="K502" s="40">
        <v>10914.5</v>
      </c>
      <c r="L502" s="37" t="s">
        <v>571</v>
      </c>
      <c r="M502" s="41">
        <v>23.25</v>
      </c>
      <c r="N502" s="42">
        <v>0</v>
      </c>
      <c r="O502" s="36">
        <v>372</v>
      </c>
      <c r="P502" s="41">
        <f>(N502+O502)*M502</f>
        <v>8649</v>
      </c>
      <c r="Q502" s="36">
        <v>521</v>
      </c>
      <c r="R502" s="43">
        <f>O502-Q502</f>
        <v>-149</v>
      </c>
      <c r="S502" s="43">
        <f>U502-O502</f>
        <v>0</v>
      </c>
      <c r="T502" s="41">
        <f>S502*M502</f>
        <v>0</v>
      </c>
      <c r="U502" s="44">
        <f>O502</f>
        <v>372</v>
      </c>
      <c r="V502" s="45">
        <f>U502*M502</f>
        <v>8649</v>
      </c>
      <c r="W502" s="36">
        <v>372</v>
      </c>
      <c r="X502" s="86">
        <v>8649</v>
      </c>
      <c r="Y502" s="199">
        <v>0</v>
      </c>
      <c r="Z502" s="44">
        <v>0</v>
      </c>
      <c r="AA502" s="41">
        <f t="shared" si="196"/>
        <v>0</v>
      </c>
      <c r="AB502" s="44">
        <v>0</v>
      </c>
      <c r="AC502" s="44">
        <f t="shared" si="208"/>
        <v>0</v>
      </c>
      <c r="AD502" s="44">
        <f t="shared" si="197"/>
        <v>0</v>
      </c>
      <c r="AE502" s="111">
        <f t="shared" si="198"/>
        <v>0</v>
      </c>
      <c r="AF502" s="51" t="s">
        <v>571</v>
      </c>
      <c r="AG502" s="115"/>
      <c r="AH502" s="35">
        <v>0</v>
      </c>
      <c r="AI502" s="36">
        <v>0</v>
      </c>
      <c r="AJ502" s="36">
        <v>0</v>
      </c>
      <c r="AK502" s="36"/>
      <c r="AL502" s="36">
        <v>0</v>
      </c>
      <c r="AM502" s="36">
        <v>0</v>
      </c>
      <c r="AN502" s="46">
        <v>0</v>
      </c>
      <c r="AO502" s="100">
        <f t="shared" si="209"/>
        <v>0</v>
      </c>
      <c r="AP502" s="3">
        <f t="shared" si="193"/>
        <v>0</v>
      </c>
    </row>
    <row r="503" spans="1:42" x14ac:dyDescent="0.2">
      <c r="A503" s="49" t="s">
        <v>904</v>
      </c>
      <c r="B503" s="37" t="s">
        <v>562</v>
      </c>
      <c r="C503" s="37" t="s">
        <v>571</v>
      </c>
      <c r="D503" s="52"/>
      <c r="E503" s="38" t="s">
        <v>1010</v>
      </c>
      <c r="F503" s="36" t="s">
        <v>560</v>
      </c>
      <c r="G503" s="36" t="s">
        <v>981</v>
      </c>
      <c r="H503" s="39"/>
      <c r="I503" s="40"/>
      <c r="J503" s="39"/>
      <c r="K503" s="40"/>
      <c r="L503" s="51"/>
      <c r="M503" s="41">
        <v>1919.04</v>
      </c>
      <c r="N503" s="41"/>
      <c r="O503" s="36"/>
      <c r="P503" s="41"/>
      <c r="Q503" s="36"/>
      <c r="R503" s="43"/>
      <c r="S503" s="43"/>
      <c r="T503" s="41"/>
      <c r="U503" s="44"/>
      <c r="V503" s="45"/>
      <c r="W503" s="36">
        <v>4</v>
      </c>
      <c r="X503" s="86">
        <v>7676.16</v>
      </c>
      <c r="Y503" s="199">
        <v>0</v>
      </c>
      <c r="Z503" s="44">
        <v>0</v>
      </c>
      <c r="AA503" s="41">
        <f t="shared" si="196"/>
        <v>0</v>
      </c>
      <c r="AB503" s="44">
        <v>0</v>
      </c>
      <c r="AC503" s="44">
        <f t="shared" si="208"/>
        <v>0</v>
      </c>
      <c r="AD503" s="44">
        <f t="shared" si="197"/>
        <v>0</v>
      </c>
      <c r="AE503" s="111">
        <f t="shared" si="198"/>
        <v>0</v>
      </c>
      <c r="AF503" s="51" t="s">
        <v>571</v>
      </c>
      <c r="AG503" s="115"/>
      <c r="AH503" s="35">
        <v>0</v>
      </c>
      <c r="AI503" s="36">
        <v>0</v>
      </c>
      <c r="AJ503" s="36">
        <v>0</v>
      </c>
      <c r="AK503" s="36"/>
      <c r="AL503" s="36">
        <v>0</v>
      </c>
      <c r="AM503" s="36">
        <v>0</v>
      </c>
      <c r="AN503" s="46">
        <v>0</v>
      </c>
      <c r="AO503" s="100">
        <f t="shared" si="209"/>
        <v>0</v>
      </c>
      <c r="AP503" s="3">
        <f t="shared" si="193"/>
        <v>0</v>
      </c>
    </row>
    <row r="504" spans="1:42" x14ac:dyDescent="0.2">
      <c r="A504" s="35" t="s">
        <v>198</v>
      </c>
      <c r="B504" s="37" t="s">
        <v>562</v>
      </c>
      <c r="C504" s="37" t="s">
        <v>571</v>
      </c>
      <c r="D504" s="52"/>
      <c r="E504" s="38" t="s">
        <v>772</v>
      </c>
      <c r="F504" s="36" t="s">
        <v>559</v>
      </c>
      <c r="G504" s="36" t="s">
        <v>670</v>
      </c>
      <c r="H504" s="39">
        <v>0</v>
      </c>
      <c r="I504" s="40">
        <v>0</v>
      </c>
      <c r="J504" s="39">
        <v>0</v>
      </c>
      <c r="K504" s="40">
        <v>0</v>
      </c>
      <c r="L504" s="37" t="s">
        <v>571</v>
      </c>
      <c r="M504" s="41">
        <v>75.510000000000005</v>
      </c>
      <c r="N504" s="42">
        <v>0</v>
      </c>
      <c r="O504" s="36">
        <v>100</v>
      </c>
      <c r="P504" s="41">
        <f>(N504+O504)*M504</f>
        <v>7551.0000000000009</v>
      </c>
      <c r="Q504" s="36">
        <v>0</v>
      </c>
      <c r="R504" s="43">
        <f>O504-Q504</f>
        <v>100</v>
      </c>
      <c r="S504" s="43">
        <f>U504-O504</f>
        <v>0</v>
      </c>
      <c r="T504" s="41">
        <f>S504*M504</f>
        <v>0</v>
      </c>
      <c r="U504" s="44">
        <f>O504</f>
        <v>100</v>
      </c>
      <c r="V504" s="45">
        <f>U504*M504</f>
        <v>7551.0000000000009</v>
      </c>
      <c r="W504" s="36">
        <v>100</v>
      </c>
      <c r="X504" s="86">
        <v>7551</v>
      </c>
      <c r="Y504" s="199">
        <v>0</v>
      </c>
      <c r="Z504" s="44">
        <v>0</v>
      </c>
      <c r="AA504" s="41">
        <f t="shared" si="196"/>
        <v>0</v>
      </c>
      <c r="AB504" s="44">
        <v>0</v>
      </c>
      <c r="AC504" s="44">
        <f t="shared" si="208"/>
        <v>0</v>
      </c>
      <c r="AD504" s="44">
        <f t="shared" si="197"/>
        <v>0</v>
      </c>
      <c r="AE504" s="111">
        <f t="shared" si="198"/>
        <v>0</v>
      </c>
      <c r="AF504" s="51" t="s">
        <v>571</v>
      </c>
      <c r="AG504" s="115"/>
      <c r="AH504" s="35">
        <v>0</v>
      </c>
      <c r="AI504" s="36">
        <v>0</v>
      </c>
      <c r="AJ504" s="36">
        <v>0</v>
      </c>
      <c r="AK504" s="36"/>
      <c r="AL504" s="36">
        <v>0</v>
      </c>
      <c r="AM504" s="36">
        <v>0</v>
      </c>
      <c r="AN504" s="46">
        <v>0</v>
      </c>
      <c r="AO504" s="100">
        <f t="shared" si="209"/>
        <v>0</v>
      </c>
      <c r="AP504" s="3">
        <f t="shared" si="193"/>
        <v>0</v>
      </c>
    </row>
    <row r="505" spans="1:42" x14ac:dyDescent="0.2">
      <c r="A505" s="35" t="s">
        <v>536</v>
      </c>
      <c r="B505" s="37" t="s">
        <v>565</v>
      </c>
      <c r="C505" s="37" t="s">
        <v>571</v>
      </c>
      <c r="D505" s="52"/>
      <c r="E505" s="38" t="s">
        <v>806</v>
      </c>
      <c r="F505" s="36" t="s">
        <v>563</v>
      </c>
      <c r="G505" s="36" t="s">
        <v>688</v>
      </c>
      <c r="H505" s="39">
        <v>308</v>
      </c>
      <c r="I505" s="40">
        <v>34188</v>
      </c>
      <c r="J505" s="39">
        <v>60</v>
      </c>
      <c r="K505" s="40">
        <v>14880</v>
      </c>
      <c r="L505" s="37" t="s">
        <v>571</v>
      </c>
      <c r="M505" s="41">
        <v>385</v>
      </c>
      <c r="N505" s="42">
        <v>0</v>
      </c>
      <c r="O505" s="36">
        <v>0</v>
      </c>
      <c r="P505" s="41">
        <f>(N505+O505)*M505</f>
        <v>0</v>
      </c>
      <c r="Q505" s="36">
        <v>60</v>
      </c>
      <c r="R505" s="43">
        <f>O505-Q505</f>
        <v>-60</v>
      </c>
      <c r="S505" s="43">
        <f>U505-O505</f>
        <v>60</v>
      </c>
      <c r="T505" s="41">
        <f>S505*M505</f>
        <v>23100</v>
      </c>
      <c r="U505" s="44">
        <f>Q505</f>
        <v>60</v>
      </c>
      <c r="V505" s="45">
        <f>U505*M505</f>
        <v>23100</v>
      </c>
      <c r="W505" s="36">
        <v>19</v>
      </c>
      <c r="X505" s="86">
        <v>7315</v>
      </c>
      <c r="Y505" s="199">
        <v>0</v>
      </c>
      <c r="Z505" s="44">
        <v>0</v>
      </c>
      <c r="AA505" s="41">
        <f t="shared" si="196"/>
        <v>0</v>
      </c>
      <c r="AB505" s="44">
        <v>0</v>
      </c>
      <c r="AC505" s="44">
        <f t="shared" si="208"/>
        <v>0</v>
      </c>
      <c r="AD505" s="44">
        <f t="shared" si="197"/>
        <v>0</v>
      </c>
      <c r="AE505" s="111">
        <f t="shared" si="198"/>
        <v>0</v>
      </c>
      <c r="AF505" s="51" t="s">
        <v>571</v>
      </c>
      <c r="AG505" s="115"/>
      <c r="AH505" s="35">
        <v>0</v>
      </c>
      <c r="AI505" s="36">
        <v>0</v>
      </c>
      <c r="AJ505" s="36">
        <v>0</v>
      </c>
      <c r="AK505" s="36"/>
      <c r="AL505" s="36">
        <v>0</v>
      </c>
      <c r="AM505" s="36">
        <v>0</v>
      </c>
      <c r="AN505" s="46">
        <v>0</v>
      </c>
      <c r="AO505" s="100">
        <f t="shared" si="209"/>
        <v>0</v>
      </c>
      <c r="AP505" s="3">
        <f t="shared" si="193"/>
        <v>0</v>
      </c>
    </row>
    <row r="506" spans="1:42" x14ac:dyDescent="0.2">
      <c r="A506" s="49" t="s">
        <v>906</v>
      </c>
      <c r="B506" s="37" t="s">
        <v>554</v>
      </c>
      <c r="C506" s="37" t="s">
        <v>571</v>
      </c>
      <c r="D506" s="52"/>
      <c r="E506" s="38" t="s">
        <v>754</v>
      </c>
      <c r="F506" s="36" t="s">
        <v>559</v>
      </c>
      <c r="G506" s="36" t="s">
        <v>663</v>
      </c>
      <c r="H506" s="39"/>
      <c r="I506" s="40"/>
      <c r="J506" s="39"/>
      <c r="K506" s="40"/>
      <c r="L506" s="51"/>
      <c r="M506" s="41">
        <v>145.03000000000003</v>
      </c>
      <c r="N506" s="41"/>
      <c r="O506" s="36"/>
      <c r="P506" s="41"/>
      <c r="Q506" s="36"/>
      <c r="R506" s="43"/>
      <c r="S506" s="43"/>
      <c r="T506" s="41"/>
      <c r="U506" s="44"/>
      <c r="V506" s="45"/>
      <c r="W506" s="36">
        <v>47</v>
      </c>
      <c r="X506" s="86">
        <v>6816.4100000000008</v>
      </c>
      <c r="Y506" s="199">
        <v>0</v>
      </c>
      <c r="Z506" s="44">
        <v>0</v>
      </c>
      <c r="AA506" s="41">
        <f t="shared" si="196"/>
        <v>0</v>
      </c>
      <c r="AB506" s="44">
        <v>0</v>
      </c>
      <c r="AC506" s="44">
        <f t="shared" si="208"/>
        <v>0</v>
      </c>
      <c r="AD506" s="44">
        <f t="shared" si="197"/>
        <v>0</v>
      </c>
      <c r="AE506" s="111">
        <f t="shared" si="198"/>
        <v>0</v>
      </c>
      <c r="AF506" s="51" t="s">
        <v>571</v>
      </c>
      <c r="AG506" s="115"/>
      <c r="AH506" s="35">
        <v>0</v>
      </c>
      <c r="AI506" s="36">
        <v>0</v>
      </c>
      <c r="AJ506" s="36">
        <v>0</v>
      </c>
      <c r="AK506" s="36"/>
      <c r="AL506" s="36">
        <v>0</v>
      </c>
      <c r="AM506" s="36">
        <v>0</v>
      </c>
      <c r="AN506" s="46">
        <v>0</v>
      </c>
      <c r="AO506" s="100">
        <f t="shared" si="209"/>
        <v>0</v>
      </c>
      <c r="AP506" s="3">
        <f t="shared" ref="AP506:AP569" si="210">AC506*Y506</f>
        <v>0</v>
      </c>
    </row>
    <row r="507" spans="1:42" x14ac:dyDescent="0.2">
      <c r="A507" s="35" t="s">
        <v>709</v>
      </c>
      <c r="B507" s="37" t="s">
        <v>562</v>
      </c>
      <c r="C507" s="37" t="s">
        <v>571</v>
      </c>
      <c r="D507" s="52"/>
      <c r="E507" s="38" t="s">
        <v>594</v>
      </c>
      <c r="F507" s="36" t="s">
        <v>555</v>
      </c>
      <c r="G507" s="36" t="s">
        <v>624</v>
      </c>
      <c r="H507" s="39">
        <v>0</v>
      </c>
      <c r="I507" s="40">
        <v>0</v>
      </c>
      <c r="J507" s="39">
        <v>0</v>
      </c>
      <c r="K507" s="40">
        <v>0</v>
      </c>
      <c r="L507" s="37" t="s">
        <v>571</v>
      </c>
      <c r="M507" s="41">
        <v>415</v>
      </c>
      <c r="N507" s="42">
        <v>0</v>
      </c>
      <c r="O507" s="36">
        <v>16</v>
      </c>
      <c r="P507" s="41">
        <f>(N507+O507)*M507</f>
        <v>6640</v>
      </c>
      <c r="Q507" s="36">
        <v>0</v>
      </c>
      <c r="R507" s="43">
        <f>O507-Q507</f>
        <v>16</v>
      </c>
      <c r="S507" s="43">
        <f>U507-O507</f>
        <v>0</v>
      </c>
      <c r="T507" s="41">
        <f>S507*M507</f>
        <v>0</v>
      </c>
      <c r="U507" s="44">
        <f>O507</f>
        <v>16</v>
      </c>
      <c r="V507" s="45">
        <f>U507*M507</f>
        <v>6640</v>
      </c>
      <c r="W507" s="36">
        <v>16</v>
      </c>
      <c r="X507" s="86">
        <v>6640</v>
      </c>
      <c r="Y507" s="199">
        <v>0</v>
      </c>
      <c r="Z507" s="44">
        <v>0</v>
      </c>
      <c r="AA507" s="41">
        <f t="shared" si="196"/>
        <v>0</v>
      </c>
      <c r="AB507" s="44">
        <v>0</v>
      </c>
      <c r="AC507" s="44">
        <f t="shared" ref="AC507:AC538" si="211">AB507+AO507</f>
        <v>0</v>
      </c>
      <c r="AD507" s="44">
        <f t="shared" si="197"/>
        <v>0</v>
      </c>
      <c r="AE507" s="111">
        <f t="shared" si="198"/>
        <v>0</v>
      </c>
      <c r="AF507" s="51" t="s">
        <v>571</v>
      </c>
      <c r="AG507" s="115"/>
      <c r="AH507" s="35">
        <v>0</v>
      </c>
      <c r="AI507" s="36">
        <v>0</v>
      </c>
      <c r="AJ507" s="36">
        <v>0</v>
      </c>
      <c r="AK507" s="36"/>
      <c r="AL507" s="36">
        <v>0</v>
      </c>
      <c r="AM507" s="36">
        <v>0</v>
      </c>
      <c r="AN507" s="46">
        <v>0</v>
      </c>
      <c r="AO507" s="100">
        <f t="shared" ref="AO507:AO538" si="212">SUM(AH507:AN507)</f>
        <v>0</v>
      </c>
      <c r="AP507" s="3">
        <f t="shared" si="210"/>
        <v>0</v>
      </c>
    </row>
    <row r="508" spans="1:42" x14ac:dyDescent="0.2">
      <c r="A508" s="49" t="s">
        <v>907</v>
      </c>
      <c r="B508" s="37" t="s">
        <v>562</v>
      </c>
      <c r="C508" s="37" t="s">
        <v>571</v>
      </c>
      <c r="D508" s="52"/>
      <c r="E508" s="38" t="s">
        <v>1010</v>
      </c>
      <c r="F508" s="36" t="s">
        <v>560</v>
      </c>
      <c r="G508" s="36" t="s">
        <v>981</v>
      </c>
      <c r="H508" s="39"/>
      <c r="I508" s="40"/>
      <c r="J508" s="39"/>
      <c r="K508" s="40"/>
      <c r="L508" s="51"/>
      <c r="M508" s="41">
        <v>1657.88</v>
      </c>
      <c r="N508" s="41"/>
      <c r="O508" s="36"/>
      <c r="P508" s="41"/>
      <c r="Q508" s="36"/>
      <c r="R508" s="43"/>
      <c r="S508" s="43"/>
      <c r="T508" s="41"/>
      <c r="U508" s="44"/>
      <c r="V508" s="45"/>
      <c r="W508" s="36">
        <v>4</v>
      </c>
      <c r="X508" s="86">
        <v>6631.52</v>
      </c>
      <c r="Y508" s="199">
        <v>0</v>
      </c>
      <c r="Z508" s="44">
        <v>0</v>
      </c>
      <c r="AA508" s="41">
        <f t="shared" si="196"/>
        <v>0</v>
      </c>
      <c r="AB508" s="44">
        <v>0</v>
      </c>
      <c r="AC508" s="44">
        <f t="shared" si="211"/>
        <v>0</v>
      </c>
      <c r="AD508" s="44">
        <f t="shared" si="197"/>
        <v>0</v>
      </c>
      <c r="AE508" s="111">
        <f t="shared" si="198"/>
        <v>0</v>
      </c>
      <c r="AF508" s="51" t="s">
        <v>571</v>
      </c>
      <c r="AG508" s="115"/>
      <c r="AH508" s="35">
        <v>0</v>
      </c>
      <c r="AI508" s="36">
        <v>0</v>
      </c>
      <c r="AJ508" s="36">
        <v>0</v>
      </c>
      <c r="AK508" s="36"/>
      <c r="AL508" s="36">
        <v>0</v>
      </c>
      <c r="AM508" s="36">
        <v>0</v>
      </c>
      <c r="AN508" s="46">
        <v>0</v>
      </c>
      <c r="AO508" s="100">
        <f t="shared" si="212"/>
        <v>0</v>
      </c>
      <c r="AP508" s="3">
        <f t="shared" si="210"/>
        <v>0</v>
      </c>
    </row>
    <row r="509" spans="1:42" x14ac:dyDescent="0.2">
      <c r="A509" s="49" t="s">
        <v>908</v>
      </c>
      <c r="B509" s="37" t="s">
        <v>562</v>
      </c>
      <c r="C509" s="37" t="s">
        <v>571</v>
      </c>
      <c r="D509" s="52"/>
      <c r="E509" s="38" t="s">
        <v>1010</v>
      </c>
      <c r="F509" s="36" t="s">
        <v>560</v>
      </c>
      <c r="G509" s="36" t="s">
        <v>981</v>
      </c>
      <c r="H509" s="39"/>
      <c r="I509" s="40"/>
      <c r="J509" s="39"/>
      <c r="K509" s="40"/>
      <c r="L509" s="51"/>
      <c r="M509" s="41">
        <v>1545.66</v>
      </c>
      <c r="N509" s="41"/>
      <c r="O509" s="36"/>
      <c r="P509" s="41"/>
      <c r="Q509" s="36"/>
      <c r="R509" s="43"/>
      <c r="S509" s="43"/>
      <c r="T509" s="41"/>
      <c r="U509" s="44"/>
      <c r="V509" s="45"/>
      <c r="W509" s="36">
        <v>4</v>
      </c>
      <c r="X509" s="86">
        <v>6182.64</v>
      </c>
      <c r="Y509" s="199">
        <v>0</v>
      </c>
      <c r="Z509" s="44">
        <v>0</v>
      </c>
      <c r="AA509" s="41">
        <f t="shared" si="196"/>
        <v>0</v>
      </c>
      <c r="AB509" s="44">
        <v>0</v>
      </c>
      <c r="AC509" s="44">
        <f t="shared" si="211"/>
        <v>0</v>
      </c>
      <c r="AD509" s="44">
        <f t="shared" si="197"/>
        <v>0</v>
      </c>
      <c r="AE509" s="111">
        <f t="shared" si="198"/>
        <v>0</v>
      </c>
      <c r="AF509" s="51" t="s">
        <v>571</v>
      </c>
      <c r="AG509" s="115"/>
      <c r="AH509" s="35">
        <v>0</v>
      </c>
      <c r="AI509" s="36">
        <v>0</v>
      </c>
      <c r="AJ509" s="36">
        <v>0</v>
      </c>
      <c r="AK509" s="36"/>
      <c r="AL509" s="36">
        <v>0</v>
      </c>
      <c r="AM509" s="36">
        <v>0</v>
      </c>
      <c r="AN509" s="46">
        <v>0</v>
      </c>
      <c r="AO509" s="100">
        <f t="shared" si="212"/>
        <v>0</v>
      </c>
      <c r="AP509" s="3">
        <f t="shared" si="210"/>
        <v>0</v>
      </c>
    </row>
    <row r="510" spans="1:42" x14ac:dyDescent="0.2">
      <c r="A510" s="49" t="s">
        <v>910</v>
      </c>
      <c r="B510" s="37" t="s">
        <v>562</v>
      </c>
      <c r="C510" s="37" t="s">
        <v>571</v>
      </c>
      <c r="D510" s="52"/>
      <c r="E510" s="38" t="s">
        <v>1010</v>
      </c>
      <c r="F510" s="36" t="s">
        <v>560</v>
      </c>
      <c r="G510" s="36" t="s">
        <v>981</v>
      </c>
      <c r="H510" s="39"/>
      <c r="I510" s="40"/>
      <c r="J510" s="39"/>
      <c r="K510" s="40"/>
      <c r="L510" s="51"/>
      <c r="M510" s="41">
        <v>1501.36</v>
      </c>
      <c r="N510" s="41"/>
      <c r="O510" s="36"/>
      <c r="P510" s="41"/>
      <c r="Q510" s="36"/>
      <c r="R510" s="43"/>
      <c r="S510" s="43"/>
      <c r="T510" s="41"/>
      <c r="U510" s="44"/>
      <c r="V510" s="45"/>
      <c r="W510" s="36">
        <v>4</v>
      </c>
      <c r="X510" s="86">
        <v>6005.44</v>
      </c>
      <c r="Y510" s="199">
        <v>0</v>
      </c>
      <c r="Z510" s="44">
        <v>0</v>
      </c>
      <c r="AA510" s="41">
        <f t="shared" si="196"/>
        <v>0</v>
      </c>
      <c r="AB510" s="44">
        <v>0</v>
      </c>
      <c r="AC510" s="44">
        <f t="shared" si="211"/>
        <v>0</v>
      </c>
      <c r="AD510" s="44">
        <f t="shared" si="197"/>
        <v>0</v>
      </c>
      <c r="AE510" s="111">
        <f t="shared" si="198"/>
        <v>0</v>
      </c>
      <c r="AF510" s="51" t="s">
        <v>571</v>
      </c>
      <c r="AG510" s="115"/>
      <c r="AH510" s="35">
        <v>0</v>
      </c>
      <c r="AI510" s="36">
        <v>0</v>
      </c>
      <c r="AJ510" s="36">
        <v>0</v>
      </c>
      <c r="AK510" s="36"/>
      <c r="AL510" s="36">
        <v>0</v>
      </c>
      <c r="AM510" s="36">
        <v>0</v>
      </c>
      <c r="AN510" s="46">
        <v>0</v>
      </c>
      <c r="AO510" s="100">
        <f t="shared" si="212"/>
        <v>0</v>
      </c>
      <c r="AP510" s="3">
        <f t="shared" si="210"/>
        <v>0</v>
      </c>
    </row>
    <row r="511" spans="1:42" x14ac:dyDescent="0.2">
      <c r="A511" s="35" t="s">
        <v>523</v>
      </c>
      <c r="B511" s="37" t="s">
        <v>556</v>
      </c>
      <c r="C511" s="37" t="s">
        <v>578</v>
      </c>
      <c r="D511" s="52">
        <v>46477</v>
      </c>
      <c r="E511" s="38" t="s">
        <v>779</v>
      </c>
      <c r="F511" s="36" t="s">
        <v>560</v>
      </c>
      <c r="G511" s="36" t="s">
        <v>586</v>
      </c>
      <c r="H511" s="39">
        <v>60</v>
      </c>
      <c r="I511" s="40">
        <v>59197.799999999996</v>
      </c>
      <c r="J511" s="39">
        <v>0</v>
      </c>
      <c r="K511" s="40">
        <v>0</v>
      </c>
      <c r="L511" s="51"/>
      <c r="M511" s="41">
        <v>1413.11</v>
      </c>
      <c r="N511" s="41"/>
      <c r="O511" s="36">
        <v>0</v>
      </c>
      <c r="P511" s="41">
        <v>0</v>
      </c>
      <c r="Q511" s="36">
        <v>30</v>
      </c>
      <c r="R511" s="43">
        <f>O511-Q511</f>
        <v>-30</v>
      </c>
      <c r="S511" s="43">
        <f>U511-O511</f>
        <v>0</v>
      </c>
      <c r="T511" s="41">
        <f>S511*M511</f>
        <v>0</v>
      </c>
      <c r="U511" s="44">
        <v>0</v>
      </c>
      <c r="V511" s="45">
        <f>U511*M511</f>
        <v>0</v>
      </c>
      <c r="W511" s="36">
        <v>4</v>
      </c>
      <c r="X511" s="86">
        <v>5652.44</v>
      </c>
      <c r="Y511" s="199">
        <v>0</v>
      </c>
      <c r="Z511" s="44">
        <v>0</v>
      </c>
      <c r="AA511" s="41">
        <f t="shared" si="196"/>
        <v>0</v>
      </c>
      <c r="AB511" s="44">
        <v>0</v>
      </c>
      <c r="AC511" s="44">
        <f t="shared" si="211"/>
        <v>0</v>
      </c>
      <c r="AD511" s="44">
        <f t="shared" si="197"/>
        <v>0</v>
      </c>
      <c r="AE511" s="111">
        <f t="shared" si="198"/>
        <v>0</v>
      </c>
      <c r="AF511" s="51" t="s">
        <v>571</v>
      </c>
      <c r="AG511" s="115"/>
      <c r="AH511" s="35">
        <v>0</v>
      </c>
      <c r="AI511" s="36">
        <v>0</v>
      </c>
      <c r="AJ511" s="36">
        <v>0</v>
      </c>
      <c r="AK511" s="36"/>
      <c r="AL511" s="36">
        <v>0</v>
      </c>
      <c r="AM511" s="36">
        <v>0</v>
      </c>
      <c r="AN511" s="46">
        <v>0</v>
      </c>
      <c r="AO511" s="100">
        <f t="shared" si="212"/>
        <v>0</v>
      </c>
      <c r="AP511" s="3">
        <f t="shared" si="210"/>
        <v>0</v>
      </c>
    </row>
    <row r="512" spans="1:42" x14ac:dyDescent="0.2">
      <c r="A512" s="35" t="s">
        <v>544</v>
      </c>
      <c r="B512" s="37" t="s">
        <v>567</v>
      </c>
      <c r="C512" s="37" t="s">
        <v>571</v>
      </c>
      <c r="D512" s="52"/>
      <c r="E512" s="38" t="s">
        <v>758</v>
      </c>
      <c r="F512" s="36" t="s">
        <v>555</v>
      </c>
      <c r="G512" s="36" t="s">
        <v>666</v>
      </c>
      <c r="H512" s="39">
        <v>200</v>
      </c>
      <c r="I512" s="40">
        <v>10186</v>
      </c>
      <c r="J512" s="39">
        <v>0</v>
      </c>
      <c r="K512" s="40">
        <v>0</v>
      </c>
      <c r="L512" s="37" t="s">
        <v>571</v>
      </c>
      <c r="M512" s="41">
        <v>53.61</v>
      </c>
      <c r="N512" s="42">
        <v>15</v>
      </c>
      <c r="O512" s="36">
        <v>0</v>
      </c>
      <c r="P512" s="41">
        <f>(N512+O512)*M512</f>
        <v>804.15</v>
      </c>
      <c r="Q512" s="36">
        <v>200</v>
      </c>
      <c r="R512" s="43">
        <f>O512-Q512</f>
        <v>-200</v>
      </c>
      <c r="S512" s="43">
        <f>U512-O512</f>
        <v>200</v>
      </c>
      <c r="T512" s="41">
        <f>S512*M512</f>
        <v>10722</v>
      </c>
      <c r="U512" s="44">
        <f>Q512</f>
        <v>200</v>
      </c>
      <c r="V512" s="45">
        <f>U512*M512</f>
        <v>10722</v>
      </c>
      <c r="W512" s="36">
        <v>100</v>
      </c>
      <c r="X512" s="86">
        <v>5361</v>
      </c>
      <c r="Y512" s="199">
        <v>0</v>
      </c>
      <c r="Z512" s="44">
        <v>0</v>
      </c>
      <c r="AA512" s="41">
        <f t="shared" ref="AA512:AA569" si="213">Z512*Y512</f>
        <v>0</v>
      </c>
      <c r="AB512" s="44">
        <v>0</v>
      </c>
      <c r="AC512" s="44">
        <f t="shared" si="211"/>
        <v>0</v>
      </c>
      <c r="AD512" s="44">
        <f t="shared" ref="AD512:AD569" si="214">AC512+Z512</f>
        <v>0</v>
      </c>
      <c r="AE512" s="111">
        <f t="shared" ref="AE512:AE569" si="215">AD512*Y512</f>
        <v>0</v>
      </c>
      <c r="AF512" s="51" t="s">
        <v>571</v>
      </c>
      <c r="AG512" s="115"/>
      <c r="AH512" s="35">
        <v>0</v>
      </c>
      <c r="AI512" s="36">
        <v>0</v>
      </c>
      <c r="AJ512" s="36">
        <v>0</v>
      </c>
      <c r="AK512" s="36"/>
      <c r="AL512" s="36">
        <v>0</v>
      </c>
      <c r="AM512" s="36">
        <v>0</v>
      </c>
      <c r="AN512" s="46">
        <v>0</v>
      </c>
      <c r="AO512" s="100">
        <f t="shared" si="212"/>
        <v>0</v>
      </c>
      <c r="AP512" s="3">
        <f t="shared" si="210"/>
        <v>0</v>
      </c>
    </row>
    <row r="513" spans="1:42" x14ac:dyDescent="0.2">
      <c r="A513" s="49" t="s">
        <v>911</v>
      </c>
      <c r="B513" s="156" t="s">
        <v>562</v>
      </c>
      <c r="C513" s="37" t="s">
        <v>571</v>
      </c>
      <c r="D513" s="52"/>
      <c r="E513" s="38" t="s">
        <v>770</v>
      </c>
      <c r="F513" s="36" t="s">
        <v>564</v>
      </c>
      <c r="G513" s="36" t="s">
        <v>564</v>
      </c>
      <c r="H513" s="39"/>
      <c r="I513" s="40"/>
      <c r="J513" s="39"/>
      <c r="K513" s="40"/>
      <c r="L513" s="51"/>
      <c r="M513" s="41">
        <v>69.09</v>
      </c>
      <c r="N513" s="41"/>
      <c r="O513" s="36"/>
      <c r="P513" s="41"/>
      <c r="Q513" s="36"/>
      <c r="R513" s="43"/>
      <c r="S513" s="43"/>
      <c r="T513" s="41"/>
      <c r="U513" s="44"/>
      <c r="V513" s="45"/>
      <c r="W513" s="36">
        <v>77</v>
      </c>
      <c r="X513" s="86">
        <v>5319.93</v>
      </c>
      <c r="Y513" s="199">
        <v>0</v>
      </c>
      <c r="Z513" s="44">
        <v>0</v>
      </c>
      <c r="AA513" s="41">
        <f t="shared" si="213"/>
        <v>0</v>
      </c>
      <c r="AB513" s="44">
        <v>0</v>
      </c>
      <c r="AC513" s="44">
        <f t="shared" si="211"/>
        <v>0</v>
      </c>
      <c r="AD513" s="44">
        <f t="shared" si="214"/>
        <v>0</v>
      </c>
      <c r="AE513" s="111">
        <f t="shared" si="215"/>
        <v>0</v>
      </c>
      <c r="AF513" s="51" t="s">
        <v>571</v>
      </c>
      <c r="AG513" s="115"/>
      <c r="AH513" s="35">
        <v>0</v>
      </c>
      <c r="AI513" s="36">
        <v>0</v>
      </c>
      <c r="AJ513" s="36">
        <v>0</v>
      </c>
      <c r="AK513" s="36"/>
      <c r="AL513" s="36">
        <v>0</v>
      </c>
      <c r="AM513" s="36">
        <v>0</v>
      </c>
      <c r="AN513" s="46">
        <v>0</v>
      </c>
      <c r="AO513" s="100">
        <f t="shared" si="212"/>
        <v>0</v>
      </c>
      <c r="AP513" s="3">
        <f t="shared" si="210"/>
        <v>0</v>
      </c>
    </row>
    <row r="514" spans="1:42" x14ac:dyDescent="0.2">
      <c r="A514" s="35" t="s">
        <v>44</v>
      </c>
      <c r="B514" s="37" t="s">
        <v>562</v>
      </c>
      <c r="C514" s="37" t="s">
        <v>571</v>
      </c>
      <c r="D514" s="52"/>
      <c r="E514" s="38" t="s">
        <v>762</v>
      </c>
      <c r="F514" s="36" t="s">
        <v>561</v>
      </c>
      <c r="G514" s="36">
        <v>0</v>
      </c>
      <c r="H514" s="39">
        <v>6</v>
      </c>
      <c r="I514" s="40">
        <v>5811.24</v>
      </c>
      <c r="J514" s="39">
        <v>0</v>
      </c>
      <c r="K514" s="40">
        <v>0</v>
      </c>
      <c r="L514" s="37" t="s">
        <v>571</v>
      </c>
      <c r="M514" s="41">
        <v>987.91000000000008</v>
      </c>
      <c r="N514" s="42">
        <v>0</v>
      </c>
      <c r="O514" s="36">
        <v>5</v>
      </c>
      <c r="P514" s="41">
        <f>(N514+O514)*M514</f>
        <v>4939.55</v>
      </c>
      <c r="Q514" s="36">
        <v>0</v>
      </c>
      <c r="R514" s="43">
        <f>O514-Q514</f>
        <v>5</v>
      </c>
      <c r="S514" s="43">
        <f>U514-O514</f>
        <v>0</v>
      </c>
      <c r="T514" s="41">
        <f>S514*M514</f>
        <v>0</v>
      </c>
      <c r="U514" s="44">
        <v>5</v>
      </c>
      <c r="V514" s="45">
        <f>U514*M514</f>
        <v>4939.55</v>
      </c>
      <c r="W514" s="36">
        <v>5</v>
      </c>
      <c r="X514" s="86">
        <v>4939.55</v>
      </c>
      <c r="Y514" s="199">
        <v>0</v>
      </c>
      <c r="Z514" s="44">
        <v>0</v>
      </c>
      <c r="AA514" s="41">
        <f t="shared" si="213"/>
        <v>0</v>
      </c>
      <c r="AB514" s="44">
        <v>0</v>
      </c>
      <c r="AC514" s="44">
        <f t="shared" si="211"/>
        <v>0</v>
      </c>
      <c r="AD514" s="44">
        <f t="shared" si="214"/>
        <v>0</v>
      </c>
      <c r="AE514" s="111">
        <f t="shared" si="215"/>
        <v>0</v>
      </c>
      <c r="AF514" s="51" t="s">
        <v>571</v>
      </c>
      <c r="AG514" s="115"/>
      <c r="AH514" s="35">
        <v>0</v>
      </c>
      <c r="AI514" s="36">
        <v>0</v>
      </c>
      <c r="AJ514" s="36">
        <v>0</v>
      </c>
      <c r="AK514" s="36"/>
      <c r="AL514" s="36">
        <v>0</v>
      </c>
      <c r="AM514" s="36">
        <v>0</v>
      </c>
      <c r="AN514" s="46">
        <v>0</v>
      </c>
      <c r="AO514" s="100">
        <f t="shared" si="212"/>
        <v>0</v>
      </c>
      <c r="AP514" s="3">
        <f t="shared" si="210"/>
        <v>0</v>
      </c>
    </row>
    <row r="515" spans="1:42" x14ac:dyDescent="0.2">
      <c r="A515" s="35" t="s">
        <v>423</v>
      </c>
      <c r="B515" s="37" t="s">
        <v>565</v>
      </c>
      <c r="C515" s="37" t="s">
        <v>571</v>
      </c>
      <c r="D515" s="52"/>
      <c r="E515" s="38" t="s">
        <v>594</v>
      </c>
      <c r="F515" s="36" t="s">
        <v>555</v>
      </c>
      <c r="G515" s="36" t="s">
        <v>620</v>
      </c>
      <c r="H515" s="39">
        <v>0</v>
      </c>
      <c r="I515" s="40">
        <v>0</v>
      </c>
      <c r="J515" s="39">
        <v>62</v>
      </c>
      <c r="K515" s="40">
        <v>43400</v>
      </c>
      <c r="L515" s="37" t="s">
        <v>571</v>
      </c>
      <c r="M515" s="41">
        <v>700</v>
      </c>
      <c r="N515" s="42">
        <v>0</v>
      </c>
      <c r="O515" s="36">
        <v>7</v>
      </c>
      <c r="P515" s="41">
        <f>(N515+O515)*M515</f>
        <v>4900</v>
      </c>
      <c r="Q515" s="36">
        <v>101</v>
      </c>
      <c r="R515" s="43">
        <f>O515-Q515</f>
        <v>-94</v>
      </c>
      <c r="S515" s="43">
        <f>U515-O515</f>
        <v>0</v>
      </c>
      <c r="T515" s="41">
        <f>S515*M515</f>
        <v>0</v>
      </c>
      <c r="U515" s="44">
        <f>O515</f>
        <v>7</v>
      </c>
      <c r="V515" s="45">
        <f>U515*M515</f>
        <v>4900</v>
      </c>
      <c r="W515" s="36">
        <v>7</v>
      </c>
      <c r="X515" s="86">
        <v>4900</v>
      </c>
      <c r="Y515" s="199">
        <v>0</v>
      </c>
      <c r="Z515" s="44">
        <v>0</v>
      </c>
      <c r="AA515" s="41">
        <f t="shared" si="213"/>
        <v>0</v>
      </c>
      <c r="AB515" s="44">
        <v>0</v>
      </c>
      <c r="AC515" s="44">
        <f t="shared" si="211"/>
        <v>0</v>
      </c>
      <c r="AD515" s="44">
        <f t="shared" si="214"/>
        <v>0</v>
      </c>
      <c r="AE515" s="111">
        <f t="shared" si="215"/>
        <v>0</v>
      </c>
      <c r="AF515" s="51" t="s">
        <v>571</v>
      </c>
      <c r="AG515" s="115"/>
      <c r="AH515" s="35">
        <v>0</v>
      </c>
      <c r="AI515" s="36">
        <v>0</v>
      </c>
      <c r="AJ515" s="36">
        <v>0</v>
      </c>
      <c r="AK515" s="36"/>
      <c r="AL515" s="36">
        <v>0</v>
      </c>
      <c r="AM515" s="36">
        <v>0</v>
      </c>
      <c r="AN515" s="46">
        <v>0</v>
      </c>
      <c r="AO515" s="100">
        <f t="shared" si="212"/>
        <v>0</v>
      </c>
      <c r="AP515" s="3">
        <f t="shared" si="210"/>
        <v>0</v>
      </c>
    </row>
    <row r="516" spans="1:42" x14ac:dyDescent="0.2">
      <c r="A516" s="49" t="s">
        <v>913</v>
      </c>
      <c r="B516" s="37" t="s">
        <v>562</v>
      </c>
      <c r="C516" s="37" t="s">
        <v>571</v>
      </c>
      <c r="D516" s="52"/>
      <c r="E516" s="38" t="s">
        <v>770</v>
      </c>
      <c r="F516" s="36" t="s">
        <v>564</v>
      </c>
      <c r="G516" s="36" t="s">
        <v>564</v>
      </c>
      <c r="H516" s="39"/>
      <c r="I516" s="40"/>
      <c r="J516" s="39"/>
      <c r="K516" s="40"/>
      <c r="L516" s="51"/>
      <c r="M516" s="41">
        <v>177</v>
      </c>
      <c r="N516" s="41"/>
      <c r="O516" s="36"/>
      <c r="P516" s="41"/>
      <c r="Q516" s="36"/>
      <c r="R516" s="43"/>
      <c r="S516" s="43"/>
      <c r="T516" s="41"/>
      <c r="U516" s="44"/>
      <c r="V516" s="45"/>
      <c r="W516" s="36">
        <v>17</v>
      </c>
      <c r="X516" s="86">
        <v>3009</v>
      </c>
      <c r="Y516" s="199">
        <v>0</v>
      </c>
      <c r="Z516" s="44">
        <v>0</v>
      </c>
      <c r="AA516" s="41">
        <f t="shared" si="213"/>
        <v>0</v>
      </c>
      <c r="AB516" s="44">
        <v>0</v>
      </c>
      <c r="AC516" s="44">
        <f t="shared" si="211"/>
        <v>0</v>
      </c>
      <c r="AD516" s="44">
        <f t="shared" si="214"/>
        <v>0</v>
      </c>
      <c r="AE516" s="111">
        <f t="shared" si="215"/>
        <v>0</v>
      </c>
      <c r="AF516" s="51" t="s">
        <v>571</v>
      </c>
      <c r="AG516" s="115"/>
      <c r="AH516" s="35">
        <v>0</v>
      </c>
      <c r="AI516" s="36">
        <v>0</v>
      </c>
      <c r="AJ516" s="36">
        <v>0</v>
      </c>
      <c r="AK516" s="36"/>
      <c r="AL516" s="36">
        <v>0</v>
      </c>
      <c r="AM516" s="36">
        <v>0</v>
      </c>
      <c r="AN516" s="46">
        <v>0</v>
      </c>
      <c r="AO516" s="100">
        <f t="shared" si="212"/>
        <v>0</v>
      </c>
      <c r="AP516" s="3">
        <f t="shared" si="210"/>
        <v>0</v>
      </c>
    </row>
    <row r="517" spans="1:42" x14ac:dyDescent="0.2">
      <c r="A517" s="35" t="s">
        <v>276</v>
      </c>
      <c r="B517" s="37" t="s">
        <v>562</v>
      </c>
      <c r="C517" s="37" t="s">
        <v>571</v>
      </c>
      <c r="D517" s="52"/>
      <c r="E517" s="38" t="s">
        <v>755</v>
      </c>
      <c r="F517" s="36" t="s">
        <v>560</v>
      </c>
      <c r="G517" s="36" t="s">
        <v>671</v>
      </c>
      <c r="H517" s="39">
        <v>0</v>
      </c>
      <c r="I517" s="40">
        <v>0</v>
      </c>
      <c r="J517" s="39">
        <v>0</v>
      </c>
      <c r="K517" s="40">
        <v>0</v>
      </c>
      <c r="L517" s="37" t="s">
        <v>571</v>
      </c>
      <c r="M517" s="41">
        <v>3000</v>
      </c>
      <c r="N517" s="42">
        <v>1</v>
      </c>
      <c r="O517" s="36">
        <v>0</v>
      </c>
      <c r="P517" s="41">
        <f>(N517+O517)*M517</f>
        <v>3000</v>
      </c>
      <c r="Q517" s="36">
        <v>0</v>
      </c>
      <c r="R517" s="43">
        <f>O517-Q517</f>
        <v>0</v>
      </c>
      <c r="S517" s="43">
        <f>U517-O517</f>
        <v>1</v>
      </c>
      <c r="T517" s="41">
        <f>S517*M517</f>
        <v>3000</v>
      </c>
      <c r="U517" s="44">
        <v>1</v>
      </c>
      <c r="V517" s="45">
        <f>U517*M517</f>
        <v>3000</v>
      </c>
      <c r="W517" s="36">
        <v>1</v>
      </c>
      <c r="X517" s="86">
        <v>3000</v>
      </c>
      <c r="Y517" s="199">
        <v>0</v>
      </c>
      <c r="Z517" s="44">
        <v>0</v>
      </c>
      <c r="AA517" s="41">
        <f t="shared" si="213"/>
        <v>0</v>
      </c>
      <c r="AB517" s="44">
        <v>0</v>
      </c>
      <c r="AC517" s="44">
        <f t="shared" si="211"/>
        <v>0</v>
      </c>
      <c r="AD517" s="44">
        <f t="shared" si="214"/>
        <v>0</v>
      </c>
      <c r="AE517" s="111">
        <f t="shared" si="215"/>
        <v>0</v>
      </c>
      <c r="AF517" s="51" t="s">
        <v>571</v>
      </c>
      <c r="AG517" s="115" t="s">
        <v>1077</v>
      </c>
      <c r="AH517" s="35">
        <v>0</v>
      </c>
      <c r="AI517" s="36">
        <v>0</v>
      </c>
      <c r="AJ517" s="36">
        <v>0</v>
      </c>
      <c r="AK517" s="36"/>
      <c r="AL517" s="36">
        <v>0</v>
      </c>
      <c r="AM517" s="36">
        <v>0</v>
      </c>
      <c r="AN517" s="46">
        <v>0</v>
      </c>
      <c r="AO517" s="100">
        <f t="shared" si="212"/>
        <v>0</v>
      </c>
      <c r="AP517" s="3">
        <f t="shared" si="210"/>
        <v>0</v>
      </c>
    </row>
    <row r="518" spans="1:42" x14ac:dyDescent="0.2">
      <c r="A518" s="35" t="s">
        <v>225</v>
      </c>
      <c r="B518" s="37" t="s">
        <v>565</v>
      </c>
      <c r="C518" s="37" t="s">
        <v>578</v>
      </c>
      <c r="D518" s="52">
        <v>46387</v>
      </c>
      <c r="E518" s="38" t="s">
        <v>754</v>
      </c>
      <c r="F518" s="36" t="s">
        <v>559</v>
      </c>
      <c r="G518" s="36" t="s">
        <v>672</v>
      </c>
      <c r="H518" s="39">
        <v>16</v>
      </c>
      <c r="I518" s="40">
        <v>1920</v>
      </c>
      <c r="J518" s="39">
        <v>16</v>
      </c>
      <c r="K518" s="40">
        <v>1920</v>
      </c>
      <c r="L518" s="37" t="s">
        <v>571</v>
      </c>
      <c r="M518" s="41">
        <v>120</v>
      </c>
      <c r="N518" s="42">
        <v>0</v>
      </c>
      <c r="O518" s="36">
        <v>22</v>
      </c>
      <c r="P518" s="41">
        <f>(N518+O518)*M518</f>
        <v>2640</v>
      </c>
      <c r="Q518" s="36">
        <v>9</v>
      </c>
      <c r="R518" s="43">
        <f>O518-Q518</f>
        <v>13</v>
      </c>
      <c r="S518" s="43">
        <f>U518-O518</f>
        <v>0</v>
      </c>
      <c r="T518" s="41">
        <f>S518*M518</f>
        <v>0</v>
      </c>
      <c r="U518" s="44">
        <f>O518</f>
        <v>22</v>
      </c>
      <c r="V518" s="45">
        <f>U518*M518</f>
        <v>2640</v>
      </c>
      <c r="W518" s="36">
        <v>22</v>
      </c>
      <c r="X518" s="86">
        <v>2640</v>
      </c>
      <c r="Y518" s="199">
        <v>0</v>
      </c>
      <c r="Z518" s="44">
        <v>0</v>
      </c>
      <c r="AA518" s="41">
        <f t="shared" si="213"/>
        <v>0</v>
      </c>
      <c r="AB518" s="44">
        <v>0</v>
      </c>
      <c r="AC518" s="44">
        <f t="shared" si="211"/>
        <v>0</v>
      </c>
      <c r="AD518" s="44">
        <f t="shared" si="214"/>
        <v>0</v>
      </c>
      <c r="AE518" s="111">
        <f t="shared" si="215"/>
        <v>0</v>
      </c>
      <c r="AF518" s="51" t="s">
        <v>571</v>
      </c>
      <c r="AG518" s="115"/>
      <c r="AH518" s="35">
        <v>0</v>
      </c>
      <c r="AI518" s="36">
        <v>0</v>
      </c>
      <c r="AJ518" s="36">
        <v>0</v>
      </c>
      <c r="AK518" s="36"/>
      <c r="AL518" s="36">
        <v>0</v>
      </c>
      <c r="AM518" s="36">
        <v>0</v>
      </c>
      <c r="AN518" s="46">
        <v>0</v>
      </c>
      <c r="AO518" s="100">
        <f t="shared" si="212"/>
        <v>0</v>
      </c>
      <c r="AP518" s="3">
        <f t="shared" si="210"/>
        <v>0</v>
      </c>
    </row>
    <row r="519" spans="1:42" x14ac:dyDescent="0.2">
      <c r="A519" s="49" t="s">
        <v>914</v>
      </c>
      <c r="B519" s="37" t="s">
        <v>562</v>
      </c>
      <c r="C519" s="37" t="s">
        <v>571</v>
      </c>
      <c r="D519" s="52"/>
      <c r="E519" s="38" t="s">
        <v>768</v>
      </c>
      <c r="F519" s="36" t="s">
        <v>569</v>
      </c>
      <c r="G519" s="36" t="s">
        <v>983</v>
      </c>
      <c r="H519" s="39"/>
      <c r="I519" s="40"/>
      <c r="J519" s="39"/>
      <c r="K519" s="40"/>
      <c r="L519" s="51"/>
      <c r="M519" s="41">
        <v>170</v>
      </c>
      <c r="N519" s="41"/>
      <c r="O519" s="36"/>
      <c r="P519" s="41"/>
      <c r="Q519" s="36"/>
      <c r="R519" s="43"/>
      <c r="S519" s="43"/>
      <c r="T519" s="41"/>
      <c r="U519" s="44"/>
      <c r="V519" s="45"/>
      <c r="W519" s="36">
        <v>15</v>
      </c>
      <c r="X519" s="86">
        <v>2550</v>
      </c>
      <c r="Y519" s="199">
        <v>0</v>
      </c>
      <c r="Z519" s="44">
        <v>0</v>
      </c>
      <c r="AA519" s="41">
        <f t="shared" si="213"/>
        <v>0</v>
      </c>
      <c r="AB519" s="44">
        <v>0</v>
      </c>
      <c r="AC519" s="44">
        <f t="shared" si="211"/>
        <v>0</v>
      </c>
      <c r="AD519" s="44">
        <f t="shared" si="214"/>
        <v>0</v>
      </c>
      <c r="AE519" s="111">
        <f t="shared" si="215"/>
        <v>0</v>
      </c>
      <c r="AF519" s="51" t="s">
        <v>571</v>
      </c>
      <c r="AG519" s="115"/>
      <c r="AH519" s="35">
        <v>0</v>
      </c>
      <c r="AI519" s="36">
        <v>0</v>
      </c>
      <c r="AJ519" s="36">
        <v>0</v>
      </c>
      <c r="AK519" s="36"/>
      <c r="AL519" s="36">
        <v>0</v>
      </c>
      <c r="AM519" s="36">
        <v>0</v>
      </c>
      <c r="AN519" s="46">
        <v>0</v>
      </c>
      <c r="AO519" s="100">
        <f t="shared" si="212"/>
        <v>0</v>
      </c>
      <c r="AP519" s="3">
        <f t="shared" si="210"/>
        <v>0</v>
      </c>
    </row>
    <row r="520" spans="1:42" x14ac:dyDescent="0.2">
      <c r="A520" s="49" t="s">
        <v>916</v>
      </c>
      <c r="B520" s="37" t="s">
        <v>554</v>
      </c>
      <c r="C520" s="37" t="s">
        <v>571</v>
      </c>
      <c r="D520" s="52"/>
      <c r="E520" s="38" t="s">
        <v>760</v>
      </c>
      <c r="F520" s="36" t="s">
        <v>563</v>
      </c>
      <c r="G520" s="36" t="s">
        <v>984</v>
      </c>
      <c r="H520" s="39"/>
      <c r="I520" s="40"/>
      <c r="J520" s="39"/>
      <c r="K520" s="40"/>
      <c r="L520" s="51"/>
      <c r="M520" s="41">
        <v>199</v>
      </c>
      <c r="N520" s="41"/>
      <c r="O520" s="36"/>
      <c r="P520" s="41"/>
      <c r="Q520" s="36"/>
      <c r="R520" s="43"/>
      <c r="S520" s="43"/>
      <c r="T520" s="41"/>
      <c r="U520" s="44"/>
      <c r="V520" s="45"/>
      <c r="W520" s="36">
        <v>10</v>
      </c>
      <c r="X520" s="86">
        <v>1990</v>
      </c>
      <c r="Y520" s="199">
        <v>0</v>
      </c>
      <c r="Z520" s="44">
        <v>0</v>
      </c>
      <c r="AA520" s="41">
        <f t="shared" si="213"/>
        <v>0</v>
      </c>
      <c r="AB520" s="44">
        <v>0</v>
      </c>
      <c r="AC520" s="44">
        <f t="shared" si="211"/>
        <v>0</v>
      </c>
      <c r="AD520" s="44">
        <f t="shared" si="214"/>
        <v>0</v>
      </c>
      <c r="AE520" s="111">
        <f t="shared" si="215"/>
        <v>0</v>
      </c>
      <c r="AF520" s="51" t="s">
        <v>571</v>
      </c>
      <c r="AG520" s="115" t="s">
        <v>1078</v>
      </c>
      <c r="AH520" s="35">
        <v>0</v>
      </c>
      <c r="AI520" s="36">
        <v>0</v>
      </c>
      <c r="AJ520" s="36">
        <v>0</v>
      </c>
      <c r="AK520" s="36"/>
      <c r="AL520" s="36">
        <v>0</v>
      </c>
      <c r="AM520" s="36">
        <v>0</v>
      </c>
      <c r="AN520" s="46">
        <v>0</v>
      </c>
      <c r="AO520" s="100">
        <f t="shared" si="212"/>
        <v>0</v>
      </c>
      <c r="AP520" s="3">
        <f t="shared" si="210"/>
        <v>0</v>
      </c>
    </row>
    <row r="521" spans="1:42" x14ac:dyDescent="0.2">
      <c r="A521" s="49" t="s">
        <v>917</v>
      </c>
      <c r="B521" s="37" t="s">
        <v>554</v>
      </c>
      <c r="C521" s="37" t="s">
        <v>571</v>
      </c>
      <c r="D521" s="52"/>
      <c r="E521" s="38" t="s">
        <v>760</v>
      </c>
      <c r="F521" s="36" t="s">
        <v>563</v>
      </c>
      <c r="G521" s="36" t="s">
        <v>985</v>
      </c>
      <c r="H521" s="39"/>
      <c r="I521" s="40"/>
      <c r="J521" s="39"/>
      <c r="K521" s="40"/>
      <c r="L521" s="51"/>
      <c r="M521" s="41">
        <v>185.55</v>
      </c>
      <c r="N521" s="41"/>
      <c r="O521" s="36"/>
      <c r="P521" s="41"/>
      <c r="Q521" s="36"/>
      <c r="R521" s="43"/>
      <c r="S521" s="43"/>
      <c r="T521" s="41"/>
      <c r="U521" s="44"/>
      <c r="V521" s="45"/>
      <c r="W521" s="36">
        <v>10</v>
      </c>
      <c r="X521" s="86">
        <v>1855.5</v>
      </c>
      <c r="Y521" s="199">
        <v>0</v>
      </c>
      <c r="Z521" s="44">
        <v>0</v>
      </c>
      <c r="AA521" s="41">
        <f t="shared" si="213"/>
        <v>0</v>
      </c>
      <c r="AB521" s="44">
        <v>0</v>
      </c>
      <c r="AC521" s="44">
        <f t="shared" si="211"/>
        <v>0</v>
      </c>
      <c r="AD521" s="44">
        <f t="shared" si="214"/>
        <v>0</v>
      </c>
      <c r="AE521" s="111">
        <f t="shared" si="215"/>
        <v>0</v>
      </c>
      <c r="AF521" s="51" t="s">
        <v>571</v>
      </c>
      <c r="AG521" s="115" t="s">
        <v>1078</v>
      </c>
      <c r="AH521" s="35">
        <v>0</v>
      </c>
      <c r="AI521" s="36">
        <v>0</v>
      </c>
      <c r="AJ521" s="36">
        <v>0</v>
      </c>
      <c r="AK521" s="36"/>
      <c r="AL521" s="36">
        <v>0</v>
      </c>
      <c r="AM521" s="36">
        <v>0</v>
      </c>
      <c r="AN521" s="46">
        <v>0</v>
      </c>
      <c r="AO521" s="100">
        <f t="shared" si="212"/>
        <v>0</v>
      </c>
      <c r="AP521" s="3">
        <f t="shared" si="210"/>
        <v>0</v>
      </c>
    </row>
    <row r="522" spans="1:42" x14ac:dyDescent="0.2">
      <c r="A522" s="35" t="s">
        <v>332</v>
      </c>
      <c r="B522" s="37" t="s">
        <v>556</v>
      </c>
      <c r="C522" s="37" t="s">
        <v>578</v>
      </c>
      <c r="D522" s="52">
        <v>46387</v>
      </c>
      <c r="E522" s="38" t="s">
        <v>754</v>
      </c>
      <c r="F522" s="36" t="s">
        <v>557</v>
      </c>
      <c r="G522" s="36" t="s">
        <v>597</v>
      </c>
      <c r="H522" s="39">
        <v>0</v>
      </c>
      <c r="I522" s="40">
        <v>0</v>
      </c>
      <c r="J522" s="39">
        <v>0</v>
      </c>
      <c r="K522" s="40">
        <v>0</v>
      </c>
      <c r="L522" s="37" t="s">
        <v>571</v>
      </c>
      <c r="M522" s="41">
        <v>106.26</v>
      </c>
      <c r="N522" s="42">
        <v>0</v>
      </c>
      <c r="O522" s="36">
        <v>2</v>
      </c>
      <c r="P522" s="41">
        <f t="shared" ref="P522:P547" si="216">(N522+O522)*M522</f>
        <v>212.52</v>
      </c>
      <c r="Q522" s="36">
        <v>2</v>
      </c>
      <c r="R522" s="43">
        <f t="shared" ref="R522:R569" si="217">O522-Q522</f>
        <v>0</v>
      </c>
      <c r="S522" s="43">
        <f t="shared" ref="S522:S569" si="218">U522-O522</f>
        <v>0</v>
      </c>
      <c r="T522" s="41">
        <f t="shared" ref="T522:T569" si="219">S522*M522</f>
        <v>0</v>
      </c>
      <c r="U522" s="44">
        <v>2</v>
      </c>
      <c r="V522" s="45">
        <f t="shared" ref="V522:V569" si="220">U522*M522</f>
        <v>212.52</v>
      </c>
      <c r="W522" s="36">
        <v>2</v>
      </c>
      <c r="X522" s="86">
        <v>212.52</v>
      </c>
      <c r="Y522" s="199">
        <v>0</v>
      </c>
      <c r="Z522" s="44">
        <v>0</v>
      </c>
      <c r="AA522" s="41">
        <f t="shared" si="213"/>
        <v>0</v>
      </c>
      <c r="AB522" s="44">
        <v>0</v>
      </c>
      <c r="AC522" s="44">
        <f t="shared" si="211"/>
        <v>0</v>
      </c>
      <c r="AD522" s="44">
        <f t="shared" si="214"/>
        <v>0</v>
      </c>
      <c r="AE522" s="111">
        <f t="shared" si="215"/>
        <v>0</v>
      </c>
      <c r="AF522" s="51" t="s">
        <v>571</v>
      </c>
      <c r="AG522" s="115"/>
      <c r="AH522" s="35">
        <v>0</v>
      </c>
      <c r="AI522" s="36">
        <v>0</v>
      </c>
      <c r="AJ522" s="36">
        <v>0</v>
      </c>
      <c r="AK522" s="36"/>
      <c r="AL522" s="36">
        <v>0</v>
      </c>
      <c r="AM522" s="36">
        <v>0</v>
      </c>
      <c r="AN522" s="46">
        <v>0</v>
      </c>
      <c r="AO522" s="100">
        <f t="shared" si="212"/>
        <v>0</v>
      </c>
      <c r="AP522" s="3">
        <f t="shared" si="210"/>
        <v>0</v>
      </c>
    </row>
    <row r="523" spans="1:42" x14ac:dyDescent="0.2">
      <c r="A523" s="35" t="s">
        <v>158</v>
      </c>
      <c r="B523" s="37" t="s">
        <v>556</v>
      </c>
      <c r="C523" s="37" t="s">
        <v>578</v>
      </c>
      <c r="D523" s="52">
        <v>46387</v>
      </c>
      <c r="E523" s="38" t="s">
        <v>754</v>
      </c>
      <c r="F523" s="36" t="s">
        <v>559</v>
      </c>
      <c r="G523" s="36" t="s">
        <v>962</v>
      </c>
      <c r="H523" s="39">
        <v>53</v>
      </c>
      <c r="I523" s="40">
        <v>1229.6000000000001</v>
      </c>
      <c r="J523" s="39">
        <v>13</v>
      </c>
      <c r="K523" s="40">
        <v>301.59999999999997</v>
      </c>
      <c r="L523" s="37" t="s">
        <v>571</v>
      </c>
      <c r="M523" s="41">
        <v>23.2</v>
      </c>
      <c r="N523" s="42">
        <v>3</v>
      </c>
      <c r="O523" s="36">
        <v>5</v>
      </c>
      <c r="P523" s="41">
        <f t="shared" si="216"/>
        <v>185.6</v>
      </c>
      <c r="Q523" s="36">
        <v>7</v>
      </c>
      <c r="R523" s="43">
        <f t="shared" si="217"/>
        <v>-2</v>
      </c>
      <c r="S523" s="43">
        <f t="shared" si="218"/>
        <v>0</v>
      </c>
      <c r="T523" s="41">
        <f t="shared" si="219"/>
        <v>0</v>
      </c>
      <c r="U523" s="44">
        <f>O523</f>
        <v>5</v>
      </c>
      <c r="V523" s="45">
        <f t="shared" si="220"/>
        <v>116</v>
      </c>
      <c r="W523" s="36">
        <v>5</v>
      </c>
      <c r="X523" s="86">
        <v>116</v>
      </c>
      <c r="Y523" s="199">
        <v>0</v>
      </c>
      <c r="Z523" s="44">
        <v>0</v>
      </c>
      <c r="AA523" s="41">
        <f t="shared" si="213"/>
        <v>0</v>
      </c>
      <c r="AB523" s="44">
        <v>0</v>
      </c>
      <c r="AC523" s="44">
        <f t="shared" si="211"/>
        <v>0</v>
      </c>
      <c r="AD523" s="44">
        <f t="shared" si="214"/>
        <v>0</v>
      </c>
      <c r="AE523" s="111">
        <f t="shared" si="215"/>
        <v>0</v>
      </c>
      <c r="AF523" s="51" t="s">
        <v>571</v>
      </c>
      <c r="AG523" s="115"/>
      <c r="AH523" s="35">
        <v>0</v>
      </c>
      <c r="AI523" s="36">
        <v>0</v>
      </c>
      <c r="AJ523" s="36">
        <v>0</v>
      </c>
      <c r="AK523" s="36"/>
      <c r="AL523" s="36">
        <v>0</v>
      </c>
      <c r="AM523" s="36">
        <v>0</v>
      </c>
      <c r="AN523" s="46">
        <v>0</v>
      </c>
      <c r="AO523" s="100">
        <f t="shared" si="212"/>
        <v>0</v>
      </c>
      <c r="AP523" s="3">
        <f t="shared" si="210"/>
        <v>0</v>
      </c>
    </row>
    <row r="524" spans="1:42" x14ac:dyDescent="0.2">
      <c r="A524" s="35" t="s">
        <v>698</v>
      </c>
      <c r="B524" s="37" t="s">
        <v>562</v>
      </c>
      <c r="C524" s="37" t="s">
        <v>571</v>
      </c>
      <c r="D524" s="52"/>
      <c r="E524" s="38" t="s">
        <v>788</v>
      </c>
      <c r="F524" s="36" t="s">
        <v>559</v>
      </c>
      <c r="G524" s="36" t="s">
        <v>686</v>
      </c>
      <c r="H524" s="39">
        <v>0</v>
      </c>
      <c r="I524" s="40">
        <v>0</v>
      </c>
      <c r="J524" s="39">
        <v>0</v>
      </c>
      <c r="K524" s="40">
        <v>0</v>
      </c>
      <c r="L524" s="37" t="s">
        <v>571</v>
      </c>
      <c r="M524" s="41" t="e">
        <v>#DIV/0!</v>
      </c>
      <c r="N524" s="42">
        <v>0</v>
      </c>
      <c r="O524" s="36">
        <v>162</v>
      </c>
      <c r="P524" s="41" t="e">
        <f t="shared" si="216"/>
        <v>#DIV/0!</v>
      </c>
      <c r="Q524" s="36">
        <v>0</v>
      </c>
      <c r="R524" s="43">
        <f t="shared" si="217"/>
        <v>162</v>
      </c>
      <c r="S524" s="43">
        <f t="shared" si="218"/>
        <v>0</v>
      </c>
      <c r="T524" s="41" t="e">
        <f t="shared" si="219"/>
        <v>#DIV/0!</v>
      </c>
      <c r="U524" s="44">
        <f>O524</f>
        <v>162</v>
      </c>
      <c r="V524" s="45" t="e">
        <f t="shared" si="220"/>
        <v>#DIV/0!</v>
      </c>
      <c r="W524" s="36">
        <v>0</v>
      </c>
      <c r="X524" s="86">
        <v>0</v>
      </c>
      <c r="Y524" s="199">
        <v>0</v>
      </c>
      <c r="Z524" s="44">
        <v>0</v>
      </c>
      <c r="AA524" s="41">
        <f t="shared" si="213"/>
        <v>0</v>
      </c>
      <c r="AB524" s="44">
        <v>0</v>
      </c>
      <c r="AC524" s="44">
        <f t="shared" si="211"/>
        <v>0</v>
      </c>
      <c r="AD524" s="44">
        <f t="shared" si="214"/>
        <v>0</v>
      </c>
      <c r="AE524" s="111">
        <f t="shared" si="215"/>
        <v>0</v>
      </c>
      <c r="AF524" s="51" t="s">
        <v>571</v>
      </c>
      <c r="AG524" s="115"/>
      <c r="AH524" s="35">
        <v>0</v>
      </c>
      <c r="AI524" s="36">
        <v>0</v>
      </c>
      <c r="AJ524" s="36">
        <v>0</v>
      </c>
      <c r="AK524" s="36"/>
      <c r="AL524" s="36">
        <v>0</v>
      </c>
      <c r="AM524" s="36">
        <v>0</v>
      </c>
      <c r="AN524" s="46">
        <v>0</v>
      </c>
      <c r="AO524" s="100">
        <f t="shared" si="212"/>
        <v>0</v>
      </c>
      <c r="AP524" s="3">
        <f t="shared" si="210"/>
        <v>0</v>
      </c>
    </row>
    <row r="525" spans="1:42" x14ac:dyDescent="0.2">
      <c r="A525" s="35" t="s">
        <v>30</v>
      </c>
      <c r="B525" s="37" t="s">
        <v>562</v>
      </c>
      <c r="C525" s="37" t="s">
        <v>571</v>
      </c>
      <c r="D525" s="52"/>
      <c r="E525" s="38" t="s">
        <v>778</v>
      </c>
      <c r="F525" s="36" t="s">
        <v>561</v>
      </c>
      <c r="G525" s="36" t="s">
        <v>660</v>
      </c>
      <c r="H525" s="39">
        <v>0</v>
      </c>
      <c r="I525" s="40">
        <v>0</v>
      </c>
      <c r="J525" s="39">
        <v>0</v>
      </c>
      <c r="K525" s="40">
        <v>0</v>
      </c>
      <c r="L525" s="37" t="s">
        <v>571</v>
      </c>
      <c r="M525" s="41" t="e">
        <v>#DIV/0!</v>
      </c>
      <c r="N525" s="42">
        <v>0</v>
      </c>
      <c r="O525" s="36">
        <v>0</v>
      </c>
      <c r="P525" s="41" t="e">
        <f t="shared" si="216"/>
        <v>#DIV/0!</v>
      </c>
      <c r="Q525" s="36">
        <v>0</v>
      </c>
      <c r="R525" s="43">
        <f t="shared" si="217"/>
        <v>0</v>
      </c>
      <c r="S525" s="43">
        <f t="shared" si="218"/>
        <v>50</v>
      </c>
      <c r="T525" s="41" t="e">
        <f t="shared" si="219"/>
        <v>#DIV/0!</v>
      </c>
      <c r="U525" s="44">
        <v>50</v>
      </c>
      <c r="V525" s="45" t="e">
        <f t="shared" si="220"/>
        <v>#DIV/0!</v>
      </c>
      <c r="W525" s="36">
        <v>0</v>
      </c>
      <c r="X525" s="86">
        <v>0</v>
      </c>
      <c r="Y525" s="199">
        <v>0</v>
      </c>
      <c r="Z525" s="44">
        <v>0</v>
      </c>
      <c r="AA525" s="41">
        <f t="shared" si="213"/>
        <v>0</v>
      </c>
      <c r="AB525" s="44">
        <v>0</v>
      </c>
      <c r="AC525" s="44">
        <f t="shared" si="211"/>
        <v>0</v>
      </c>
      <c r="AD525" s="44">
        <f t="shared" si="214"/>
        <v>0</v>
      </c>
      <c r="AE525" s="111">
        <f t="shared" si="215"/>
        <v>0</v>
      </c>
      <c r="AF525" s="51" t="s">
        <v>571</v>
      </c>
      <c r="AG525" s="115"/>
      <c r="AH525" s="35">
        <v>0</v>
      </c>
      <c r="AI525" s="36">
        <v>0</v>
      </c>
      <c r="AJ525" s="36">
        <v>0</v>
      </c>
      <c r="AK525" s="36"/>
      <c r="AL525" s="36">
        <v>0</v>
      </c>
      <c r="AM525" s="36">
        <v>0</v>
      </c>
      <c r="AN525" s="46">
        <v>0</v>
      </c>
      <c r="AO525" s="100">
        <f t="shared" si="212"/>
        <v>0</v>
      </c>
      <c r="AP525" s="3">
        <f t="shared" si="210"/>
        <v>0</v>
      </c>
    </row>
    <row r="526" spans="1:42" x14ac:dyDescent="0.2">
      <c r="A526" s="35" t="s">
        <v>531</v>
      </c>
      <c r="B526" s="156" t="s">
        <v>562</v>
      </c>
      <c r="C526" s="37" t="s">
        <v>571</v>
      </c>
      <c r="D526" s="52"/>
      <c r="E526" s="38" t="s">
        <v>755</v>
      </c>
      <c r="F526" s="36" t="s">
        <v>557</v>
      </c>
      <c r="G526" s="36" t="s">
        <v>592</v>
      </c>
      <c r="H526" s="39">
        <v>10</v>
      </c>
      <c r="I526" s="40">
        <v>2542</v>
      </c>
      <c r="J526" s="39">
        <v>0</v>
      </c>
      <c r="K526" s="40">
        <v>0</v>
      </c>
      <c r="L526" s="37" t="s">
        <v>571</v>
      </c>
      <c r="M526" s="41" t="e">
        <v>#DIV/0!</v>
      </c>
      <c r="N526" s="42">
        <v>0</v>
      </c>
      <c r="O526" s="36">
        <v>0</v>
      </c>
      <c r="P526" s="41" t="e">
        <f t="shared" si="216"/>
        <v>#DIV/0!</v>
      </c>
      <c r="Q526" s="36">
        <v>68</v>
      </c>
      <c r="R526" s="43">
        <f t="shared" si="217"/>
        <v>-68</v>
      </c>
      <c r="S526" s="43">
        <f t="shared" si="218"/>
        <v>68</v>
      </c>
      <c r="T526" s="41" t="e">
        <f t="shared" si="219"/>
        <v>#DIV/0!</v>
      </c>
      <c r="U526" s="44">
        <f>Q526</f>
        <v>68</v>
      </c>
      <c r="V526" s="45" t="e">
        <f t="shared" si="220"/>
        <v>#DIV/0!</v>
      </c>
      <c r="W526" s="36">
        <v>0</v>
      </c>
      <c r="X526" s="86">
        <v>0</v>
      </c>
      <c r="Y526" s="199">
        <v>0</v>
      </c>
      <c r="Z526" s="44">
        <v>0</v>
      </c>
      <c r="AA526" s="41">
        <f t="shared" si="213"/>
        <v>0</v>
      </c>
      <c r="AB526" s="44">
        <v>0</v>
      </c>
      <c r="AC526" s="44">
        <f t="shared" si="211"/>
        <v>0</v>
      </c>
      <c r="AD526" s="44">
        <f t="shared" si="214"/>
        <v>0</v>
      </c>
      <c r="AE526" s="111">
        <f t="shared" si="215"/>
        <v>0</v>
      </c>
      <c r="AF526" s="51" t="s">
        <v>571</v>
      </c>
      <c r="AG526" s="115" t="s">
        <v>1079</v>
      </c>
      <c r="AH526" s="35">
        <v>0</v>
      </c>
      <c r="AI526" s="36">
        <v>0</v>
      </c>
      <c r="AJ526" s="36">
        <v>0</v>
      </c>
      <c r="AK526" s="36"/>
      <c r="AL526" s="36">
        <v>0</v>
      </c>
      <c r="AM526" s="36">
        <v>0</v>
      </c>
      <c r="AN526" s="46">
        <v>0</v>
      </c>
      <c r="AO526" s="100">
        <f t="shared" si="212"/>
        <v>0</v>
      </c>
      <c r="AP526" s="3">
        <f t="shared" si="210"/>
        <v>0</v>
      </c>
    </row>
    <row r="527" spans="1:42" x14ac:dyDescent="0.2">
      <c r="A527" s="35" t="s">
        <v>477</v>
      </c>
      <c r="B527" s="156" t="s">
        <v>565</v>
      </c>
      <c r="C527" s="37" t="s">
        <v>578</v>
      </c>
      <c r="D527" s="52">
        <v>46022</v>
      </c>
      <c r="E527" s="38" t="s">
        <v>782</v>
      </c>
      <c r="F527" s="36" t="s">
        <v>558</v>
      </c>
      <c r="G527" s="36" t="s">
        <v>628</v>
      </c>
      <c r="H527" s="39">
        <v>435</v>
      </c>
      <c r="I527" s="40">
        <v>107619</v>
      </c>
      <c r="J527" s="39">
        <v>0</v>
      </c>
      <c r="K527" s="40">
        <v>0</v>
      </c>
      <c r="L527" s="37" t="s">
        <v>571</v>
      </c>
      <c r="M527" s="41" t="e">
        <v>#DIV/0!</v>
      </c>
      <c r="N527" s="42">
        <v>0</v>
      </c>
      <c r="O527" s="36">
        <v>0</v>
      </c>
      <c r="P527" s="41" t="e">
        <f t="shared" si="216"/>
        <v>#DIV/0!</v>
      </c>
      <c r="Q527" s="36">
        <v>500</v>
      </c>
      <c r="R527" s="43">
        <f t="shared" si="217"/>
        <v>-500</v>
      </c>
      <c r="S527" s="43">
        <f t="shared" si="218"/>
        <v>300</v>
      </c>
      <c r="T527" s="41" t="e">
        <f t="shared" si="219"/>
        <v>#DIV/0!</v>
      </c>
      <c r="U527" s="44">
        <v>300</v>
      </c>
      <c r="V527" s="45" t="e">
        <f t="shared" si="220"/>
        <v>#DIV/0!</v>
      </c>
      <c r="W527" s="36">
        <v>0</v>
      </c>
      <c r="X527" s="86">
        <v>0</v>
      </c>
      <c r="Y527" s="199">
        <v>0</v>
      </c>
      <c r="Z527" s="44">
        <v>0</v>
      </c>
      <c r="AA527" s="41">
        <f t="shared" si="213"/>
        <v>0</v>
      </c>
      <c r="AB527" s="44">
        <v>0</v>
      </c>
      <c r="AC527" s="44">
        <f t="shared" si="211"/>
        <v>0</v>
      </c>
      <c r="AD527" s="44">
        <f t="shared" si="214"/>
        <v>0</v>
      </c>
      <c r="AE527" s="111">
        <f t="shared" si="215"/>
        <v>0</v>
      </c>
      <c r="AF527" s="51" t="s">
        <v>571</v>
      </c>
      <c r="AG527" s="115" t="s">
        <v>1080</v>
      </c>
      <c r="AH527" s="35">
        <v>0</v>
      </c>
      <c r="AI527" s="36">
        <v>0</v>
      </c>
      <c r="AJ527" s="36">
        <v>0</v>
      </c>
      <c r="AK527" s="36"/>
      <c r="AL527" s="36">
        <v>0</v>
      </c>
      <c r="AM527" s="36">
        <v>0</v>
      </c>
      <c r="AN527" s="46">
        <v>0</v>
      </c>
      <c r="AO527" s="100">
        <f t="shared" si="212"/>
        <v>0</v>
      </c>
      <c r="AP527" s="3">
        <f t="shared" si="210"/>
        <v>0</v>
      </c>
    </row>
    <row r="528" spans="1:42" x14ac:dyDescent="0.2">
      <c r="A528" s="35" t="s">
        <v>527</v>
      </c>
      <c r="B528" s="37" t="s">
        <v>562</v>
      </c>
      <c r="C528" s="37" t="s">
        <v>571</v>
      </c>
      <c r="D528" s="52"/>
      <c r="E528" s="38" t="s">
        <v>755</v>
      </c>
      <c r="F528" s="36" t="s">
        <v>560</v>
      </c>
      <c r="G528" s="36" t="s">
        <v>680</v>
      </c>
      <c r="H528" s="39">
        <v>18</v>
      </c>
      <c r="I528" s="40">
        <v>18270</v>
      </c>
      <c r="J528" s="39">
        <v>0</v>
      </c>
      <c r="K528" s="40">
        <v>0</v>
      </c>
      <c r="L528" s="37" t="s">
        <v>571</v>
      </c>
      <c r="M528" s="41" t="e">
        <v>#DIV/0!</v>
      </c>
      <c r="N528" s="42">
        <v>0</v>
      </c>
      <c r="O528" s="36">
        <v>0</v>
      </c>
      <c r="P528" s="41" t="e">
        <f t="shared" si="216"/>
        <v>#DIV/0!</v>
      </c>
      <c r="Q528" s="36">
        <v>25</v>
      </c>
      <c r="R528" s="43">
        <f t="shared" si="217"/>
        <v>-25</v>
      </c>
      <c r="S528" s="43">
        <f t="shared" si="218"/>
        <v>25</v>
      </c>
      <c r="T528" s="41" t="e">
        <f t="shared" si="219"/>
        <v>#DIV/0!</v>
      </c>
      <c r="U528" s="44">
        <f>Q528</f>
        <v>25</v>
      </c>
      <c r="V528" s="45" t="e">
        <f t="shared" si="220"/>
        <v>#DIV/0!</v>
      </c>
      <c r="W528" s="36">
        <v>0</v>
      </c>
      <c r="X528" s="86">
        <v>0</v>
      </c>
      <c r="Y528" s="199">
        <v>0</v>
      </c>
      <c r="Z528" s="44">
        <v>0</v>
      </c>
      <c r="AA528" s="41">
        <f t="shared" si="213"/>
        <v>0</v>
      </c>
      <c r="AB528" s="44">
        <v>0</v>
      </c>
      <c r="AC528" s="44">
        <f t="shared" si="211"/>
        <v>0</v>
      </c>
      <c r="AD528" s="44">
        <f t="shared" si="214"/>
        <v>0</v>
      </c>
      <c r="AE528" s="111">
        <f t="shared" si="215"/>
        <v>0</v>
      </c>
      <c r="AF528" s="51" t="s">
        <v>571</v>
      </c>
      <c r="AG528" s="115" t="s">
        <v>1081</v>
      </c>
      <c r="AH528" s="35">
        <v>0</v>
      </c>
      <c r="AI528" s="36">
        <v>0</v>
      </c>
      <c r="AJ528" s="36">
        <v>0</v>
      </c>
      <c r="AK528" s="36"/>
      <c r="AL528" s="36">
        <v>0</v>
      </c>
      <c r="AM528" s="36">
        <v>0</v>
      </c>
      <c r="AN528" s="46">
        <v>0</v>
      </c>
      <c r="AO528" s="100">
        <f t="shared" si="212"/>
        <v>0</v>
      </c>
      <c r="AP528" s="3">
        <f t="shared" si="210"/>
        <v>0</v>
      </c>
    </row>
    <row r="529" spans="1:42" x14ac:dyDescent="0.2">
      <c r="A529" s="35" t="s">
        <v>526</v>
      </c>
      <c r="B529" s="37" t="s">
        <v>562</v>
      </c>
      <c r="C529" s="37" t="s">
        <v>571</v>
      </c>
      <c r="D529" s="52"/>
      <c r="E529" s="38" t="s">
        <v>682</v>
      </c>
      <c r="F529" s="36" t="s">
        <v>564</v>
      </c>
      <c r="G529" s="36" t="s">
        <v>675</v>
      </c>
      <c r="H529" s="39">
        <v>58</v>
      </c>
      <c r="I529" s="40">
        <v>29128.760000000002</v>
      </c>
      <c r="J529" s="39">
        <v>0</v>
      </c>
      <c r="K529" s="40">
        <v>0</v>
      </c>
      <c r="L529" s="37" t="s">
        <v>571</v>
      </c>
      <c r="M529" s="41" t="e">
        <v>#DIV/0!</v>
      </c>
      <c r="N529" s="42">
        <v>0</v>
      </c>
      <c r="O529" s="36">
        <v>0</v>
      </c>
      <c r="P529" s="41" t="e">
        <f t="shared" si="216"/>
        <v>#DIV/0!</v>
      </c>
      <c r="Q529" s="36">
        <v>50</v>
      </c>
      <c r="R529" s="43">
        <f t="shared" si="217"/>
        <v>-50</v>
      </c>
      <c r="S529" s="43">
        <f t="shared" si="218"/>
        <v>50</v>
      </c>
      <c r="T529" s="41" t="e">
        <f t="shared" si="219"/>
        <v>#DIV/0!</v>
      </c>
      <c r="U529" s="44">
        <f>Q529</f>
        <v>50</v>
      </c>
      <c r="V529" s="45" t="e">
        <f t="shared" si="220"/>
        <v>#DIV/0!</v>
      </c>
      <c r="W529" s="36">
        <v>0</v>
      </c>
      <c r="X529" s="86">
        <v>0</v>
      </c>
      <c r="Y529" s="199">
        <v>0</v>
      </c>
      <c r="Z529" s="44">
        <v>0</v>
      </c>
      <c r="AA529" s="41">
        <f t="shared" si="213"/>
        <v>0</v>
      </c>
      <c r="AB529" s="44">
        <v>0</v>
      </c>
      <c r="AC529" s="44">
        <f t="shared" si="211"/>
        <v>0</v>
      </c>
      <c r="AD529" s="44">
        <f t="shared" si="214"/>
        <v>0</v>
      </c>
      <c r="AE529" s="111">
        <f t="shared" si="215"/>
        <v>0</v>
      </c>
      <c r="AF529" s="51" t="s">
        <v>571</v>
      </c>
      <c r="AG529" s="115"/>
      <c r="AH529" s="35">
        <v>0</v>
      </c>
      <c r="AI529" s="36">
        <v>0</v>
      </c>
      <c r="AJ529" s="36">
        <v>0</v>
      </c>
      <c r="AK529" s="36"/>
      <c r="AL529" s="36">
        <v>0</v>
      </c>
      <c r="AM529" s="36">
        <v>0</v>
      </c>
      <c r="AN529" s="46">
        <v>0</v>
      </c>
      <c r="AO529" s="100">
        <f t="shared" si="212"/>
        <v>0</v>
      </c>
      <c r="AP529" s="3">
        <f t="shared" si="210"/>
        <v>0</v>
      </c>
    </row>
    <row r="530" spans="1:42" x14ac:dyDescent="0.2">
      <c r="A530" s="35" t="s">
        <v>701</v>
      </c>
      <c r="B530" s="37" t="s">
        <v>565</v>
      </c>
      <c r="C530" s="37" t="s">
        <v>578</v>
      </c>
      <c r="D530" s="52">
        <v>46387</v>
      </c>
      <c r="E530" s="38" t="s">
        <v>754</v>
      </c>
      <c r="F530" s="36" t="s">
        <v>559</v>
      </c>
      <c r="G530" s="36" t="s">
        <v>613</v>
      </c>
      <c r="H530" s="39">
        <v>118</v>
      </c>
      <c r="I530" s="40">
        <v>9687.8000000000011</v>
      </c>
      <c r="J530" s="39">
        <v>0</v>
      </c>
      <c r="K530" s="40">
        <v>0</v>
      </c>
      <c r="L530" s="37" t="s">
        <v>571</v>
      </c>
      <c r="M530" s="41" t="e">
        <v>#DIV/0!</v>
      </c>
      <c r="N530" s="42">
        <v>0</v>
      </c>
      <c r="O530" s="36">
        <v>19</v>
      </c>
      <c r="P530" s="41" t="e">
        <f t="shared" si="216"/>
        <v>#DIV/0!</v>
      </c>
      <c r="Q530" s="36">
        <v>0</v>
      </c>
      <c r="R530" s="43">
        <f t="shared" si="217"/>
        <v>19</v>
      </c>
      <c r="S530" s="43">
        <f t="shared" si="218"/>
        <v>0</v>
      </c>
      <c r="T530" s="41" t="e">
        <f t="shared" si="219"/>
        <v>#DIV/0!</v>
      </c>
      <c r="U530" s="44">
        <f>O530</f>
        <v>19</v>
      </c>
      <c r="V530" s="45" t="e">
        <f t="shared" si="220"/>
        <v>#DIV/0!</v>
      </c>
      <c r="W530" s="36">
        <v>0</v>
      </c>
      <c r="X530" s="86">
        <v>0</v>
      </c>
      <c r="Y530" s="199">
        <v>0</v>
      </c>
      <c r="Z530" s="44">
        <v>0</v>
      </c>
      <c r="AA530" s="41">
        <f t="shared" si="213"/>
        <v>0</v>
      </c>
      <c r="AB530" s="44">
        <v>0</v>
      </c>
      <c r="AC530" s="44">
        <f t="shared" si="211"/>
        <v>0</v>
      </c>
      <c r="AD530" s="44">
        <f t="shared" si="214"/>
        <v>0</v>
      </c>
      <c r="AE530" s="111">
        <f t="shared" si="215"/>
        <v>0</v>
      </c>
      <c r="AF530" s="51" t="s">
        <v>571</v>
      </c>
      <c r="AG530" s="115"/>
      <c r="AH530" s="35">
        <v>0</v>
      </c>
      <c r="AI530" s="36">
        <v>0</v>
      </c>
      <c r="AJ530" s="36">
        <v>0</v>
      </c>
      <c r="AK530" s="36"/>
      <c r="AL530" s="36">
        <v>0</v>
      </c>
      <c r="AM530" s="36">
        <v>0</v>
      </c>
      <c r="AN530" s="46">
        <v>0</v>
      </c>
      <c r="AO530" s="100">
        <f t="shared" si="212"/>
        <v>0</v>
      </c>
      <c r="AP530" s="3">
        <f t="shared" si="210"/>
        <v>0</v>
      </c>
    </row>
    <row r="531" spans="1:42" x14ac:dyDescent="0.2">
      <c r="A531" s="35" t="s">
        <v>538</v>
      </c>
      <c r="B531" s="157" t="s">
        <v>565</v>
      </c>
      <c r="C531" s="37" t="s">
        <v>571</v>
      </c>
      <c r="D531" s="52"/>
      <c r="E531" s="38" t="s">
        <v>594</v>
      </c>
      <c r="F531" s="36" t="s">
        <v>555</v>
      </c>
      <c r="G531" s="36" t="s">
        <v>620</v>
      </c>
      <c r="H531" s="39">
        <v>13</v>
      </c>
      <c r="I531" s="40">
        <v>9793.5499999999993</v>
      </c>
      <c r="J531" s="39">
        <v>0</v>
      </c>
      <c r="K531" s="40">
        <v>0</v>
      </c>
      <c r="L531" s="37" t="s">
        <v>571</v>
      </c>
      <c r="M531" s="41" t="e">
        <v>#DIV/0!</v>
      </c>
      <c r="N531" s="42">
        <v>0</v>
      </c>
      <c r="O531" s="36">
        <v>0</v>
      </c>
      <c r="P531" s="41" t="e">
        <f t="shared" si="216"/>
        <v>#DIV/0!</v>
      </c>
      <c r="Q531" s="36">
        <v>14</v>
      </c>
      <c r="R531" s="43">
        <f t="shared" si="217"/>
        <v>-14</v>
      </c>
      <c r="S531" s="43">
        <f t="shared" si="218"/>
        <v>14</v>
      </c>
      <c r="T531" s="41" t="e">
        <f t="shared" si="219"/>
        <v>#DIV/0!</v>
      </c>
      <c r="U531" s="44">
        <f>Q531</f>
        <v>14</v>
      </c>
      <c r="V531" s="45" t="e">
        <f t="shared" si="220"/>
        <v>#DIV/0!</v>
      </c>
      <c r="W531" s="36">
        <v>0</v>
      </c>
      <c r="X531" s="86">
        <v>0</v>
      </c>
      <c r="Y531" s="199">
        <v>0</v>
      </c>
      <c r="Z531" s="44">
        <v>0</v>
      </c>
      <c r="AA531" s="41">
        <f t="shared" si="213"/>
        <v>0</v>
      </c>
      <c r="AB531" s="44">
        <v>0</v>
      </c>
      <c r="AC531" s="44">
        <f t="shared" si="211"/>
        <v>0</v>
      </c>
      <c r="AD531" s="44">
        <f t="shared" si="214"/>
        <v>0</v>
      </c>
      <c r="AE531" s="111">
        <f t="shared" si="215"/>
        <v>0</v>
      </c>
      <c r="AF531" s="51" t="s">
        <v>571</v>
      </c>
      <c r="AG531" s="115"/>
      <c r="AH531" s="35">
        <v>0</v>
      </c>
      <c r="AI531" s="36">
        <v>0</v>
      </c>
      <c r="AJ531" s="36">
        <v>0</v>
      </c>
      <c r="AK531" s="36"/>
      <c r="AL531" s="36">
        <v>0</v>
      </c>
      <c r="AM531" s="36">
        <v>0</v>
      </c>
      <c r="AN531" s="46">
        <v>0</v>
      </c>
      <c r="AO531" s="100">
        <f t="shared" si="212"/>
        <v>0</v>
      </c>
      <c r="AP531" s="3">
        <f t="shared" si="210"/>
        <v>0</v>
      </c>
    </row>
    <row r="532" spans="1:42" x14ac:dyDescent="0.2">
      <c r="A532" s="35" t="s">
        <v>496</v>
      </c>
      <c r="B532" s="37" t="s">
        <v>562</v>
      </c>
      <c r="C532" s="37" t="s">
        <v>578</v>
      </c>
      <c r="D532" s="52">
        <v>46022</v>
      </c>
      <c r="E532" s="38" t="s">
        <v>764</v>
      </c>
      <c r="F532" s="36" t="s">
        <v>557</v>
      </c>
      <c r="G532" s="36" t="s">
        <v>679</v>
      </c>
      <c r="H532" s="39">
        <v>0</v>
      </c>
      <c r="I532" s="40">
        <v>0</v>
      </c>
      <c r="J532" s="39">
        <v>0</v>
      </c>
      <c r="K532" s="40">
        <v>0</v>
      </c>
      <c r="L532" s="37" t="s">
        <v>571</v>
      </c>
      <c r="M532" s="41" t="e">
        <v>#DIV/0!</v>
      </c>
      <c r="N532" s="42">
        <v>0</v>
      </c>
      <c r="O532" s="36">
        <v>0</v>
      </c>
      <c r="P532" s="41" t="e">
        <f t="shared" si="216"/>
        <v>#DIV/0!</v>
      </c>
      <c r="Q532" s="36">
        <v>100</v>
      </c>
      <c r="R532" s="43">
        <f t="shared" si="217"/>
        <v>-100</v>
      </c>
      <c r="S532" s="43">
        <f t="shared" si="218"/>
        <v>100</v>
      </c>
      <c r="T532" s="41" t="e">
        <f t="shared" si="219"/>
        <v>#DIV/0!</v>
      </c>
      <c r="U532" s="44">
        <f>Q532</f>
        <v>100</v>
      </c>
      <c r="V532" s="45" t="e">
        <f t="shared" si="220"/>
        <v>#DIV/0!</v>
      </c>
      <c r="W532" s="36">
        <v>0</v>
      </c>
      <c r="X532" s="86">
        <v>0</v>
      </c>
      <c r="Y532" s="199">
        <v>0</v>
      </c>
      <c r="Z532" s="44">
        <v>0</v>
      </c>
      <c r="AA532" s="41">
        <f t="shared" si="213"/>
        <v>0</v>
      </c>
      <c r="AB532" s="44">
        <v>0</v>
      </c>
      <c r="AC532" s="44">
        <f t="shared" si="211"/>
        <v>0</v>
      </c>
      <c r="AD532" s="44">
        <f t="shared" si="214"/>
        <v>0</v>
      </c>
      <c r="AE532" s="111">
        <f t="shared" si="215"/>
        <v>0</v>
      </c>
      <c r="AF532" s="51" t="s">
        <v>571</v>
      </c>
      <c r="AG532" s="115" t="s">
        <v>1082</v>
      </c>
      <c r="AH532" s="35">
        <v>0</v>
      </c>
      <c r="AI532" s="36">
        <v>0</v>
      </c>
      <c r="AJ532" s="36">
        <v>0</v>
      </c>
      <c r="AK532" s="36"/>
      <c r="AL532" s="36">
        <v>0</v>
      </c>
      <c r="AM532" s="36">
        <v>0</v>
      </c>
      <c r="AN532" s="46">
        <v>0</v>
      </c>
      <c r="AO532" s="100">
        <f t="shared" si="212"/>
        <v>0</v>
      </c>
      <c r="AP532" s="3">
        <f t="shared" si="210"/>
        <v>0</v>
      </c>
    </row>
    <row r="533" spans="1:42" x14ac:dyDescent="0.2">
      <c r="A533" s="35" t="s">
        <v>493</v>
      </c>
      <c r="B533" s="37" t="s">
        <v>562</v>
      </c>
      <c r="C533" s="37" t="s">
        <v>578</v>
      </c>
      <c r="D533" s="52">
        <v>46022</v>
      </c>
      <c r="E533" s="38" t="s">
        <v>764</v>
      </c>
      <c r="F533" s="36" t="s">
        <v>557</v>
      </c>
      <c r="G533" s="36" t="s">
        <v>679</v>
      </c>
      <c r="H533" s="39">
        <v>0</v>
      </c>
      <c r="I533" s="40">
        <v>0</v>
      </c>
      <c r="J533" s="39">
        <v>0</v>
      </c>
      <c r="K533" s="40">
        <v>0</v>
      </c>
      <c r="L533" s="37" t="s">
        <v>571</v>
      </c>
      <c r="M533" s="41" t="e">
        <v>#DIV/0!</v>
      </c>
      <c r="N533" s="42">
        <v>0</v>
      </c>
      <c r="O533" s="36">
        <v>0</v>
      </c>
      <c r="P533" s="41" t="e">
        <f t="shared" si="216"/>
        <v>#DIV/0!</v>
      </c>
      <c r="Q533" s="36">
        <v>87</v>
      </c>
      <c r="R533" s="43">
        <f t="shared" si="217"/>
        <v>-87</v>
      </c>
      <c r="S533" s="43">
        <f t="shared" si="218"/>
        <v>87</v>
      </c>
      <c r="T533" s="41" t="e">
        <f t="shared" si="219"/>
        <v>#DIV/0!</v>
      </c>
      <c r="U533" s="44">
        <f>Q533</f>
        <v>87</v>
      </c>
      <c r="V533" s="45" t="e">
        <f t="shared" si="220"/>
        <v>#DIV/0!</v>
      </c>
      <c r="W533" s="36">
        <v>0</v>
      </c>
      <c r="X533" s="86">
        <v>0</v>
      </c>
      <c r="Y533" s="199">
        <v>0</v>
      </c>
      <c r="Z533" s="44">
        <v>0</v>
      </c>
      <c r="AA533" s="41">
        <f t="shared" si="213"/>
        <v>0</v>
      </c>
      <c r="AB533" s="44">
        <v>0</v>
      </c>
      <c r="AC533" s="44">
        <f t="shared" si="211"/>
        <v>0</v>
      </c>
      <c r="AD533" s="44">
        <f t="shared" si="214"/>
        <v>0</v>
      </c>
      <c r="AE533" s="111">
        <f t="shared" si="215"/>
        <v>0</v>
      </c>
      <c r="AF533" s="51" t="s">
        <v>571</v>
      </c>
      <c r="AG533" s="115" t="s">
        <v>1083</v>
      </c>
      <c r="AH533" s="35">
        <v>0</v>
      </c>
      <c r="AI533" s="36">
        <v>0</v>
      </c>
      <c r="AJ533" s="36">
        <v>0</v>
      </c>
      <c r="AK533" s="36"/>
      <c r="AL533" s="36">
        <v>0</v>
      </c>
      <c r="AM533" s="36">
        <v>0</v>
      </c>
      <c r="AN533" s="46">
        <v>0</v>
      </c>
      <c r="AO533" s="100">
        <f t="shared" si="212"/>
        <v>0</v>
      </c>
      <c r="AP533" s="3">
        <f t="shared" si="210"/>
        <v>0</v>
      </c>
    </row>
    <row r="534" spans="1:42" x14ac:dyDescent="0.2">
      <c r="A534" s="35" t="s">
        <v>406</v>
      </c>
      <c r="B534" s="157" t="s">
        <v>562</v>
      </c>
      <c r="C534" s="37" t="s">
        <v>571</v>
      </c>
      <c r="D534" s="52"/>
      <c r="E534" s="38" t="s">
        <v>757</v>
      </c>
      <c r="F534" s="36" t="s">
        <v>555</v>
      </c>
      <c r="G534" s="36" t="s">
        <v>636</v>
      </c>
      <c r="H534" s="39">
        <v>0</v>
      </c>
      <c r="I534" s="40">
        <v>0</v>
      </c>
      <c r="J534" s="39">
        <v>0</v>
      </c>
      <c r="K534" s="40">
        <v>0</v>
      </c>
      <c r="L534" s="37" t="s">
        <v>571</v>
      </c>
      <c r="M534" s="41" t="e">
        <v>#DIV/0!</v>
      </c>
      <c r="N534" s="42">
        <v>0</v>
      </c>
      <c r="O534" s="36">
        <v>6</v>
      </c>
      <c r="P534" s="41" t="e">
        <f t="shared" si="216"/>
        <v>#DIV/0!</v>
      </c>
      <c r="Q534" s="36">
        <v>0</v>
      </c>
      <c r="R534" s="43">
        <f t="shared" si="217"/>
        <v>6</v>
      </c>
      <c r="S534" s="43">
        <f t="shared" si="218"/>
        <v>0</v>
      </c>
      <c r="T534" s="41" t="e">
        <f t="shared" si="219"/>
        <v>#DIV/0!</v>
      </c>
      <c r="U534" s="44">
        <f>O534</f>
        <v>6</v>
      </c>
      <c r="V534" s="45" t="e">
        <f t="shared" si="220"/>
        <v>#DIV/0!</v>
      </c>
      <c r="W534" s="36">
        <v>0</v>
      </c>
      <c r="X534" s="86">
        <v>0</v>
      </c>
      <c r="Y534" s="199">
        <v>0</v>
      </c>
      <c r="Z534" s="44">
        <v>0</v>
      </c>
      <c r="AA534" s="41">
        <f t="shared" si="213"/>
        <v>0</v>
      </c>
      <c r="AB534" s="44">
        <v>0</v>
      </c>
      <c r="AC534" s="44">
        <f t="shared" si="211"/>
        <v>0</v>
      </c>
      <c r="AD534" s="44">
        <f t="shared" si="214"/>
        <v>0</v>
      </c>
      <c r="AE534" s="111">
        <f t="shared" si="215"/>
        <v>0</v>
      </c>
      <c r="AF534" s="51" t="s">
        <v>571</v>
      </c>
      <c r="AG534" s="115"/>
      <c r="AH534" s="35">
        <v>0</v>
      </c>
      <c r="AI534" s="36">
        <v>0</v>
      </c>
      <c r="AJ534" s="36">
        <v>0</v>
      </c>
      <c r="AK534" s="36"/>
      <c r="AL534" s="36">
        <v>0</v>
      </c>
      <c r="AM534" s="36">
        <v>0</v>
      </c>
      <c r="AN534" s="46">
        <v>0</v>
      </c>
      <c r="AO534" s="100">
        <f t="shared" si="212"/>
        <v>0</v>
      </c>
      <c r="AP534" s="3">
        <f t="shared" si="210"/>
        <v>0</v>
      </c>
    </row>
    <row r="535" spans="1:42" x14ac:dyDescent="0.2">
      <c r="A535" s="35" t="s">
        <v>299</v>
      </c>
      <c r="B535" s="37" t="s">
        <v>565</v>
      </c>
      <c r="C535" s="37" t="s">
        <v>578</v>
      </c>
      <c r="D535" s="52">
        <v>46387</v>
      </c>
      <c r="E535" s="38" t="s">
        <v>754</v>
      </c>
      <c r="F535" s="36" t="s">
        <v>557</v>
      </c>
      <c r="G535" s="36" t="s">
        <v>592</v>
      </c>
      <c r="H535" s="39">
        <v>13</v>
      </c>
      <c r="I535" s="40">
        <v>3293.55</v>
      </c>
      <c r="J535" s="39">
        <v>0</v>
      </c>
      <c r="K535" s="40">
        <v>0</v>
      </c>
      <c r="L535" s="37" t="s">
        <v>571</v>
      </c>
      <c r="M535" s="41" t="e">
        <v>#DIV/0!</v>
      </c>
      <c r="N535" s="42">
        <v>0</v>
      </c>
      <c r="O535" s="36">
        <v>26</v>
      </c>
      <c r="P535" s="41" t="e">
        <f t="shared" si="216"/>
        <v>#DIV/0!</v>
      </c>
      <c r="Q535" s="36">
        <v>88</v>
      </c>
      <c r="R535" s="43">
        <f t="shared" si="217"/>
        <v>-62</v>
      </c>
      <c r="S535" s="43">
        <f t="shared" si="218"/>
        <v>24</v>
      </c>
      <c r="T535" s="41" t="e">
        <f t="shared" si="219"/>
        <v>#DIV/0!</v>
      </c>
      <c r="U535" s="44">
        <v>50</v>
      </c>
      <c r="V535" s="45" t="e">
        <f t="shared" si="220"/>
        <v>#DIV/0!</v>
      </c>
      <c r="W535" s="36">
        <v>0</v>
      </c>
      <c r="X535" s="86">
        <v>0</v>
      </c>
      <c r="Y535" s="199">
        <v>0</v>
      </c>
      <c r="Z535" s="44">
        <v>0</v>
      </c>
      <c r="AA535" s="41">
        <f t="shared" si="213"/>
        <v>0</v>
      </c>
      <c r="AB535" s="44">
        <v>0</v>
      </c>
      <c r="AC535" s="44">
        <f t="shared" si="211"/>
        <v>0</v>
      </c>
      <c r="AD535" s="44">
        <f t="shared" si="214"/>
        <v>0</v>
      </c>
      <c r="AE535" s="111">
        <f t="shared" si="215"/>
        <v>0</v>
      </c>
      <c r="AF535" s="51" t="s">
        <v>571</v>
      </c>
      <c r="AG535" s="115" t="s">
        <v>1084</v>
      </c>
      <c r="AH535" s="35">
        <v>0</v>
      </c>
      <c r="AI535" s="36">
        <v>0</v>
      </c>
      <c r="AJ535" s="36">
        <v>0</v>
      </c>
      <c r="AK535" s="36"/>
      <c r="AL535" s="36">
        <v>0</v>
      </c>
      <c r="AM535" s="36">
        <v>0</v>
      </c>
      <c r="AN535" s="46">
        <v>0</v>
      </c>
      <c r="AO535" s="100">
        <f t="shared" si="212"/>
        <v>0</v>
      </c>
      <c r="AP535" s="3">
        <f t="shared" si="210"/>
        <v>0</v>
      </c>
    </row>
    <row r="536" spans="1:42" x14ac:dyDescent="0.2">
      <c r="A536" s="35" t="s">
        <v>80</v>
      </c>
      <c r="B536" s="37" t="s">
        <v>565</v>
      </c>
      <c r="C536" s="37" t="s">
        <v>578</v>
      </c>
      <c r="D536" s="52">
        <v>46387</v>
      </c>
      <c r="E536" s="38" t="s">
        <v>754</v>
      </c>
      <c r="F536" s="36" t="s">
        <v>559</v>
      </c>
      <c r="G536" s="36" t="s">
        <v>598</v>
      </c>
      <c r="H536" s="39">
        <v>42</v>
      </c>
      <c r="I536" s="40">
        <v>6574.68</v>
      </c>
      <c r="J536" s="39">
        <v>0</v>
      </c>
      <c r="K536" s="40">
        <v>0</v>
      </c>
      <c r="L536" s="37" t="s">
        <v>571</v>
      </c>
      <c r="M536" s="41" t="e">
        <v>#DIV/0!</v>
      </c>
      <c r="N536" s="42">
        <v>0</v>
      </c>
      <c r="O536" s="36">
        <v>20</v>
      </c>
      <c r="P536" s="41" t="e">
        <f t="shared" si="216"/>
        <v>#DIV/0!</v>
      </c>
      <c r="Q536" s="36">
        <v>20</v>
      </c>
      <c r="R536" s="43">
        <f t="shared" si="217"/>
        <v>0</v>
      </c>
      <c r="S536" s="43">
        <f t="shared" si="218"/>
        <v>0</v>
      </c>
      <c r="T536" s="41" t="e">
        <f t="shared" si="219"/>
        <v>#DIV/0!</v>
      </c>
      <c r="U536" s="44">
        <f>Q536</f>
        <v>20</v>
      </c>
      <c r="V536" s="45" t="e">
        <f t="shared" si="220"/>
        <v>#DIV/0!</v>
      </c>
      <c r="W536" s="36">
        <v>0</v>
      </c>
      <c r="X536" s="86">
        <v>0</v>
      </c>
      <c r="Y536" s="199">
        <v>0</v>
      </c>
      <c r="Z536" s="44">
        <v>0</v>
      </c>
      <c r="AA536" s="41">
        <f t="shared" si="213"/>
        <v>0</v>
      </c>
      <c r="AB536" s="44">
        <v>0</v>
      </c>
      <c r="AC536" s="44">
        <f t="shared" si="211"/>
        <v>0</v>
      </c>
      <c r="AD536" s="44">
        <f t="shared" si="214"/>
        <v>0</v>
      </c>
      <c r="AE536" s="111">
        <f t="shared" si="215"/>
        <v>0</v>
      </c>
      <c r="AF536" s="51" t="s">
        <v>571</v>
      </c>
      <c r="AG536" s="115"/>
      <c r="AH536" s="35">
        <v>0</v>
      </c>
      <c r="AI536" s="36">
        <v>0</v>
      </c>
      <c r="AJ536" s="36">
        <v>0</v>
      </c>
      <c r="AK536" s="36"/>
      <c r="AL536" s="36">
        <v>0</v>
      </c>
      <c r="AM536" s="36">
        <v>0</v>
      </c>
      <c r="AN536" s="46">
        <v>0</v>
      </c>
      <c r="AO536" s="100">
        <f t="shared" si="212"/>
        <v>0</v>
      </c>
      <c r="AP536" s="3">
        <f t="shared" si="210"/>
        <v>0</v>
      </c>
    </row>
    <row r="537" spans="1:42" x14ac:dyDescent="0.2">
      <c r="A537" s="35" t="s">
        <v>8</v>
      </c>
      <c r="B537" s="37" t="s">
        <v>556</v>
      </c>
      <c r="C537" s="37" t="s">
        <v>571</v>
      </c>
      <c r="D537" s="52"/>
      <c r="E537" s="38" t="s">
        <v>790</v>
      </c>
      <c r="F537" s="36" t="s">
        <v>564</v>
      </c>
      <c r="G537" s="36" t="s">
        <v>632</v>
      </c>
      <c r="H537" s="39">
        <v>577</v>
      </c>
      <c r="I537" s="40">
        <v>65523.05</v>
      </c>
      <c r="J537" s="39">
        <v>0</v>
      </c>
      <c r="K537" s="40">
        <v>0</v>
      </c>
      <c r="L537" s="37" t="s">
        <v>571</v>
      </c>
      <c r="M537" s="41" t="e">
        <v>#DIV/0!</v>
      </c>
      <c r="N537" s="42">
        <v>0</v>
      </c>
      <c r="O537" s="36">
        <v>0</v>
      </c>
      <c r="P537" s="41" t="e">
        <f t="shared" si="216"/>
        <v>#DIV/0!</v>
      </c>
      <c r="Q537" s="36">
        <v>0</v>
      </c>
      <c r="R537" s="43">
        <f t="shared" si="217"/>
        <v>0</v>
      </c>
      <c r="S537" s="43">
        <f t="shared" si="218"/>
        <v>514</v>
      </c>
      <c r="T537" s="41" t="e">
        <f t="shared" si="219"/>
        <v>#DIV/0!</v>
      </c>
      <c r="U537" s="44">
        <v>514</v>
      </c>
      <c r="V537" s="45" t="e">
        <f t="shared" si="220"/>
        <v>#DIV/0!</v>
      </c>
      <c r="W537" s="36">
        <v>0</v>
      </c>
      <c r="X537" s="86">
        <v>0</v>
      </c>
      <c r="Y537" s="199">
        <v>0</v>
      </c>
      <c r="Z537" s="44">
        <v>0</v>
      </c>
      <c r="AA537" s="41">
        <f t="shared" si="213"/>
        <v>0</v>
      </c>
      <c r="AB537" s="44">
        <v>0</v>
      </c>
      <c r="AC537" s="44">
        <f t="shared" si="211"/>
        <v>0</v>
      </c>
      <c r="AD537" s="44">
        <f t="shared" si="214"/>
        <v>0</v>
      </c>
      <c r="AE537" s="111">
        <f t="shared" si="215"/>
        <v>0</v>
      </c>
      <c r="AF537" s="51" t="s">
        <v>571</v>
      </c>
      <c r="AG537" s="115"/>
      <c r="AH537" s="35">
        <v>0</v>
      </c>
      <c r="AI537" s="36">
        <v>0</v>
      </c>
      <c r="AJ537" s="36">
        <v>0</v>
      </c>
      <c r="AK537" s="36"/>
      <c r="AL537" s="36">
        <v>0</v>
      </c>
      <c r="AM537" s="36">
        <v>0</v>
      </c>
      <c r="AN537" s="46">
        <v>0</v>
      </c>
      <c r="AO537" s="100">
        <f t="shared" si="212"/>
        <v>0</v>
      </c>
      <c r="AP537" s="3">
        <f t="shared" si="210"/>
        <v>0</v>
      </c>
    </row>
    <row r="538" spans="1:42" x14ac:dyDescent="0.2">
      <c r="A538" s="35" t="s">
        <v>518</v>
      </c>
      <c r="B538" s="37" t="s">
        <v>562</v>
      </c>
      <c r="C538" s="37" t="s">
        <v>571</v>
      </c>
      <c r="D538" s="52"/>
      <c r="E538" s="38" t="s">
        <v>761</v>
      </c>
      <c r="F538" s="36" t="s">
        <v>561</v>
      </c>
      <c r="G538" s="36" t="s">
        <v>660</v>
      </c>
      <c r="H538" s="39">
        <v>0</v>
      </c>
      <c r="I538" s="40">
        <v>0</v>
      </c>
      <c r="J538" s="39">
        <v>0</v>
      </c>
      <c r="K538" s="40">
        <v>0</v>
      </c>
      <c r="L538" s="37" t="s">
        <v>571</v>
      </c>
      <c r="M538" s="41" t="e">
        <v>#DIV/0!</v>
      </c>
      <c r="N538" s="42">
        <v>0</v>
      </c>
      <c r="O538" s="36">
        <v>0</v>
      </c>
      <c r="P538" s="41" t="e">
        <f t="shared" si="216"/>
        <v>#DIV/0!</v>
      </c>
      <c r="Q538" s="36">
        <v>350</v>
      </c>
      <c r="R538" s="43">
        <f t="shared" si="217"/>
        <v>-350</v>
      </c>
      <c r="S538" s="43">
        <f t="shared" si="218"/>
        <v>350</v>
      </c>
      <c r="T538" s="41" t="e">
        <f t="shared" si="219"/>
        <v>#DIV/0!</v>
      </c>
      <c r="U538" s="44">
        <f>Q538</f>
        <v>350</v>
      </c>
      <c r="V538" s="45" t="e">
        <f t="shared" si="220"/>
        <v>#DIV/0!</v>
      </c>
      <c r="W538" s="36">
        <v>0</v>
      </c>
      <c r="X538" s="86">
        <v>0</v>
      </c>
      <c r="Y538" s="199">
        <v>0</v>
      </c>
      <c r="Z538" s="44">
        <v>0</v>
      </c>
      <c r="AA538" s="41">
        <f t="shared" si="213"/>
        <v>0</v>
      </c>
      <c r="AB538" s="44">
        <v>0</v>
      </c>
      <c r="AC538" s="44">
        <f t="shared" si="211"/>
        <v>0</v>
      </c>
      <c r="AD538" s="44">
        <f t="shared" si="214"/>
        <v>0</v>
      </c>
      <c r="AE538" s="111">
        <f t="shared" si="215"/>
        <v>0</v>
      </c>
      <c r="AF538" s="51" t="s">
        <v>571</v>
      </c>
      <c r="AG538" s="115"/>
      <c r="AH538" s="35">
        <v>0</v>
      </c>
      <c r="AI538" s="36">
        <v>0</v>
      </c>
      <c r="AJ538" s="36">
        <v>0</v>
      </c>
      <c r="AK538" s="36"/>
      <c r="AL538" s="36">
        <v>0</v>
      </c>
      <c r="AM538" s="36">
        <v>0</v>
      </c>
      <c r="AN538" s="46">
        <v>0</v>
      </c>
      <c r="AO538" s="100">
        <f t="shared" si="212"/>
        <v>0</v>
      </c>
      <c r="AP538" s="3">
        <f t="shared" si="210"/>
        <v>0</v>
      </c>
    </row>
    <row r="539" spans="1:42" x14ac:dyDescent="0.2">
      <c r="A539" s="35" t="s">
        <v>90</v>
      </c>
      <c r="B539" s="37" t="s">
        <v>556</v>
      </c>
      <c r="C539" s="37" t="s">
        <v>578</v>
      </c>
      <c r="D539" s="52">
        <v>46387</v>
      </c>
      <c r="E539" s="38" t="s">
        <v>754</v>
      </c>
      <c r="F539" s="36" t="s">
        <v>559</v>
      </c>
      <c r="G539" s="36" t="s">
        <v>613</v>
      </c>
      <c r="H539" s="39">
        <v>450</v>
      </c>
      <c r="I539" s="40">
        <v>18778.5</v>
      </c>
      <c r="J539" s="39">
        <v>0</v>
      </c>
      <c r="K539" s="40">
        <v>0</v>
      </c>
      <c r="L539" s="37" t="s">
        <v>571</v>
      </c>
      <c r="M539" s="41" t="e">
        <v>#DIV/0!</v>
      </c>
      <c r="N539" s="42">
        <v>0</v>
      </c>
      <c r="O539" s="36">
        <v>0</v>
      </c>
      <c r="P539" s="41" t="e">
        <f t="shared" si="216"/>
        <v>#DIV/0!</v>
      </c>
      <c r="Q539" s="36">
        <v>620</v>
      </c>
      <c r="R539" s="43">
        <f t="shared" si="217"/>
        <v>-620</v>
      </c>
      <c r="S539" s="43">
        <f t="shared" si="218"/>
        <v>300</v>
      </c>
      <c r="T539" s="41" t="e">
        <f t="shared" si="219"/>
        <v>#DIV/0!</v>
      </c>
      <c r="U539" s="44">
        <v>300</v>
      </c>
      <c r="V539" s="45" t="e">
        <f t="shared" si="220"/>
        <v>#DIV/0!</v>
      </c>
      <c r="W539" s="36">
        <v>0</v>
      </c>
      <c r="X539" s="86">
        <v>0</v>
      </c>
      <c r="Y539" s="199">
        <v>0</v>
      </c>
      <c r="Z539" s="44">
        <v>0</v>
      </c>
      <c r="AA539" s="41">
        <f t="shared" si="213"/>
        <v>0</v>
      </c>
      <c r="AB539" s="44">
        <v>0</v>
      </c>
      <c r="AC539" s="44">
        <f t="shared" ref="AC539:AC569" si="221">AB539+AO539</f>
        <v>0</v>
      </c>
      <c r="AD539" s="44">
        <f t="shared" si="214"/>
        <v>0</v>
      </c>
      <c r="AE539" s="111">
        <f t="shared" si="215"/>
        <v>0</v>
      </c>
      <c r="AF539" s="51" t="s">
        <v>571</v>
      </c>
      <c r="AG539" s="115"/>
      <c r="AH539" s="35">
        <v>0</v>
      </c>
      <c r="AI539" s="36">
        <v>0</v>
      </c>
      <c r="AJ539" s="36">
        <v>0</v>
      </c>
      <c r="AK539" s="36"/>
      <c r="AL539" s="36">
        <v>0</v>
      </c>
      <c r="AM539" s="36">
        <v>0</v>
      </c>
      <c r="AN539" s="46">
        <v>0</v>
      </c>
      <c r="AO539" s="100">
        <f t="shared" ref="AO539:AO569" si="222">SUM(AH539:AN539)</f>
        <v>0</v>
      </c>
      <c r="AP539" s="3">
        <f t="shared" si="210"/>
        <v>0</v>
      </c>
    </row>
    <row r="540" spans="1:42" x14ac:dyDescent="0.2">
      <c r="A540" s="35" t="s">
        <v>542</v>
      </c>
      <c r="B540" s="37" t="s">
        <v>562</v>
      </c>
      <c r="C540" s="37" t="s">
        <v>571</v>
      </c>
      <c r="D540" s="52"/>
      <c r="E540" s="38" t="s">
        <v>755</v>
      </c>
      <c r="F540" s="36" t="s">
        <v>557</v>
      </c>
      <c r="G540" s="36" t="s">
        <v>673</v>
      </c>
      <c r="H540" s="39">
        <v>0</v>
      </c>
      <c r="I540" s="40">
        <v>0</v>
      </c>
      <c r="J540" s="39">
        <v>0</v>
      </c>
      <c r="K540" s="40">
        <v>0</v>
      </c>
      <c r="L540" s="37" t="s">
        <v>571</v>
      </c>
      <c r="M540" s="41" t="e">
        <v>#DIV/0!</v>
      </c>
      <c r="N540" s="42">
        <v>0</v>
      </c>
      <c r="O540" s="36">
        <v>0</v>
      </c>
      <c r="P540" s="41" t="e">
        <f t="shared" si="216"/>
        <v>#DIV/0!</v>
      </c>
      <c r="Q540" s="36">
        <v>5</v>
      </c>
      <c r="R540" s="43">
        <f t="shared" si="217"/>
        <v>-5</v>
      </c>
      <c r="S540" s="43">
        <f t="shared" si="218"/>
        <v>5</v>
      </c>
      <c r="T540" s="41" t="e">
        <f t="shared" si="219"/>
        <v>#DIV/0!</v>
      </c>
      <c r="U540" s="44">
        <f>Q540</f>
        <v>5</v>
      </c>
      <c r="V540" s="45" t="e">
        <f t="shared" si="220"/>
        <v>#DIV/0!</v>
      </c>
      <c r="W540" s="36">
        <v>0</v>
      </c>
      <c r="X540" s="86">
        <v>0</v>
      </c>
      <c r="Y540" s="199">
        <v>0</v>
      </c>
      <c r="Z540" s="44">
        <v>0</v>
      </c>
      <c r="AA540" s="41">
        <f t="shared" si="213"/>
        <v>0</v>
      </c>
      <c r="AB540" s="44">
        <v>0</v>
      </c>
      <c r="AC540" s="44">
        <f t="shared" si="221"/>
        <v>0</v>
      </c>
      <c r="AD540" s="44">
        <f t="shared" si="214"/>
        <v>0</v>
      </c>
      <c r="AE540" s="111">
        <f t="shared" si="215"/>
        <v>0</v>
      </c>
      <c r="AF540" s="51" t="s">
        <v>571</v>
      </c>
      <c r="AG540" s="115" t="s">
        <v>1085</v>
      </c>
      <c r="AH540" s="35">
        <v>0</v>
      </c>
      <c r="AI540" s="36">
        <v>0</v>
      </c>
      <c r="AJ540" s="36">
        <v>0</v>
      </c>
      <c r="AK540" s="36"/>
      <c r="AL540" s="36">
        <v>0</v>
      </c>
      <c r="AM540" s="36">
        <v>0</v>
      </c>
      <c r="AN540" s="46">
        <v>0</v>
      </c>
      <c r="AO540" s="100">
        <f t="shared" si="222"/>
        <v>0</v>
      </c>
      <c r="AP540" s="3">
        <f t="shared" si="210"/>
        <v>0</v>
      </c>
    </row>
    <row r="541" spans="1:42" x14ac:dyDescent="0.2">
      <c r="A541" s="35" t="s">
        <v>476</v>
      </c>
      <c r="B541" s="37" t="s">
        <v>565</v>
      </c>
      <c r="C541" s="37" t="s">
        <v>578</v>
      </c>
      <c r="D541" s="52">
        <v>46022</v>
      </c>
      <c r="E541" s="38" t="s">
        <v>764</v>
      </c>
      <c r="F541" s="36" t="s">
        <v>559</v>
      </c>
      <c r="G541" s="36" t="s">
        <v>607</v>
      </c>
      <c r="H541" s="39">
        <v>175</v>
      </c>
      <c r="I541" s="40">
        <v>122500</v>
      </c>
      <c r="J541" s="39">
        <v>0</v>
      </c>
      <c r="K541" s="40">
        <v>0</v>
      </c>
      <c r="L541" s="37" t="s">
        <v>578</v>
      </c>
      <c r="M541" s="41" t="e">
        <v>#DIV/0!</v>
      </c>
      <c r="N541" s="42">
        <v>0</v>
      </c>
      <c r="O541" s="36">
        <v>0</v>
      </c>
      <c r="P541" s="41" t="e">
        <f t="shared" si="216"/>
        <v>#DIV/0!</v>
      </c>
      <c r="Q541" s="36">
        <v>250</v>
      </c>
      <c r="R541" s="43">
        <f t="shared" si="217"/>
        <v>-250</v>
      </c>
      <c r="S541" s="43">
        <f t="shared" si="218"/>
        <v>175</v>
      </c>
      <c r="T541" s="41" t="e">
        <f t="shared" si="219"/>
        <v>#DIV/0!</v>
      </c>
      <c r="U541" s="44">
        <v>175</v>
      </c>
      <c r="V541" s="45" t="e">
        <f t="shared" si="220"/>
        <v>#DIV/0!</v>
      </c>
      <c r="W541" s="36">
        <v>0</v>
      </c>
      <c r="X541" s="86">
        <v>0</v>
      </c>
      <c r="Y541" s="199">
        <v>0</v>
      </c>
      <c r="Z541" s="44">
        <v>0</v>
      </c>
      <c r="AA541" s="41">
        <f t="shared" si="213"/>
        <v>0</v>
      </c>
      <c r="AB541" s="44">
        <v>0</v>
      </c>
      <c r="AC541" s="44">
        <f t="shared" si="221"/>
        <v>0</v>
      </c>
      <c r="AD541" s="44">
        <f t="shared" si="214"/>
        <v>0</v>
      </c>
      <c r="AE541" s="111">
        <f t="shared" si="215"/>
        <v>0</v>
      </c>
      <c r="AF541" s="51" t="s">
        <v>571</v>
      </c>
      <c r="AG541" s="115"/>
      <c r="AH541" s="35">
        <v>0</v>
      </c>
      <c r="AI541" s="36">
        <v>0</v>
      </c>
      <c r="AJ541" s="36">
        <v>0</v>
      </c>
      <c r="AK541" s="36"/>
      <c r="AL541" s="36">
        <v>0</v>
      </c>
      <c r="AM541" s="36">
        <v>0</v>
      </c>
      <c r="AN541" s="46">
        <v>0</v>
      </c>
      <c r="AO541" s="100">
        <f t="shared" si="222"/>
        <v>0</v>
      </c>
      <c r="AP541" s="3">
        <f t="shared" si="210"/>
        <v>0</v>
      </c>
    </row>
    <row r="542" spans="1:42" x14ac:dyDescent="0.2">
      <c r="A542" s="35" t="s">
        <v>547</v>
      </c>
      <c r="B542" s="37" t="s">
        <v>565</v>
      </c>
      <c r="C542" s="37" t="s">
        <v>578</v>
      </c>
      <c r="D542" s="52">
        <v>46387</v>
      </c>
      <c r="E542" s="38" t="s">
        <v>758</v>
      </c>
      <c r="F542" s="36" t="s">
        <v>555</v>
      </c>
      <c r="G542" s="36" t="s">
        <v>591</v>
      </c>
      <c r="H542" s="39">
        <v>0</v>
      </c>
      <c r="I542" s="40">
        <v>0</v>
      </c>
      <c r="J542" s="39">
        <v>0</v>
      </c>
      <c r="K542" s="40">
        <v>0</v>
      </c>
      <c r="L542" s="37" t="s">
        <v>571</v>
      </c>
      <c r="M542" s="41" t="e">
        <v>#DIV/0!</v>
      </c>
      <c r="N542" s="42">
        <v>0</v>
      </c>
      <c r="O542" s="36">
        <v>0</v>
      </c>
      <c r="P542" s="41" t="e">
        <f t="shared" si="216"/>
        <v>#DIV/0!</v>
      </c>
      <c r="Q542" s="36">
        <v>36</v>
      </c>
      <c r="R542" s="43">
        <f t="shared" si="217"/>
        <v>-36</v>
      </c>
      <c r="S542" s="43">
        <f t="shared" si="218"/>
        <v>36</v>
      </c>
      <c r="T542" s="41" t="e">
        <f t="shared" si="219"/>
        <v>#DIV/0!</v>
      </c>
      <c r="U542" s="44">
        <f>Q542</f>
        <v>36</v>
      </c>
      <c r="V542" s="45" t="e">
        <f t="shared" si="220"/>
        <v>#DIV/0!</v>
      </c>
      <c r="W542" s="36">
        <v>0</v>
      </c>
      <c r="X542" s="86">
        <v>0</v>
      </c>
      <c r="Y542" s="199">
        <v>0</v>
      </c>
      <c r="Z542" s="44">
        <v>0</v>
      </c>
      <c r="AA542" s="41">
        <f t="shared" si="213"/>
        <v>0</v>
      </c>
      <c r="AB542" s="44">
        <v>0</v>
      </c>
      <c r="AC542" s="44">
        <f t="shared" si="221"/>
        <v>0</v>
      </c>
      <c r="AD542" s="44">
        <f t="shared" si="214"/>
        <v>0</v>
      </c>
      <c r="AE542" s="111">
        <f t="shared" si="215"/>
        <v>0</v>
      </c>
      <c r="AF542" s="51" t="s">
        <v>571</v>
      </c>
      <c r="AG542" s="115"/>
      <c r="AH542" s="35">
        <v>0</v>
      </c>
      <c r="AI542" s="36">
        <v>0</v>
      </c>
      <c r="AJ542" s="36">
        <v>0</v>
      </c>
      <c r="AK542" s="36"/>
      <c r="AL542" s="36">
        <v>0</v>
      </c>
      <c r="AM542" s="36">
        <v>0</v>
      </c>
      <c r="AN542" s="46">
        <v>0</v>
      </c>
      <c r="AO542" s="100">
        <f t="shared" si="222"/>
        <v>0</v>
      </c>
      <c r="AP542" s="3">
        <f t="shared" si="210"/>
        <v>0</v>
      </c>
    </row>
    <row r="543" spans="1:42" x14ac:dyDescent="0.2">
      <c r="A543" s="35" t="s">
        <v>549</v>
      </c>
      <c r="B543" s="37" t="s">
        <v>562</v>
      </c>
      <c r="C543" s="37" t="s">
        <v>578</v>
      </c>
      <c r="D543" s="52">
        <v>46387</v>
      </c>
      <c r="E543" s="38" t="s">
        <v>758</v>
      </c>
      <c r="F543" s="36" t="s">
        <v>555</v>
      </c>
      <c r="G543" s="36" t="s">
        <v>591</v>
      </c>
      <c r="H543" s="39">
        <v>50</v>
      </c>
      <c r="I543" s="40">
        <v>8887.5</v>
      </c>
      <c r="J543" s="39">
        <v>0</v>
      </c>
      <c r="K543" s="40">
        <v>0</v>
      </c>
      <c r="L543" s="37" t="s">
        <v>571</v>
      </c>
      <c r="M543" s="41" t="e">
        <v>#DIV/0!</v>
      </c>
      <c r="N543" s="42">
        <v>0</v>
      </c>
      <c r="O543" s="36">
        <v>0</v>
      </c>
      <c r="P543" s="41" t="e">
        <f t="shared" si="216"/>
        <v>#DIV/0!</v>
      </c>
      <c r="Q543" s="36">
        <v>32</v>
      </c>
      <c r="R543" s="43">
        <f t="shared" si="217"/>
        <v>-32</v>
      </c>
      <c r="S543" s="43">
        <f t="shared" si="218"/>
        <v>32</v>
      </c>
      <c r="T543" s="41" t="e">
        <f t="shared" si="219"/>
        <v>#DIV/0!</v>
      </c>
      <c r="U543" s="44">
        <f>Q543</f>
        <v>32</v>
      </c>
      <c r="V543" s="45" t="e">
        <f t="shared" si="220"/>
        <v>#DIV/0!</v>
      </c>
      <c r="W543" s="36">
        <v>0</v>
      </c>
      <c r="X543" s="86">
        <v>0</v>
      </c>
      <c r="Y543" s="199">
        <v>0</v>
      </c>
      <c r="Z543" s="44">
        <v>0</v>
      </c>
      <c r="AA543" s="41">
        <f t="shared" si="213"/>
        <v>0</v>
      </c>
      <c r="AB543" s="44">
        <v>0</v>
      </c>
      <c r="AC543" s="44">
        <f t="shared" si="221"/>
        <v>0</v>
      </c>
      <c r="AD543" s="44">
        <f t="shared" si="214"/>
        <v>0</v>
      </c>
      <c r="AE543" s="111">
        <f t="shared" si="215"/>
        <v>0</v>
      </c>
      <c r="AF543" s="51" t="s">
        <v>571</v>
      </c>
      <c r="AG543" s="115"/>
      <c r="AH543" s="35">
        <v>0</v>
      </c>
      <c r="AI543" s="36">
        <v>0</v>
      </c>
      <c r="AJ543" s="36">
        <v>0</v>
      </c>
      <c r="AK543" s="36"/>
      <c r="AL543" s="36">
        <v>0</v>
      </c>
      <c r="AM543" s="36">
        <v>0</v>
      </c>
      <c r="AN543" s="46">
        <v>0</v>
      </c>
      <c r="AO543" s="100">
        <f t="shared" si="222"/>
        <v>0</v>
      </c>
      <c r="AP543" s="3">
        <f t="shared" si="210"/>
        <v>0</v>
      </c>
    </row>
    <row r="544" spans="1:42" x14ac:dyDescent="0.2">
      <c r="A544" s="35" t="s">
        <v>508</v>
      </c>
      <c r="B544" s="37" t="s">
        <v>562</v>
      </c>
      <c r="C544" s="37" t="s">
        <v>571</v>
      </c>
      <c r="D544" s="52"/>
      <c r="E544" s="38" t="s">
        <v>758</v>
      </c>
      <c r="F544" s="36" t="s">
        <v>555</v>
      </c>
      <c r="G544" s="36" t="s">
        <v>600</v>
      </c>
      <c r="H544" s="39">
        <v>30</v>
      </c>
      <c r="I544" s="40">
        <v>11942.2</v>
      </c>
      <c r="J544" s="39">
        <v>0</v>
      </c>
      <c r="K544" s="40">
        <v>0</v>
      </c>
      <c r="L544" s="37" t="s">
        <v>571</v>
      </c>
      <c r="M544" s="41" t="e">
        <v>#DIV/0!</v>
      </c>
      <c r="N544" s="42">
        <v>0</v>
      </c>
      <c r="O544" s="36">
        <v>0</v>
      </c>
      <c r="P544" s="41" t="e">
        <f t="shared" si="216"/>
        <v>#DIV/0!</v>
      </c>
      <c r="Q544" s="36">
        <v>100</v>
      </c>
      <c r="R544" s="43">
        <f t="shared" si="217"/>
        <v>-100</v>
      </c>
      <c r="S544" s="43">
        <f t="shared" si="218"/>
        <v>100</v>
      </c>
      <c r="T544" s="41" t="e">
        <f t="shared" si="219"/>
        <v>#DIV/0!</v>
      </c>
      <c r="U544" s="44">
        <f>Q544</f>
        <v>100</v>
      </c>
      <c r="V544" s="45" t="e">
        <f t="shared" si="220"/>
        <v>#DIV/0!</v>
      </c>
      <c r="W544" s="36">
        <v>0</v>
      </c>
      <c r="X544" s="86">
        <v>0</v>
      </c>
      <c r="Y544" s="199">
        <v>0</v>
      </c>
      <c r="Z544" s="44">
        <v>0</v>
      </c>
      <c r="AA544" s="41">
        <f t="shared" si="213"/>
        <v>0</v>
      </c>
      <c r="AB544" s="44">
        <v>0</v>
      </c>
      <c r="AC544" s="44">
        <f t="shared" si="221"/>
        <v>0</v>
      </c>
      <c r="AD544" s="44">
        <f t="shared" si="214"/>
        <v>0</v>
      </c>
      <c r="AE544" s="111">
        <f t="shared" si="215"/>
        <v>0</v>
      </c>
      <c r="AF544" s="51" t="s">
        <v>571</v>
      </c>
      <c r="AG544" s="115"/>
      <c r="AH544" s="35">
        <v>0</v>
      </c>
      <c r="AI544" s="36">
        <v>0</v>
      </c>
      <c r="AJ544" s="36">
        <v>0</v>
      </c>
      <c r="AK544" s="36"/>
      <c r="AL544" s="36">
        <v>0</v>
      </c>
      <c r="AM544" s="36">
        <v>0</v>
      </c>
      <c r="AN544" s="46">
        <v>0</v>
      </c>
      <c r="AO544" s="100">
        <f t="shared" si="222"/>
        <v>0</v>
      </c>
      <c r="AP544" s="3">
        <f t="shared" si="210"/>
        <v>0</v>
      </c>
    </row>
    <row r="545" spans="1:42" x14ac:dyDescent="0.2">
      <c r="A545" s="35" t="s">
        <v>371</v>
      </c>
      <c r="B545" s="37" t="s">
        <v>562</v>
      </c>
      <c r="C545" s="37" t="s">
        <v>571</v>
      </c>
      <c r="D545" s="52"/>
      <c r="E545" s="38" t="s">
        <v>805</v>
      </c>
      <c r="F545" s="36" t="s">
        <v>558</v>
      </c>
      <c r="G545" s="36" t="s">
        <v>579</v>
      </c>
      <c r="H545" s="39">
        <v>0</v>
      </c>
      <c r="I545" s="40">
        <v>0</v>
      </c>
      <c r="J545" s="39">
        <v>0</v>
      </c>
      <c r="K545" s="40">
        <v>0</v>
      </c>
      <c r="L545" s="37" t="s">
        <v>571</v>
      </c>
      <c r="M545" s="41" t="e">
        <v>#DIV/0!</v>
      </c>
      <c r="N545" s="42">
        <v>0</v>
      </c>
      <c r="O545" s="36">
        <v>0</v>
      </c>
      <c r="P545" s="41" t="e">
        <f t="shared" si="216"/>
        <v>#DIV/0!</v>
      </c>
      <c r="Q545" s="36">
        <v>29</v>
      </c>
      <c r="R545" s="43">
        <f t="shared" si="217"/>
        <v>-29</v>
      </c>
      <c r="S545" s="43">
        <f t="shared" si="218"/>
        <v>100</v>
      </c>
      <c r="T545" s="41" t="e">
        <f t="shared" si="219"/>
        <v>#DIV/0!</v>
      </c>
      <c r="U545" s="44">
        <v>100</v>
      </c>
      <c r="V545" s="45" t="e">
        <f t="shared" si="220"/>
        <v>#DIV/0!</v>
      </c>
      <c r="W545" s="36">
        <v>0</v>
      </c>
      <c r="X545" s="86">
        <v>0</v>
      </c>
      <c r="Y545" s="199">
        <v>0</v>
      </c>
      <c r="Z545" s="44">
        <v>0</v>
      </c>
      <c r="AA545" s="41">
        <f t="shared" si="213"/>
        <v>0</v>
      </c>
      <c r="AB545" s="44">
        <v>0</v>
      </c>
      <c r="AC545" s="44">
        <f t="shared" si="221"/>
        <v>0</v>
      </c>
      <c r="AD545" s="44">
        <f t="shared" si="214"/>
        <v>0</v>
      </c>
      <c r="AE545" s="111">
        <f t="shared" si="215"/>
        <v>0</v>
      </c>
      <c r="AF545" s="51" t="s">
        <v>571</v>
      </c>
      <c r="AG545" s="115" t="s">
        <v>1086</v>
      </c>
      <c r="AH545" s="35">
        <v>0</v>
      </c>
      <c r="AI545" s="36">
        <v>0</v>
      </c>
      <c r="AJ545" s="36">
        <v>0</v>
      </c>
      <c r="AK545" s="36"/>
      <c r="AL545" s="36">
        <v>0</v>
      </c>
      <c r="AM545" s="36">
        <v>0</v>
      </c>
      <c r="AN545" s="46">
        <v>0</v>
      </c>
      <c r="AO545" s="100">
        <f t="shared" si="222"/>
        <v>0</v>
      </c>
      <c r="AP545" s="3">
        <f t="shared" si="210"/>
        <v>0</v>
      </c>
    </row>
    <row r="546" spans="1:42" x14ac:dyDescent="0.2">
      <c r="A546" s="35" t="s">
        <v>500</v>
      </c>
      <c r="B546" s="37" t="s">
        <v>554</v>
      </c>
      <c r="C546" s="37" t="s">
        <v>571</v>
      </c>
      <c r="D546" s="52"/>
      <c r="E546" s="38"/>
      <c r="F546" s="36">
        <v>0</v>
      </c>
      <c r="G546" s="36">
        <v>0</v>
      </c>
      <c r="H546" s="39">
        <v>0</v>
      </c>
      <c r="I546" s="40">
        <v>0</v>
      </c>
      <c r="J546" s="39">
        <v>0</v>
      </c>
      <c r="K546" s="40">
        <v>0</v>
      </c>
      <c r="L546" s="37" t="s">
        <v>571</v>
      </c>
      <c r="M546" s="41" t="e">
        <v>#DIV/0!</v>
      </c>
      <c r="N546" s="42">
        <v>0</v>
      </c>
      <c r="O546" s="36">
        <v>0</v>
      </c>
      <c r="P546" s="41" t="e">
        <f t="shared" si="216"/>
        <v>#DIV/0!</v>
      </c>
      <c r="Q546" s="36">
        <v>50</v>
      </c>
      <c r="R546" s="43">
        <f t="shared" si="217"/>
        <v>-50</v>
      </c>
      <c r="S546" s="43">
        <f t="shared" si="218"/>
        <v>50</v>
      </c>
      <c r="T546" s="41" t="e">
        <f t="shared" si="219"/>
        <v>#DIV/0!</v>
      </c>
      <c r="U546" s="44">
        <f>Q546</f>
        <v>50</v>
      </c>
      <c r="V546" s="45" t="e">
        <f t="shared" si="220"/>
        <v>#DIV/0!</v>
      </c>
      <c r="W546" s="36">
        <v>0</v>
      </c>
      <c r="X546" s="86">
        <v>0</v>
      </c>
      <c r="Y546" s="199">
        <v>0</v>
      </c>
      <c r="Z546" s="44">
        <v>0</v>
      </c>
      <c r="AA546" s="41">
        <f t="shared" si="213"/>
        <v>0</v>
      </c>
      <c r="AB546" s="44">
        <v>0</v>
      </c>
      <c r="AC546" s="44">
        <f t="shared" si="221"/>
        <v>0</v>
      </c>
      <c r="AD546" s="44">
        <f t="shared" si="214"/>
        <v>0</v>
      </c>
      <c r="AE546" s="111">
        <f t="shared" si="215"/>
        <v>0</v>
      </c>
      <c r="AF546" s="51" t="s">
        <v>571</v>
      </c>
      <c r="AG546" s="115"/>
      <c r="AH546" s="35">
        <v>0</v>
      </c>
      <c r="AI546" s="36">
        <v>0</v>
      </c>
      <c r="AJ546" s="36">
        <v>0</v>
      </c>
      <c r="AK546" s="36"/>
      <c r="AL546" s="36">
        <v>0</v>
      </c>
      <c r="AM546" s="36">
        <v>0</v>
      </c>
      <c r="AN546" s="46">
        <v>0</v>
      </c>
      <c r="AO546" s="100">
        <f t="shared" si="222"/>
        <v>0</v>
      </c>
      <c r="AP546" s="3">
        <f t="shared" si="210"/>
        <v>0</v>
      </c>
    </row>
    <row r="547" spans="1:42" x14ac:dyDescent="0.2">
      <c r="A547" s="35" t="s">
        <v>488</v>
      </c>
      <c r="B547" s="157" t="s">
        <v>562</v>
      </c>
      <c r="C547" s="37" t="s">
        <v>571</v>
      </c>
      <c r="D547" s="52"/>
      <c r="E547" s="38" t="s">
        <v>758</v>
      </c>
      <c r="F547" s="36" t="s">
        <v>555</v>
      </c>
      <c r="G547" s="36" t="s">
        <v>600</v>
      </c>
      <c r="H547" s="39">
        <v>0</v>
      </c>
      <c r="I547" s="40">
        <v>0</v>
      </c>
      <c r="J547" s="39">
        <v>0</v>
      </c>
      <c r="K547" s="40">
        <v>0</v>
      </c>
      <c r="L547" s="37" t="s">
        <v>571</v>
      </c>
      <c r="M547" s="41" t="e">
        <v>#DIV/0!</v>
      </c>
      <c r="N547" s="42">
        <v>0</v>
      </c>
      <c r="O547" s="36">
        <v>0</v>
      </c>
      <c r="P547" s="41" t="e">
        <f t="shared" si="216"/>
        <v>#DIV/0!</v>
      </c>
      <c r="Q547" s="36">
        <v>500</v>
      </c>
      <c r="R547" s="43">
        <f t="shared" si="217"/>
        <v>-500</v>
      </c>
      <c r="S547" s="43">
        <f t="shared" si="218"/>
        <v>100</v>
      </c>
      <c r="T547" s="41" t="e">
        <f t="shared" si="219"/>
        <v>#DIV/0!</v>
      </c>
      <c r="U547" s="44">
        <v>100</v>
      </c>
      <c r="V547" s="45" t="e">
        <f t="shared" si="220"/>
        <v>#DIV/0!</v>
      </c>
      <c r="W547" s="36">
        <v>0</v>
      </c>
      <c r="X547" s="86">
        <v>0</v>
      </c>
      <c r="Y547" s="199">
        <v>0</v>
      </c>
      <c r="Z547" s="44">
        <v>0</v>
      </c>
      <c r="AA547" s="41">
        <f t="shared" si="213"/>
        <v>0</v>
      </c>
      <c r="AB547" s="44">
        <v>0</v>
      </c>
      <c r="AC547" s="44">
        <f t="shared" si="221"/>
        <v>0</v>
      </c>
      <c r="AD547" s="44">
        <f t="shared" si="214"/>
        <v>0</v>
      </c>
      <c r="AE547" s="111">
        <f t="shared" si="215"/>
        <v>0</v>
      </c>
      <c r="AF547" s="51" t="s">
        <v>571</v>
      </c>
      <c r="AG547" s="115"/>
      <c r="AH547" s="35">
        <v>0</v>
      </c>
      <c r="AI547" s="36">
        <v>0</v>
      </c>
      <c r="AJ547" s="36">
        <v>0</v>
      </c>
      <c r="AK547" s="36"/>
      <c r="AL547" s="36">
        <v>0</v>
      </c>
      <c r="AM547" s="36">
        <v>0</v>
      </c>
      <c r="AN547" s="46">
        <v>0</v>
      </c>
      <c r="AO547" s="100">
        <f t="shared" si="222"/>
        <v>0</v>
      </c>
      <c r="AP547" s="3">
        <f t="shared" si="210"/>
        <v>0</v>
      </c>
    </row>
    <row r="548" spans="1:42" x14ac:dyDescent="0.2">
      <c r="A548" s="35" t="s">
        <v>551</v>
      </c>
      <c r="B548" s="37" t="s">
        <v>562</v>
      </c>
      <c r="C548" s="37" t="s">
        <v>571</v>
      </c>
      <c r="D548" s="52"/>
      <c r="E548" s="38" t="s">
        <v>999</v>
      </c>
      <c r="F548" s="36" t="s">
        <v>569</v>
      </c>
      <c r="G548" s="36" t="s">
        <v>569</v>
      </c>
      <c r="H548" s="39">
        <v>0</v>
      </c>
      <c r="I548" s="40">
        <v>0</v>
      </c>
      <c r="J548" s="39">
        <v>0</v>
      </c>
      <c r="K548" s="40">
        <v>0</v>
      </c>
      <c r="L548" s="51"/>
      <c r="M548" s="41" t="e">
        <v>#DIV/0!</v>
      </c>
      <c r="N548" s="41"/>
      <c r="O548" s="36">
        <v>0</v>
      </c>
      <c r="P548" s="41">
        <v>0</v>
      </c>
      <c r="Q548" s="36">
        <v>1</v>
      </c>
      <c r="R548" s="43">
        <f t="shared" si="217"/>
        <v>-1</v>
      </c>
      <c r="S548" s="43">
        <f t="shared" si="218"/>
        <v>0</v>
      </c>
      <c r="T548" s="41" t="e">
        <f t="shared" si="219"/>
        <v>#DIV/0!</v>
      </c>
      <c r="U548" s="44">
        <v>0</v>
      </c>
      <c r="V548" s="45" t="e">
        <f t="shared" si="220"/>
        <v>#DIV/0!</v>
      </c>
      <c r="W548" s="36">
        <v>0</v>
      </c>
      <c r="X548" s="86">
        <v>0</v>
      </c>
      <c r="Y548" s="199">
        <v>0</v>
      </c>
      <c r="Z548" s="44">
        <v>0</v>
      </c>
      <c r="AA548" s="41">
        <f t="shared" si="213"/>
        <v>0</v>
      </c>
      <c r="AB548" s="44">
        <v>0</v>
      </c>
      <c r="AC548" s="44">
        <f t="shared" si="221"/>
        <v>0</v>
      </c>
      <c r="AD548" s="44">
        <f t="shared" si="214"/>
        <v>0</v>
      </c>
      <c r="AE548" s="111">
        <f t="shared" si="215"/>
        <v>0</v>
      </c>
      <c r="AF548" s="51" t="s">
        <v>571</v>
      </c>
      <c r="AG548" s="115"/>
      <c r="AH548" s="35">
        <v>0</v>
      </c>
      <c r="AI548" s="36">
        <v>0</v>
      </c>
      <c r="AJ548" s="36">
        <v>0</v>
      </c>
      <c r="AK548" s="36"/>
      <c r="AL548" s="36">
        <v>0</v>
      </c>
      <c r="AM548" s="36">
        <v>0</v>
      </c>
      <c r="AN548" s="46">
        <v>0</v>
      </c>
      <c r="AO548" s="100">
        <f t="shared" si="222"/>
        <v>0</v>
      </c>
      <c r="AP548" s="3">
        <f t="shared" si="210"/>
        <v>0</v>
      </c>
    </row>
    <row r="549" spans="1:42" x14ac:dyDescent="0.2">
      <c r="A549" s="35" t="s">
        <v>521</v>
      </c>
      <c r="B549" s="37" t="s">
        <v>562</v>
      </c>
      <c r="C549" s="37" t="s">
        <v>571</v>
      </c>
      <c r="D549" s="52"/>
      <c r="E549" s="38" t="s">
        <v>758</v>
      </c>
      <c r="F549" s="36" t="s">
        <v>555</v>
      </c>
      <c r="G549" s="36" t="s">
        <v>600</v>
      </c>
      <c r="H549" s="39">
        <v>0</v>
      </c>
      <c r="I549" s="40">
        <v>0</v>
      </c>
      <c r="J549" s="39">
        <v>0</v>
      </c>
      <c r="K549" s="40">
        <v>0</v>
      </c>
      <c r="L549" s="37" t="s">
        <v>571</v>
      </c>
      <c r="M549" s="41" t="e">
        <v>#DIV/0!</v>
      </c>
      <c r="N549" s="42">
        <v>0</v>
      </c>
      <c r="O549" s="36">
        <v>0</v>
      </c>
      <c r="P549" s="41" t="e">
        <f>(N549+O549)*M549</f>
        <v>#DIV/0!</v>
      </c>
      <c r="Q549" s="36">
        <v>48</v>
      </c>
      <c r="R549" s="43">
        <f t="shared" si="217"/>
        <v>-48</v>
      </c>
      <c r="S549" s="43">
        <f t="shared" si="218"/>
        <v>48</v>
      </c>
      <c r="T549" s="41" t="e">
        <f t="shared" si="219"/>
        <v>#DIV/0!</v>
      </c>
      <c r="U549" s="44">
        <f>Q549</f>
        <v>48</v>
      </c>
      <c r="V549" s="45" t="e">
        <f t="shared" si="220"/>
        <v>#DIV/0!</v>
      </c>
      <c r="W549" s="36">
        <v>0</v>
      </c>
      <c r="X549" s="86">
        <v>0</v>
      </c>
      <c r="Y549" s="199">
        <v>0</v>
      </c>
      <c r="Z549" s="44">
        <v>0</v>
      </c>
      <c r="AA549" s="41">
        <f t="shared" si="213"/>
        <v>0</v>
      </c>
      <c r="AB549" s="44">
        <v>0</v>
      </c>
      <c r="AC549" s="44">
        <f t="shared" si="221"/>
        <v>0</v>
      </c>
      <c r="AD549" s="44">
        <f t="shared" si="214"/>
        <v>0</v>
      </c>
      <c r="AE549" s="111">
        <f t="shared" si="215"/>
        <v>0</v>
      </c>
      <c r="AF549" s="51" t="s">
        <v>571</v>
      </c>
      <c r="AG549" s="115"/>
      <c r="AH549" s="35">
        <v>0</v>
      </c>
      <c r="AI549" s="36">
        <v>0</v>
      </c>
      <c r="AJ549" s="36">
        <v>0</v>
      </c>
      <c r="AK549" s="36"/>
      <c r="AL549" s="36">
        <v>0</v>
      </c>
      <c r="AM549" s="36">
        <v>0</v>
      </c>
      <c r="AN549" s="46">
        <v>0</v>
      </c>
      <c r="AO549" s="100">
        <f t="shared" si="222"/>
        <v>0</v>
      </c>
      <c r="AP549" s="3">
        <f t="shared" si="210"/>
        <v>0</v>
      </c>
    </row>
    <row r="550" spans="1:42" x14ac:dyDescent="0.2">
      <c r="A550" s="35" t="s">
        <v>505</v>
      </c>
      <c r="B550" s="156" t="s">
        <v>565</v>
      </c>
      <c r="C550" s="37" t="s">
        <v>571</v>
      </c>
      <c r="D550" s="52"/>
      <c r="E550" s="38" t="s">
        <v>682</v>
      </c>
      <c r="F550" s="36" t="s">
        <v>564</v>
      </c>
      <c r="G550" s="36" t="s">
        <v>682</v>
      </c>
      <c r="H550" s="39">
        <v>132</v>
      </c>
      <c r="I550" s="40">
        <v>82368</v>
      </c>
      <c r="J550" s="39">
        <v>0</v>
      </c>
      <c r="K550" s="40">
        <v>0</v>
      </c>
      <c r="L550" s="37" t="s">
        <v>571</v>
      </c>
      <c r="M550" s="47" t="e">
        <v>#DIV/0!</v>
      </c>
      <c r="N550" s="48">
        <v>0</v>
      </c>
      <c r="O550" s="36">
        <v>0</v>
      </c>
      <c r="P550" s="47" t="e">
        <f>(N550+O550)*M550</f>
        <v>#DIV/0!</v>
      </c>
      <c r="Q550" s="36">
        <v>84</v>
      </c>
      <c r="R550" s="43">
        <f t="shared" si="217"/>
        <v>-84</v>
      </c>
      <c r="S550" s="43">
        <f t="shared" si="218"/>
        <v>84</v>
      </c>
      <c r="T550" s="47" t="e">
        <f t="shared" si="219"/>
        <v>#DIV/0!</v>
      </c>
      <c r="U550" s="44">
        <f>Q550</f>
        <v>84</v>
      </c>
      <c r="V550" s="45" t="e">
        <f t="shared" si="220"/>
        <v>#DIV/0!</v>
      </c>
      <c r="W550" s="36">
        <v>0</v>
      </c>
      <c r="X550" s="86">
        <v>0</v>
      </c>
      <c r="Y550" s="199">
        <v>0</v>
      </c>
      <c r="Z550" s="44">
        <v>0</v>
      </c>
      <c r="AA550" s="41">
        <f t="shared" si="213"/>
        <v>0</v>
      </c>
      <c r="AB550" s="44">
        <v>0</v>
      </c>
      <c r="AC550" s="44">
        <f t="shared" si="221"/>
        <v>0</v>
      </c>
      <c r="AD550" s="44">
        <f t="shared" si="214"/>
        <v>0</v>
      </c>
      <c r="AE550" s="111">
        <f t="shared" si="215"/>
        <v>0</v>
      </c>
      <c r="AF550" s="51" t="s">
        <v>571</v>
      </c>
      <c r="AG550" s="115"/>
      <c r="AH550" s="35">
        <v>0</v>
      </c>
      <c r="AI550" s="36">
        <v>0</v>
      </c>
      <c r="AJ550" s="36">
        <v>0</v>
      </c>
      <c r="AK550" s="36"/>
      <c r="AL550" s="36">
        <v>0</v>
      </c>
      <c r="AM550" s="36">
        <v>0</v>
      </c>
      <c r="AN550" s="46">
        <v>0</v>
      </c>
      <c r="AO550" s="100">
        <f t="shared" si="222"/>
        <v>0</v>
      </c>
      <c r="AP550" s="3">
        <f t="shared" si="210"/>
        <v>0</v>
      </c>
    </row>
    <row r="551" spans="1:42" x14ac:dyDescent="0.2">
      <c r="A551" s="35" t="s">
        <v>532</v>
      </c>
      <c r="B551" s="37" t="s">
        <v>554</v>
      </c>
      <c r="C551" s="37" t="s">
        <v>571</v>
      </c>
      <c r="D551" s="52"/>
      <c r="E551" s="38" t="s">
        <v>682</v>
      </c>
      <c r="F551" s="36" t="s">
        <v>564</v>
      </c>
      <c r="G551" s="36" t="s">
        <v>685</v>
      </c>
      <c r="H551" s="39">
        <v>0</v>
      </c>
      <c r="I551" s="40">
        <v>0</v>
      </c>
      <c r="J551" s="39">
        <v>0</v>
      </c>
      <c r="K551" s="40">
        <v>0</v>
      </c>
      <c r="L551" s="51"/>
      <c r="M551" s="41" t="e">
        <v>#DIV/0!</v>
      </c>
      <c r="N551" s="41"/>
      <c r="O551" s="36">
        <v>0</v>
      </c>
      <c r="P551" s="41">
        <v>0</v>
      </c>
      <c r="Q551" s="36">
        <v>50</v>
      </c>
      <c r="R551" s="43">
        <f t="shared" si="217"/>
        <v>-50</v>
      </c>
      <c r="S551" s="43">
        <f t="shared" si="218"/>
        <v>0</v>
      </c>
      <c r="T551" s="41" t="e">
        <f t="shared" si="219"/>
        <v>#DIV/0!</v>
      </c>
      <c r="U551" s="44">
        <v>0</v>
      </c>
      <c r="V551" s="45" t="e">
        <f t="shared" si="220"/>
        <v>#DIV/0!</v>
      </c>
      <c r="W551" s="36">
        <v>0</v>
      </c>
      <c r="X551" s="86">
        <v>0</v>
      </c>
      <c r="Y551" s="199">
        <v>0</v>
      </c>
      <c r="Z551" s="44">
        <v>0</v>
      </c>
      <c r="AA551" s="41">
        <f t="shared" si="213"/>
        <v>0</v>
      </c>
      <c r="AB551" s="44">
        <v>0</v>
      </c>
      <c r="AC551" s="44">
        <f t="shared" si="221"/>
        <v>0</v>
      </c>
      <c r="AD551" s="44">
        <f t="shared" si="214"/>
        <v>0</v>
      </c>
      <c r="AE551" s="111">
        <f t="shared" si="215"/>
        <v>0</v>
      </c>
      <c r="AF551" s="51" t="s">
        <v>571</v>
      </c>
      <c r="AG551" s="115"/>
      <c r="AH551" s="35">
        <v>0</v>
      </c>
      <c r="AI551" s="36">
        <v>0</v>
      </c>
      <c r="AJ551" s="36">
        <v>0</v>
      </c>
      <c r="AK551" s="36"/>
      <c r="AL551" s="36">
        <v>0</v>
      </c>
      <c r="AM551" s="36">
        <v>0</v>
      </c>
      <c r="AN551" s="46">
        <v>0</v>
      </c>
      <c r="AO551" s="100">
        <f t="shared" si="222"/>
        <v>0</v>
      </c>
      <c r="AP551" s="3">
        <f t="shared" si="210"/>
        <v>0</v>
      </c>
    </row>
    <row r="552" spans="1:42" x14ac:dyDescent="0.2">
      <c r="A552" s="35" t="s">
        <v>541</v>
      </c>
      <c r="B552" s="37" t="s">
        <v>554</v>
      </c>
      <c r="C552" s="37" t="s">
        <v>571</v>
      </c>
      <c r="D552" s="52"/>
      <c r="E552" s="38" t="s">
        <v>682</v>
      </c>
      <c r="F552" s="36" t="s">
        <v>564</v>
      </c>
      <c r="G552" s="36" t="s">
        <v>685</v>
      </c>
      <c r="H552" s="39">
        <v>0</v>
      </c>
      <c r="I552" s="40">
        <v>0</v>
      </c>
      <c r="J552" s="39">
        <v>0</v>
      </c>
      <c r="K552" s="40">
        <v>0</v>
      </c>
      <c r="L552" s="51"/>
      <c r="M552" s="41" t="e">
        <v>#DIV/0!</v>
      </c>
      <c r="N552" s="41"/>
      <c r="O552" s="36">
        <v>0</v>
      </c>
      <c r="P552" s="41">
        <v>0</v>
      </c>
      <c r="Q552" s="36">
        <v>25</v>
      </c>
      <c r="R552" s="43">
        <f t="shared" si="217"/>
        <v>-25</v>
      </c>
      <c r="S552" s="43">
        <f t="shared" si="218"/>
        <v>0</v>
      </c>
      <c r="T552" s="41" t="e">
        <f t="shared" si="219"/>
        <v>#DIV/0!</v>
      </c>
      <c r="U552" s="44">
        <v>0</v>
      </c>
      <c r="V552" s="45" t="e">
        <f t="shared" si="220"/>
        <v>#DIV/0!</v>
      </c>
      <c r="W552" s="36">
        <v>0</v>
      </c>
      <c r="X552" s="86">
        <v>0</v>
      </c>
      <c r="Y552" s="199">
        <v>0</v>
      </c>
      <c r="Z552" s="44">
        <v>0</v>
      </c>
      <c r="AA552" s="41">
        <f t="shared" si="213"/>
        <v>0</v>
      </c>
      <c r="AB552" s="44">
        <v>0</v>
      </c>
      <c r="AC552" s="44">
        <f t="shared" si="221"/>
        <v>0</v>
      </c>
      <c r="AD552" s="44">
        <f t="shared" si="214"/>
        <v>0</v>
      </c>
      <c r="AE552" s="111">
        <f t="shared" si="215"/>
        <v>0</v>
      </c>
      <c r="AF552" s="51" t="s">
        <v>571</v>
      </c>
      <c r="AG552" s="115"/>
      <c r="AH552" s="35">
        <v>0</v>
      </c>
      <c r="AI552" s="36">
        <v>0</v>
      </c>
      <c r="AJ552" s="36">
        <v>0</v>
      </c>
      <c r="AK552" s="36"/>
      <c r="AL552" s="36">
        <v>0</v>
      </c>
      <c r="AM552" s="36">
        <v>0</v>
      </c>
      <c r="AN552" s="46">
        <v>0</v>
      </c>
      <c r="AO552" s="100">
        <f t="shared" si="222"/>
        <v>0</v>
      </c>
      <c r="AP552" s="3">
        <f t="shared" si="210"/>
        <v>0</v>
      </c>
    </row>
    <row r="553" spans="1:42" x14ac:dyDescent="0.2">
      <c r="A553" s="35" t="s">
        <v>524</v>
      </c>
      <c r="B553" s="37" t="s">
        <v>562</v>
      </c>
      <c r="C553" s="37" t="s">
        <v>571</v>
      </c>
      <c r="D553" s="52"/>
      <c r="E553" s="38" t="s">
        <v>682</v>
      </c>
      <c r="F553" s="36" t="s">
        <v>564</v>
      </c>
      <c r="G553" s="36" t="s">
        <v>682</v>
      </c>
      <c r="H553" s="39">
        <v>9</v>
      </c>
      <c r="I553" s="40">
        <v>17235</v>
      </c>
      <c r="J553" s="39">
        <v>0</v>
      </c>
      <c r="K553" s="40">
        <v>0</v>
      </c>
      <c r="L553" s="37" t="s">
        <v>571</v>
      </c>
      <c r="M553" s="47" t="e">
        <v>#DIV/0!</v>
      </c>
      <c r="N553" s="48">
        <v>0</v>
      </c>
      <c r="O553" s="36">
        <v>0</v>
      </c>
      <c r="P553" s="47" t="e">
        <f>(N553+O553)*M553</f>
        <v>#DIV/0!</v>
      </c>
      <c r="Q553" s="36">
        <v>15</v>
      </c>
      <c r="R553" s="43">
        <f t="shared" si="217"/>
        <v>-15</v>
      </c>
      <c r="S553" s="43">
        <f t="shared" si="218"/>
        <v>10</v>
      </c>
      <c r="T553" s="47" t="e">
        <f t="shared" si="219"/>
        <v>#DIV/0!</v>
      </c>
      <c r="U553" s="44">
        <v>10</v>
      </c>
      <c r="V553" s="45" t="e">
        <f t="shared" si="220"/>
        <v>#DIV/0!</v>
      </c>
      <c r="W553" s="36">
        <v>0</v>
      </c>
      <c r="X553" s="86">
        <v>0</v>
      </c>
      <c r="Y553" s="199">
        <v>0</v>
      </c>
      <c r="Z553" s="44">
        <v>0</v>
      </c>
      <c r="AA553" s="41">
        <f t="shared" si="213"/>
        <v>0</v>
      </c>
      <c r="AB553" s="44">
        <v>0</v>
      </c>
      <c r="AC553" s="44">
        <f t="shared" si="221"/>
        <v>0</v>
      </c>
      <c r="AD553" s="44">
        <f t="shared" si="214"/>
        <v>0</v>
      </c>
      <c r="AE553" s="111">
        <f t="shared" si="215"/>
        <v>0</v>
      </c>
      <c r="AF553" s="51" t="s">
        <v>571</v>
      </c>
      <c r="AG553" s="115"/>
      <c r="AH553" s="35">
        <v>0</v>
      </c>
      <c r="AI553" s="36">
        <v>0</v>
      </c>
      <c r="AJ553" s="36">
        <v>0</v>
      </c>
      <c r="AK553" s="36"/>
      <c r="AL553" s="36">
        <v>0</v>
      </c>
      <c r="AM553" s="36">
        <v>0</v>
      </c>
      <c r="AN553" s="46">
        <v>0</v>
      </c>
      <c r="AO553" s="100">
        <f t="shared" si="222"/>
        <v>0</v>
      </c>
      <c r="AP553" s="3">
        <f t="shared" si="210"/>
        <v>0</v>
      </c>
    </row>
    <row r="554" spans="1:42" x14ac:dyDescent="0.2">
      <c r="A554" s="35" t="s">
        <v>530</v>
      </c>
      <c r="B554" s="37" t="s">
        <v>554</v>
      </c>
      <c r="C554" s="37" t="s">
        <v>571</v>
      </c>
      <c r="D554" s="52"/>
      <c r="E554" s="38" t="s">
        <v>682</v>
      </c>
      <c r="F554" s="36" t="s">
        <v>564</v>
      </c>
      <c r="G554" s="36" t="s">
        <v>685</v>
      </c>
      <c r="H554" s="39">
        <v>0</v>
      </c>
      <c r="I554" s="40">
        <v>0</v>
      </c>
      <c r="J554" s="39">
        <v>0</v>
      </c>
      <c r="K554" s="40">
        <v>0</v>
      </c>
      <c r="L554" s="51"/>
      <c r="M554" s="41" t="e">
        <v>#DIV/0!</v>
      </c>
      <c r="N554" s="41"/>
      <c r="O554" s="36">
        <v>0</v>
      </c>
      <c r="P554" s="41">
        <v>0</v>
      </c>
      <c r="Q554" s="36">
        <v>25</v>
      </c>
      <c r="R554" s="43">
        <f t="shared" si="217"/>
        <v>-25</v>
      </c>
      <c r="S554" s="43">
        <f t="shared" si="218"/>
        <v>0</v>
      </c>
      <c r="T554" s="41" t="e">
        <f t="shared" si="219"/>
        <v>#DIV/0!</v>
      </c>
      <c r="U554" s="44">
        <v>0</v>
      </c>
      <c r="V554" s="45" t="e">
        <f t="shared" si="220"/>
        <v>#DIV/0!</v>
      </c>
      <c r="W554" s="36">
        <v>0</v>
      </c>
      <c r="X554" s="86">
        <v>0</v>
      </c>
      <c r="Y554" s="199">
        <v>0</v>
      </c>
      <c r="Z554" s="44">
        <v>0</v>
      </c>
      <c r="AA554" s="41">
        <f t="shared" si="213"/>
        <v>0</v>
      </c>
      <c r="AB554" s="44">
        <v>0</v>
      </c>
      <c r="AC554" s="44">
        <f t="shared" si="221"/>
        <v>0</v>
      </c>
      <c r="AD554" s="44">
        <f t="shared" si="214"/>
        <v>0</v>
      </c>
      <c r="AE554" s="111">
        <f t="shared" si="215"/>
        <v>0</v>
      </c>
      <c r="AF554" s="51" t="s">
        <v>571</v>
      </c>
      <c r="AG554" s="115"/>
      <c r="AH554" s="35">
        <v>0</v>
      </c>
      <c r="AI554" s="36">
        <v>0</v>
      </c>
      <c r="AJ554" s="36">
        <v>0</v>
      </c>
      <c r="AK554" s="36"/>
      <c r="AL554" s="36">
        <v>0</v>
      </c>
      <c r="AM554" s="36">
        <v>0</v>
      </c>
      <c r="AN554" s="46">
        <v>0</v>
      </c>
      <c r="AO554" s="100">
        <f t="shared" si="222"/>
        <v>0</v>
      </c>
      <c r="AP554" s="3">
        <f t="shared" si="210"/>
        <v>0</v>
      </c>
    </row>
    <row r="555" spans="1:42" x14ac:dyDescent="0.2">
      <c r="A555" s="35" t="s">
        <v>495</v>
      </c>
      <c r="B555" s="37" t="s">
        <v>556</v>
      </c>
      <c r="C555" s="37" t="s">
        <v>578</v>
      </c>
      <c r="D555" s="52">
        <v>46387</v>
      </c>
      <c r="E555" s="38" t="s">
        <v>754</v>
      </c>
      <c r="F555" s="36" t="s">
        <v>557</v>
      </c>
      <c r="G555" s="36" t="s">
        <v>610</v>
      </c>
      <c r="H555" s="39">
        <v>1686</v>
      </c>
      <c r="I555" s="40">
        <v>103940.73999999999</v>
      </c>
      <c r="J555" s="39">
        <v>0</v>
      </c>
      <c r="K555" s="40">
        <v>0</v>
      </c>
      <c r="L555" s="37" t="s">
        <v>571</v>
      </c>
      <c r="M555" s="41" t="e">
        <v>#DIV/0!</v>
      </c>
      <c r="N555" s="42">
        <v>0</v>
      </c>
      <c r="O555" s="36">
        <v>0</v>
      </c>
      <c r="P555" s="41" t="e">
        <f>(N555+O555)*M555</f>
        <v>#DIV/0!</v>
      </c>
      <c r="Q555" s="36">
        <v>650</v>
      </c>
      <c r="R555" s="43">
        <f t="shared" si="217"/>
        <v>-650</v>
      </c>
      <c r="S555" s="43">
        <f t="shared" si="218"/>
        <v>650</v>
      </c>
      <c r="T555" s="41" t="e">
        <f t="shared" si="219"/>
        <v>#DIV/0!</v>
      </c>
      <c r="U555" s="44">
        <f>Q555</f>
        <v>650</v>
      </c>
      <c r="V555" s="45" t="e">
        <f t="shared" si="220"/>
        <v>#DIV/0!</v>
      </c>
      <c r="W555" s="36">
        <v>0</v>
      </c>
      <c r="X555" s="86">
        <v>0</v>
      </c>
      <c r="Y555" s="199">
        <v>0</v>
      </c>
      <c r="Z555" s="44">
        <v>0</v>
      </c>
      <c r="AA555" s="41">
        <f t="shared" si="213"/>
        <v>0</v>
      </c>
      <c r="AB555" s="44">
        <v>0</v>
      </c>
      <c r="AC555" s="44">
        <f t="shared" si="221"/>
        <v>0</v>
      </c>
      <c r="AD555" s="44">
        <f t="shared" si="214"/>
        <v>0</v>
      </c>
      <c r="AE555" s="111">
        <f t="shared" si="215"/>
        <v>0</v>
      </c>
      <c r="AF555" s="51" t="s">
        <v>571</v>
      </c>
      <c r="AG555" s="115" t="s">
        <v>1089</v>
      </c>
      <c r="AH555" s="35">
        <v>0</v>
      </c>
      <c r="AI555" s="36">
        <v>0</v>
      </c>
      <c r="AJ555" s="36">
        <v>0</v>
      </c>
      <c r="AK555" s="36"/>
      <c r="AL555" s="36">
        <v>0</v>
      </c>
      <c r="AM555" s="36">
        <v>0</v>
      </c>
      <c r="AN555" s="46">
        <v>0</v>
      </c>
      <c r="AO555" s="100">
        <f t="shared" si="222"/>
        <v>0</v>
      </c>
      <c r="AP555" s="3">
        <f t="shared" si="210"/>
        <v>0</v>
      </c>
    </row>
    <row r="556" spans="1:42" x14ac:dyDescent="0.2">
      <c r="A556" s="35" t="s">
        <v>512</v>
      </c>
      <c r="B556" s="37" t="s">
        <v>565</v>
      </c>
      <c r="C556" s="37" t="s">
        <v>571</v>
      </c>
      <c r="D556" s="52"/>
      <c r="E556" s="38" t="s">
        <v>682</v>
      </c>
      <c r="F556" s="36" t="s">
        <v>564</v>
      </c>
      <c r="G556" s="36" t="s">
        <v>682</v>
      </c>
      <c r="H556" s="39">
        <v>264</v>
      </c>
      <c r="I556" s="40">
        <v>77616</v>
      </c>
      <c r="J556" s="39">
        <v>0</v>
      </c>
      <c r="K556" s="40">
        <v>0</v>
      </c>
      <c r="L556" s="37" t="s">
        <v>571</v>
      </c>
      <c r="M556" s="47" t="e">
        <v>#DIV/0!</v>
      </c>
      <c r="N556" s="48">
        <v>0</v>
      </c>
      <c r="O556" s="36">
        <v>0</v>
      </c>
      <c r="P556" s="47" t="e">
        <f>(N556+O556)*M556</f>
        <v>#DIV/0!</v>
      </c>
      <c r="Q556" s="36">
        <v>170</v>
      </c>
      <c r="R556" s="43">
        <f t="shared" si="217"/>
        <v>-170</v>
      </c>
      <c r="S556" s="43">
        <f t="shared" si="218"/>
        <v>170</v>
      </c>
      <c r="T556" s="47" t="e">
        <f t="shared" si="219"/>
        <v>#DIV/0!</v>
      </c>
      <c r="U556" s="44">
        <f>Q556</f>
        <v>170</v>
      </c>
      <c r="V556" s="45" t="e">
        <f t="shared" si="220"/>
        <v>#DIV/0!</v>
      </c>
      <c r="W556" s="36">
        <v>0</v>
      </c>
      <c r="X556" s="86">
        <v>0</v>
      </c>
      <c r="Y556" s="199">
        <v>0</v>
      </c>
      <c r="Z556" s="44">
        <v>0</v>
      </c>
      <c r="AA556" s="41">
        <f t="shared" si="213"/>
        <v>0</v>
      </c>
      <c r="AB556" s="44">
        <v>0</v>
      </c>
      <c r="AC556" s="44">
        <f t="shared" si="221"/>
        <v>0</v>
      </c>
      <c r="AD556" s="44">
        <f t="shared" si="214"/>
        <v>0</v>
      </c>
      <c r="AE556" s="111">
        <f t="shared" si="215"/>
        <v>0</v>
      </c>
      <c r="AF556" s="51" t="s">
        <v>571</v>
      </c>
      <c r="AG556" s="115"/>
      <c r="AH556" s="35">
        <v>0</v>
      </c>
      <c r="AI556" s="36">
        <v>0</v>
      </c>
      <c r="AJ556" s="36">
        <v>0</v>
      </c>
      <c r="AK556" s="36"/>
      <c r="AL556" s="36">
        <v>0</v>
      </c>
      <c r="AM556" s="36">
        <v>0</v>
      </c>
      <c r="AN556" s="46">
        <v>0</v>
      </c>
      <c r="AO556" s="100">
        <f t="shared" si="222"/>
        <v>0</v>
      </c>
      <c r="AP556" s="3">
        <f t="shared" si="210"/>
        <v>0</v>
      </c>
    </row>
    <row r="557" spans="1:42" x14ac:dyDescent="0.2">
      <c r="A557" s="35" t="s">
        <v>534</v>
      </c>
      <c r="B557" s="37" t="s">
        <v>554</v>
      </c>
      <c r="C557" s="37" t="s">
        <v>571</v>
      </c>
      <c r="D557" s="52"/>
      <c r="E557" s="38" t="s">
        <v>682</v>
      </c>
      <c r="F557" s="36" t="s">
        <v>564</v>
      </c>
      <c r="G557" s="36" t="s">
        <v>685</v>
      </c>
      <c r="H557" s="39">
        <v>0</v>
      </c>
      <c r="I557" s="40">
        <v>0</v>
      </c>
      <c r="J557" s="39">
        <v>0</v>
      </c>
      <c r="K557" s="40">
        <v>0</v>
      </c>
      <c r="L557" s="51"/>
      <c r="M557" s="41" t="e">
        <v>#DIV/0!</v>
      </c>
      <c r="N557" s="41"/>
      <c r="O557" s="36">
        <v>0</v>
      </c>
      <c r="P557" s="41">
        <v>0</v>
      </c>
      <c r="Q557" s="36">
        <v>60</v>
      </c>
      <c r="R557" s="43">
        <f t="shared" si="217"/>
        <v>-60</v>
      </c>
      <c r="S557" s="43">
        <f t="shared" si="218"/>
        <v>0</v>
      </c>
      <c r="T557" s="41" t="e">
        <f t="shared" si="219"/>
        <v>#DIV/0!</v>
      </c>
      <c r="U557" s="44">
        <v>0</v>
      </c>
      <c r="V557" s="45" t="e">
        <f t="shared" si="220"/>
        <v>#DIV/0!</v>
      </c>
      <c r="W557" s="36">
        <v>0</v>
      </c>
      <c r="X557" s="86">
        <v>0</v>
      </c>
      <c r="Y557" s="199">
        <v>0</v>
      </c>
      <c r="Z557" s="44">
        <v>0</v>
      </c>
      <c r="AA557" s="41">
        <f t="shared" si="213"/>
        <v>0</v>
      </c>
      <c r="AB557" s="44">
        <v>0</v>
      </c>
      <c r="AC557" s="44">
        <f t="shared" si="221"/>
        <v>0</v>
      </c>
      <c r="AD557" s="44">
        <f t="shared" si="214"/>
        <v>0</v>
      </c>
      <c r="AE557" s="111">
        <f t="shared" si="215"/>
        <v>0</v>
      </c>
      <c r="AF557" s="51" t="s">
        <v>571</v>
      </c>
      <c r="AG557" s="115"/>
      <c r="AH557" s="35">
        <v>0</v>
      </c>
      <c r="AI557" s="36">
        <v>0</v>
      </c>
      <c r="AJ557" s="36">
        <v>0</v>
      </c>
      <c r="AK557" s="36"/>
      <c r="AL557" s="36">
        <v>0</v>
      </c>
      <c r="AM557" s="36">
        <v>0</v>
      </c>
      <c r="AN557" s="46">
        <v>0</v>
      </c>
      <c r="AO557" s="100">
        <f t="shared" si="222"/>
        <v>0</v>
      </c>
      <c r="AP557" s="3">
        <f t="shared" si="210"/>
        <v>0</v>
      </c>
    </row>
    <row r="558" spans="1:42" x14ac:dyDescent="0.2">
      <c r="A558" s="35" t="s">
        <v>545</v>
      </c>
      <c r="B558" s="37" t="s">
        <v>554</v>
      </c>
      <c r="C558" s="37" t="s">
        <v>571</v>
      </c>
      <c r="D558" s="52"/>
      <c r="E558" s="38" t="s">
        <v>682</v>
      </c>
      <c r="F558" s="36" t="s">
        <v>564</v>
      </c>
      <c r="G558" s="36" t="s">
        <v>685</v>
      </c>
      <c r="H558" s="39">
        <v>0</v>
      </c>
      <c r="I558" s="40">
        <v>0</v>
      </c>
      <c r="J558" s="39">
        <v>0</v>
      </c>
      <c r="K558" s="40">
        <v>0</v>
      </c>
      <c r="L558" s="51"/>
      <c r="M558" s="41" t="e">
        <v>#DIV/0!</v>
      </c>
      <c r="N558" s="41"/>
      <c r="O558" s="36">
        <v>0</v>
      </c>
      <c r="P558" s="41">
        <v>0</v>
      </c>
      <c r="Q558" s="36">
        <v>25</v>
      </c>
      <c r="R558" s="43">
        <f t="shared" si="217"/>
        <v>-25</v>
      </c>
      <c r="S558" s="43">
        <f t="shared" si="218"/>
        <v>0</v>
      </c>
      <c r="T558" s="41" t="e">
        <f t="shared" si="219"/>
        <v>#DIV/0!</v>
      </c>
      <c r="U558" s="44">
        <v>0</v>
      </c>
      <c r="V558" s="45" t="e">
        <f t="shared" si="220"/>
        <v>#DIV/0!</v>
      </c>
      <c r="W558" s="36">
        <v>0</v>
      </c>
      <c r="X558" s="86">
        <v>0</v>
      </c>
      <c r="Y558" s="199">
        <v>0</v>
      </c>
      <c r="Z558" s="44">
        <v>0</v>
      </c>
      <c r="AA558" s="41">
        <f t="shared" si="213"/>
        <v>0</v>
      </c>
      <c r="AB558" s="44">
        <v>0</v>
      </c>
      <c r="AC558" s="44">
        <f t="shared" si="221"/>
        <v>0</v>
      </c>
      <c r="AD558" s="44">
        <f t="shared" si="214"/>
        <v>0</v>
      </c>
      <c r="AE558" s="111">
        <f t="shared" si="215"/>
        <v>0</v>
      </c>
      <c r="AF558" s="51" t="s">
        <v>571</v>
      </c>
      <c r="AG558" s="115"/>
      <c r="AH558" s="35">
        <v>0</v>
      </c>
      <c r="AI558" s="36">
        <v>0</v>
      </c>
      <c r="AJ558" s="36">
        <v>0</v>
      </c>
      <c r="AK558" s="36"/>
      <c r="AL558" s="36">
        <v>0</v>
      </c>
      <c r="AM558" s="36">
        <v>0</v>
      </c>
      <c r="AN558" s="46">
        <v>0</v>
      </c>
      <c r="AO558" s="100">
        <f t="shared" si="222"/>
        <v>0</v>
      </c>
      <c r="AP558" s="3">
        <f t="shared" si="210"/>
        <v>0</v>
      </c>
    </row>
    <row r="559" spans="1:42" x14ac:dyDescent="0.2">
      <c r="A559" s="35" t="s">
        <v>513</v>
      </c>
      <c r="B559" s="37" t="s">
        <v>554</v>
      </c>
      <c r="C559" s="37" t="s">
        <v>571</v>
      </c>
      <c r="D559" s="52"/>
      <c r="E559" s="38" t="s">
        <v>682</v>
      </c>
      <c r="F559" s="36" t="s">
        <v>564</v>
      </c>
      <c r="G559" s="36" t="s">
        <v>685</v>
      </c>
      <c r="H559" s="39">
        <v>0</v>
      </c>
      <c r="I559" s="40">
        <v>0</v>
      </c>
      <c r="J559" s="39">
        <v>0</v>
      </c>
      <c r="K559" s="40">
        <v>0</v>
      </c>
      <c r="L559" s="51"/>
      <c r="M559" s="41" t="e">
        <v>#DIV/0!</v>
      </c>
      <c r="N559" s="41"/>
      <c r="O559" s="36">
        <v>0</v>
      </c>
      <c r="P559" s="41">
        <v>0</v>
      </c>
      <c r="Q559" s="36">
        <v>130</v>
      </c>
      <c r="R559" s="43">
        <f t="shared" si="217"/>
        <v>-130</v>
      </c>
      <c r="S559" s="43">
        <f t="shared" si="218"/>
        <v>0</v>
      </c>
      <c r="T559" s="41" t="e">
        <f t="shared" si="219"/>
        <v>#DIV/0!</v>
      </c>
      <c r="U559" s="44">
        <v>0</v>
      </c>
      <c r="V559" s="45" t="e">
        <f t="shared" si="220"/>
        <v>#DIV/0!</v>
      </c>
      <c r="W559" s="36">
        <v>0</v>
      </c>
      <c r="X559" s="86">
        <v>0</v>
      </c>
      <c r="Y559" s="199">
        <v>0</v>
      </c>
      <c r="Z559" s="44">
        <v>0</v>
      </c>
      <c r="AA559" s="41">
        <f t="shared" si="213"/>
        <v>0</v>
      </c>
      <c r="AB559" s="44">
        <v>0</v>
      </c>
      <c r="AC559" s="44">
        <f t="shared" si="221"/>
        <v>0</v>
      </c>
      <c r="AD559" s="44">
        <f t="shared" si="214"/>
        <v>0</v>
      </c>
      <c r="AE559" s="111">
        <f t="shared" si="215"/>
        <v>0</v>
      </c>
      <c r="AF559" s="51" t="s">
        <v>571</v>
      </c>
      <c r="AG559" s="115"/>
      <c r="AH559" s="35">
        <v>0</v>
      </c>
      <c r="AI559" s="36">
        <v>0</v>
      </c>
      <c r="AJ559" s="36">
        <v>0</v>
      </c>
      <c r="AK559" s="36"/>
      <c r="AL559" s="36">
        <v>0</v>
      </c>
      <c r="AM559" s="36">
        <v>0</v>
      </c>
      <c r="AN559" s="46">
        <v>0</v>
      </c>
      <c r="AO559" s="100">
        <f t="shared" si="222"/>
        <v>0</v>
      </c>
      <c r="AP559" s="3">
        <f t="shared" si="210"/>
        <v>0</v>
      </c>
    </row>
    <row r="560" spans="1:42" x14ac:dyDescent="0.2">
      <c r="A560" s="35" t="s">
        <v>502</v>
      </c>
      <c r="B560" s="37" t="s">
        <v>556</v>
      </c>
      <c r="C560" s="37" t="s">
        <v>578</v>
      </c>
      <c r="D560" s="52">
        <v>46022</v>
      </c>
      <c r="E560" s="38" t="s">
        <v>764</v>
      </c>
      <c r="F560" s="36" t="s">
        <v>559</v>
      </c>
      <c r="G560" s="36" t="s">
        <v>607</v>
      </c>
      <c r="H560" s="39">
        <v>775</v>
      </c>
      <c r="I560" s="40">
        <v>82700.25</v>
      </c>
      <c r="J560" s="39">
        <v>0</v>
      </c>
      <c r="K560" s="40">
        <v>0</v>
      </c>
      <c r="L560" s="37" t="s">
        <v>578</v>
      </c>
      <c r="M560" s="41" t="e">
        <v>#DIV/0!</v>
      </c>
      <c r="N560" s="42">
        <v>0</v>
      </c>
      <c r="O560" s="36">
        <v>0</v>
      </c>
      <c r="P560" s="41" t="e">
        <f>(N560+O560)*M560</f>
        <v>#DIV/0!</v>
      </c>
      <c r="Q560" s="36">
        <v>400</v>
      </c>
      <c r="R560" s="43">
        <f t="shared" si="217"/>
        <v>-400</v>
      </c>
      <c r="S560" s="43">
        <f t="shared" si="218"/>
        <v>400</v>
      </c>
      <c r="T560" s="41" t="e">
        <f t="shared" si="219"/>
        <v>#DIV/0!</v>
      </c>
      <c r="U560" s="44">
        <f>Q560</f>
        <v>400</v>
      </c>
      <c r="V560" s="45" t="e">
        <f t="shared" si="220"/>
        <v>#DIV/0!</v>
      </c>
      <c r="W560" s="36">
        <v>0</v>
      </c>
      <c r="X560" s="86">
        <v>0</v>
      </c>
      <c r="Y560" s="199">
        <v>0</v>
      </c>
      <c r="Z560" s="44">
        <v>0</v>
      </c>
      <c r="AA560" s="41">
        <f t="shared" si="213"/>
        <v>0</v>
      </c>
      <c r="AB560" s="44">
        <v>0</v>
      </c>
      <c r="AC560" s="44">
        <f t="shared" si="221"/>
        <v>0</v>
      </c>
      <c r="AD560" s="44">
        <f t="shared" si="214"/>
        <v>0</v>
      </c>
      <c r="AE560" s="111">
        <f t="shared" si="215"/>
        <v>0</v>
      </c>
      <c r="AF560" s="51" t="s">
        <v>571</v>
      </c>
      <c r="AG560" s="115"/>
      <c r="AH560" s="35">
        <v>0</v>
      </c>
      <c r="AI560" s="36">
        <v>0</v>
      </c>
      <c r="AJ560" s="36">
        <v>0</v>
      </c>
      <c r="AK560" s="36"/>
      <c r="AL560" s="36">
        <v>0</v>
      </c>
      <c r="AM560" s="36">
        <v>0</v>
      </c>
      <c r="AN560" s="46">
        <v>0</v>
      </c>
      <c r="AO560" s="100">
        <f t="shared" si="222"/>
        <v>0</v>
      </c>
      <c r="AP560" s="3">
        <f t="shared" si="210"/>
        <v>0</v>
      </c>
    </row>
    <row r="561" spans="1:42" x14ac:dyDescent="0.2">
      <c r="A561" s="35" t="s">
        <v>535</v>
      </c>
      <c r="B561" s="37" t="s">
        <v>556</v>
      </c>
      <c r="C561" s="37" t="s">
        <v>571</v>
      </c>
      <c r="D561" s="52"/>
      <c r="E561" s="38" t="s">
        <v>594</v>
      </c>
      <c r="F561" s="36" t="s">
        <v>555</v>
      </c>
      <c r="G561" s="36" t="s">
        <v>620</v>
      </c>
      <c r="H561" s="39">
        <v>110</v>
      </c>
      <c r="I561" s="40">
        <v>84358.3</v>
      </c>
      <c r="J561" s="39">
        <v>0</v>
      </c>
      <c r="K561" s="40">
        <v>0</v>
      </c>
      <c r="L561" s="37" t="s">
        <v>571</v>
      </c>
      <c r="M561" s="41" t="e">
        <v>#DIV/0!</v>
      </c>
      <c r="N561" s="42">
        <v>0</v>
      </c>
      <c r="O561" s="36">
        <v>0</v>
      </c>
      <c r="P561" s="41" t="e">
        <f>(N561+O561)*M561</f>
        <v>#DIV/0!</v>
      </c>
      <c r="Q561" s="36">
        <v>15</v>
      </c>
      <c r="R561" s="43">
        <f t="shared" si="217"/>
        <v>-15</v>
      </c>
      <c r="S561" s="43">
        <f t="shared" si="218"/>
        <v>15</v>
      </c>
      <c r="T561" s="41" t="e">
        <f t="shared" si="219"/>
        <v>#DIV/0!</v>
      </c>
      <c r="U561" s="44">
        <f>Q561</f>
        <v>15</v>
      </c>
      <c r="V561" s="45" t="e">
        <f t="shared" si="220"/>
        <v>#DIV/0!</v>
      </c>
      <c r="W561" s="36">
        <v>0</v>
      </c>
      <c r="X561" s="86">
        <v>0</v>
      </c>
      <c r="Y561" s="199">
        <v>0</v>
      </c>
      <c r="Z561" s="44">
        <v>0</v>
      </c>
      <c r="AA561" s="41">
        <f t="shared" si="213"/>
        <v>0</v>
      </c>
      <c r="AB561" s="44">
        <v>0</v>
      </c>
      <c r="AC561" s="44">
        <f t="shared" si="221"/>
        <v>0</v>
      </c>
      <c r="AD561" s="44">
        <f t="shared" si="214"/>
        <v>0</v>
      </c>
      <c r="AE561" s="111">
        <f t="shared" si="215"/>
        <v>0</v>
      </c>
      <c r="AF561" s="51" t="s">
        <v>571</v>
      </c>
      <c r="AG561" s="115"/>
      <c r="AH561" s="35">
        <v>0</v>
      </c>
      <c r="AI561" s="36">
        <v>0</v>
      </c>
      <c r="AJ561" s="36">
        <v>0</v>
      </c>
      <c r="AK561" s="36"/>
      <c r="AL561" s="36">
        <v>0</v>
      </c>
      <c r="AM561" s="36">
        <v>0</v>
      </c>
      <c r="AN561" s="46">
        <v>0</v>
      </c>
      <c r="AO561" s="100">
        <f t="shared" si="222"/>
        <v>0</v>
      </c>
      <c r="AP561" s="3">
        <f t="shared" si="210"/>
        <v>0</v>
      </c>
    </row>
    <row r="562" spans="1:42" x14ac:dyDescent="0.2">
      <c r="A562" s="35" t="s">
        <v>504</v>
      </c>
      <c r="B562" s="37" t="s">
        <v>556</v>
      </c>
      <c r="C562" s="37" t="s">
        <v>578</v>
      </c>
      <c r="D562" s="52">
        <v>46022</v>
      </c>
      <c r="E562" s="38" t="s">
        <v>764</v>
      </c>
      <c r="F562" s="36" t="s">
        <v>559</v>
      </c>
      <c r="G562" s="36" t="s">
        <v>607</v>
      </c>
      <c r="H562" s="39">
        <v>0</v>
      </c>
      <c r="I562" s="40">
        <v>0</v>
      </c>
      <c r="J562" s="39">
        <v>0</v>
      </c>
      <c r="K562" s="40">
        <v>0</v>
      </c>
      <c r="L562" s="37" t="s">
        <v>571</v>
      </c>
      <c r="M562" s="41" t="e">
        <v>#DIV/0!</v>
      </c>
      <c r="N562" s="42">
        <v>0</v>
      </c>
      <c r="O562" s="36">
        <v>0</v>
      </c>
      <c r="P562" s="41" t="e">
        <f>(N562+O562)*M562</f>
        <v>#DIV/0!</v>
      </c>
      <c r="Q562" s="36">
        <v>250</v>
      </c>
      <c r="R562" s="43">
        <f t="shared" si="217"/>
        <v>-250</v>
      </c>
      <c r="S562" s="43">
        <f t="shared" si="218"/>
        <v>100</v>
      </c>
      <c r="T562" s="41" t="e">
        <f t="shared" si="219"/>
        <v>#DIV/0!</v>
      </c>
      <c r="U562" s="44">
        <v>100</v>
      </c>
      <c r="V562" s="45" t="e">
        <f t="shared" si="220"/>
        <v>#DIV/0!</v>
      </c>
      <c r="W562" s="36">
        <v>0</v>
      </c>
      <c r="X562" s="86">
        <v>0</v>
      </c>
      <c r="Y562" s="199">
        <v>0</v>
      </c>
      <c r="Z562" s="44">
        <v>0</v>
      </c>
      <c r="AA562" s="41">
        <f t="shared" si="213"/>
        <v>0</v>
      </c>
      <c r="AB562" s="44">
        <v>0</v>
      </c>
      <c r="AC562" s="44">
        <f t="shared" si="221"/>
        <v>0</v>
      </c>
      <c r="AD562" s="44">
        <f t="shared" si="214"/>
        <v>0</v>
      </c>
      <c r="AE562" s="111">
        <f t="shared" si="215"/>
        <v>0</v>
      </c>
      <c r="AF562" s="51" t="s">
        <v>571</v>
      </c>
      <c r="AG562" s="115"/>
      <c r="AH562" s="35">
        <v>0</v>
      </c>
      <c r="AI562" s="36">
        <v>0</v>
      </c>
      <c r="AJ562" s="36">
        <v>0</v>
      </c>
      <c r="AK562" s="36"/>
      <c r="AL562" s="36">
        <v>0</v>
      </c>
      <c r="AM562" s="36">
        <v>0</v>
      </c>
      <c r="AN562" s="46">
        <v>0</v>
      </c>
      <c r="AO562" s="100">
        <f t="shared" si="222"/>
        <v>0</v>
      </c>
      <c r="AP562" s="3">
        <f t="shared" si="210"/>
        <v>0</v>
      </c>
    </row>
    <row r="563" spans="1:42" x14ac:dyDescent="0.2">
      <c r="A563" s="35" t="s">
        <v>525</v>
      </c>
      <c r="B563" s="37" t="s">
        <v>562</v>
      </c>
      <c r="C563" s="37" t="s">
        <v>578</v>
      </c>
      <c r="D563" s="52">
        <v>46022</v>
      </c>
      <c r="E563" s="38" t="s">
        <v>764</v>
      </c>
      <c r="F563" s="36" t="s">
        <v>557</v>
      </c>
      <c r="G563" s="36" t="s">
        <v>679</v>
      </c>
      <c r="H563" s="39">
        <v>297</v>
      </c>
      <c r="I563" s="40">
        <v>88520.790000000008</v>
      </c>
      <c r="J563" s="39">
        <v>0</v>
      </c>
      <c r="K563" s="40">
        <v>0</v>
      </c>
      <c r="L563" s="37" t="s">
        <v>571</v>
      </c>
      <c r="M563" s="41" t="e">
        <v>#DIV/0!</v>
      </c>
      <c r="N563" s="42">
        <v>0</v>
      </c>
      <c r="O563" s="36">
        <v>0</v>
      </c>
      <c r="P563" s="41" t="e">
        <f>(N563+O563)*M563</f>
        <v>#DIV/0!</v>
      </c>
      <c r="Q563" s="36">
        <v>80</v>
      </c>
      <c r="R563" s="43">
        <f t="shared" si="217"/>
        <v>-80</v>
      </c>
      <c r="S563" s="43">
        <f t="shared" si="218"/>
        <v>80</v>
      </c>
      <c r="T563" s="41" t="e">
        <f t="shared" si="219"/>
        <v>#DIV/0!</v>
      </c>
      <c r="U563" s="44">
        <f>Q563</f>
        <v>80</v>
      </c>
      <c r="V563" s="45" t="e">
        <f t="shared" si="220"/>
        <v>#DIV/0!</v>
      </c>
      <c r="W563" s="36">
        <v>0</v>
      </c>
      <c r="X563" s="86">
        <v>0</v>
      </c>
      <c r="Y563" s="199">
        <v>0</v>
      </c>
      <c r="Z563" s="44">
        <v>0</v>
      </c>
      <c r="AA563" s="41">
        <f t="shared" si="213"/>
        <v>0</v>
      </c>
      <c r="AB563" s="44">
        <v>0</v>
      </c>
      <c r="AC563" s="44">
        <f t="shared" si="221"/>
        <v>0</v>
      </c>
      <c r="AD563" s="44">
        <f t="shared" si="214"/>
        <v>0</v>
      </c>
      <c r="AE563" s="111">
        <f t="shared" si="215"/>
        <v>0</v>
      </c>
      <c r="AF563" s="51" t="s">
        <v>571</v>
      </c>
      <c r="AG563" s="115" t="s">
        <v>1090</v>
      </c>
      <c r="AH563" s="35">
        <v>0</v>
      </c>
      <c r="AI563" s="36">
        <v>0</v>
      </c>
      <c r="AJ563" s="36">
        <v>0</v>
      </c>
      <c r="AK563" s="36"/>
      <c r="AL563" s="36">
        <v>0</v>
      </c>
      <c r="AM563" s="36">
        <v>0</v>
      </c>
      <c r="AN563" s="46">
        <v>0</v>
      </c>
      <c r="AO563" s="100">
        <f t="shared" si="222"/>
        <v>0</v>
      </c>
      <c r="AP563" s="3">
        <f t="shared" si="210"/>
        <v>0</v>
      </c>
    </row>
    <row r="564" spans="1:42" x14ac:dyDescent="0.2">
      <c r="A564" s="203">
        <v>177104</v>
      </c>
      <c r="B564" s="179" t="s">
        <v>562</v>
      </c>
      <c r="C564" s="179" t="s">
        <v>571</v>
      </c>
      <c r="D564" s="180"/>
      <c r="E564" s="181" t="s">
        <v>803</v>
      </c>
      <c r="F564" s="182" t="s">
        <v>560</v>
      </c>
      <c r="G564" s="182" t="s">
        <v>622</v>
      </c>
      <c r="H564" s="183">
        <v>0</v>
      </c>
      <c r="I564" s="184">
        <v>0</v>
      </c>
      <c r="J564" s="183">
        <v>0</v>
      </c>
      <c r="K564" s="184">
        <v>0</v>
      </c>
      <c r="L564" s="179" t="s">
        <v>571</v>
      </c>
      <c r="M564" s="186" t="e">
        <v>#DIV/0!</v>
      </c>
      <c r="N564" s="195">
        <v>0</v>
      </c>
      <c r="O564" s="182">
        <v>52</v>
      </c>
      <c r="P564" s="186" t="e">
        <f>(N564+O564)*M564</f>
        <v>#DIV/0!</v>
      </c>
      <c r="Q564" s="182">
        <v>0</v>
      </c>
      <c r="R564" s="187">
        <f t="shared" si="217"/>
        <v>52</v>
      </c>
      <c r="S564" s="187">
        <f t="shared" si="218"/>
        <v>0</v>
      </c>
      <c r="T564" s="186" t="e">
        <f t="shared" si="219"/>
        <v>#DIV/0!</v>
      </c>
      <c r="U564" s="188">
        <v>52</v>
      </c>
      <c r="V564" s="189" t="e">
        <f t="shared" si="220"/>
        <v>#DIV/0!</v>
      </c>
      <c r="W564" s="182">
        <v>0</v>
      </c>
      <c r="X564" s="190">
        <v>0</v>
      </c>
      <c r="Y564" s="200">
        <v>0</v>
      </c>
      <c r="Z564" s="188">
        <v>0</v>
      </c>
      <c r="AA564" s="41">
        <f t="shared" si="213"/>
        <v>0</v>
      </c>
      <c r="AB564" s="44">
        <v>0</v>
      </c>
      <c r="AC564" s="44">
        <f t="shared" si="221"/>
        <v>0</v>
      </c>
      <c r="AD564" s="44">
        <f t="shared" si="214"/>
        <v>0</v>
      </c>
      <c r="AE564" s="111">
        <f t="shared" si="215"/>
        <v>0</v>
      </c>
      <c r="AF564" s="185" t="s">
        <v>571</v>
      </c>
      <c r="AG564" s="191" t="s">
        <v>1091</v>
      </c>
      <c r="AH564" s="178">
        <v>0</v>
      </c>
      <c r="AI564" s="182">
        <v>0</v>
      </c>
      <c r="AJ564" s="182">
        <v>0</v>
      </c>
      <c r="AK564" s="182"/>
      <c r="AL564" s="182">
        <v>0</v>
      </c>
      <c r="AM564" s="182">
        <v>0</v>
      </c>
      <c r="AN564" s="192">
        <v>0</v>
      </c>
      <c r="AO564" s="193">
        <f t="shared" si="222"/>
        <v>0</v>
      </c>
      <c r="AP564" s="3">
        <f t="shared" si="210"/>
        <v>0</v>
      </c>
    </row>
    <row r="565" spans="1:42" x14ac:dyDescent="0.2">
      <c r="A565" s="178" t="s">
        <v>537</v>
      </c>
      <c r="B565" s="179" t="s">
        <v>554</v>
      </c>
      <c r="C565" s="179" t="s">
        <v>571</v>
      </c>
      <c r="D565" s="180"/>
      <c r="E565" s="181" t="s">
        <v>682</v>
      </c>
      <c r="F565" s="182" t="s">
        <v>564</v>
      </c>
      <c r="G565" s="182" t="s">
        <v>685</v>
      </c>
      <c r="H565" s="183">
        <v>0</v>
      </c>
      <c r="I565" s="184">
        <v>0</v>
      </c>
      <c r="J565" s="183">
        <v>0</v>
      </c>
      <c r="K565" s="184">
        <v>0</v>
      </c>
      <c r="L565" s="185"/>
      <c r="M565" s="186" t="e">
        <v>#DIV/0!</v>
      </c>
      <c r="N565" s="186"/>
      <c r="O565" s="182">
        <v>0</v>
      </c>
      <c r="P565" s="186">
        <v>0</v>
      </c>
      <c r="Q565" s="182">
        <v>50</v>
      </c>
      <c r="R565" s="187">
        <f t="shared" si="217"/>
        <v>-50</v>
      </c>
      <c r="S565" s="187">
        <f t="shared" si="218"/>
        <v>0</v>
      </c>
      <c r="T565" s="186" t="e">
        <f t="shared" si="219"/>
        <v>#DIV/0!</v>
      </c>
      <c r="U565" s="188">
        <v>0</v>
      </c>
      <c r="V565" s="189" t="e">
        <f t="shared" si="220"/>
        <v>#DIV/0!</v>
      </c>
      <c r="W565" s="182">
        <v>0</v>
      </c>
      <c r="X565" s="190">
        <v>0</v>
      </c>
      <c r="Y565" s="200">
        <v>0</v>
      </c>
      <c r="Z565" s="188">
        <v>0</v>
      </c>
      <c r="AA565" s="41">
        <f t="shared" si="213"/>
        <v>0</v>
      </c>
      <c r="AB565" s="44">
        <v>0</v>
      </c>
      <c r="AC565" s="44">
        <f t="shared" si="221"/>
        <v>0</v>
      </c>
      <c r="AD565" s="44">
        <f t="shared" si="214"/>
        <v>0</v>
      </c>
      <c r="AE565" s="111">
        <f t="shared" si="215"/>
        <v>0</v>
      </c>
      <c r="AF565" s="185" t="s">
        <v>571</v>
      </c>
      <c r="AG565" s="191"/>
      <c r="AH565" s="178">
        <v>0</v>
      </c>
      <c r="AI565" s="182">
        <v>0</v>
      </c>
      <c r="AJ565" s="182">
        <v>0</v>
      </c>
      <c r="AK565" s="182"/>
      <c r="AL565" s="182">
        <v>0</v>
      </c>
      <c r="AM565" s="182">
        <v>0</v>
      </c>
      <c r="AN565" s="192">
        <v>0</v>
      </c>
      <c r="AO565" s="193">
        <f t="shared" si="222"/>
        <v>0</v>
      </c>
      <c r="AP565" s="3">
        <f t="shared" si="210"/>
        <v>0</v>
      </c>
    </row>
    <row r="566" spans="1:42" x14ac:dyDescent="0.2">
      <c r="A566" s="178" t="s">
        <v>543</v>
      </c>
      <c r="B566" s="179" t="s">
        <v>554</v>
      </c>
      <c r="C566" s="179" t="s">
        <v>571</v>
      </c>
      <c r="D566" s="180"/>
      <c r="E566" s="181" t="s">
        <v>682</v>
      </c>
      <c r="F566" s="182" t="s">
        <v>564</v>
      </c>
      <c r="G566" s="182" t="s">
        <v>685</v>
      </c>
      <c r="H566" s="183">
        <v>0</v>
      </c>
      <c r="I566" s="184">
        <v>0</v>
      </c>
      <c r="J566" s="183">
        <v>0</v>
      </c>
      <c r="K566" s="184">
        <v>0</v>
      </c>
      <c r="L566" s="185"/>
      <c r="M566" s="186" t="e">
        <v>#DIV/0!</v>
      </c>
      <c r="N566" s="186"/>
      <c r="O566" s="182">
        <v>0</v>
      </c>
      <c r="P566" s="186">
        <v>0</v>
      </c>
      <c r="Q566" s="182">
        <v>25</v>
      </c>
      <c r="R566" s="187">
        <f t="shared" si="217"/>
        <v>-25</v>
      </c>
      <c r="S566" s="187">
        <f t="shared" si="218"/>
        <v>0</v>
      </c>
      <c r="T566" s="186" t="e">
        <f t="shared" si="219"/>
        <v>#DIV/0!</v>
      </c>
      <c r="U566" s="188">
        <v>0</v>
      </c>
      <c r="V566" s="189" t="e">
        <f t="shared" si="220"/>
        <v>#DIV/0!</v>
      </c>
      <c r="W566" s="182">
        <v>0</v>
      </c>
      <c r="X566" s="190">
        <v>0</v>
      </c>
      <c r="Y566" s="200">
        <v>0</v>
      </c>
      <c r="Z566" s="188">
        <v>0</v>
      </c>
      <c r="AA566" s="41">
        <f t="shared" si="213"/>
        <v>0</v>
      </c>
      <c r="AB566" s="44">
        <v>0</v>
      </c>
      <c r="AC566" s="44">
        <f t="shared" si="221"/>
        <v>0</v>
      </c>
      <c r="AD566" s="44">
        <f t="shared" si="214"/>
        <v>0</v>
      </c>
      <c r="AE566" s="111">
        <f t="shared" si="215"/>
        <v>0</v>
      </c>
      <c r="AF566" s="185" t="s">
        <v>571</v>
      </c>
      <c r="AG566" s="191"/>
      <c r="AH566" s="178">
        <v>0</v>
      </c>
      <c r="AI566" s="182">
        <v>0</v>
      </c>
      <c r="AJ566" s="182">
        <v>0</v>
      </c>
      <c r="AK566" s="182"/>
      <c r="AL566" s="182">
        <v>0</v>
      </c>
      <c r="AM566" s="182">
        <v>0</v>
      </c>
      <c r="AN566" s="192">
        <v>0</v>
      </c>
      <c r="AO566" s="193">
        <f t="shared" si="222"/>
        <v>0</v>
      </c>
      <c r="AP566" s="3">
        <f t="shared" si="210"/>
        <v>0</v>
      </c>
    </row>
    <row r="567" spans="1:42" x14ac:dyDescent="0.2">
      <c r="A567" s="178" t="s">
        <v>540</v>
      </c>
      <c r="B567" s="179" t="s">
        <v>554</v>
      </c>
      <c r="C567" s="179" t="s">
        <v>571</v>
      </c>
      <c r="D567" s="180"/>
      <c r="E567" s="181" t="s">
        <v>682</v>
      </c>
      <c r="F567" s="182" t="s">
        <v>564</v>
      </c>
      <c r="G567" s="182" t="s">
        <v>685</v>
      </c>
      <c r="H567" s="183">
        <v>0</v>
      </c>
      <c r="I567" s="184">
        <v>0</v>
      </c>
      <c r="J567" s="183">
        <v>0</v>
      </c>
      <c r="K567" s="184">
        <v>0</v>
      </c>
      <c r="L567" s="185"/>
      <c r="M567" s="186" t="e">
        <v>#DIV/0!</v>
      </c>
      <c r="N567" s="186"/>
      <c r="O567" s="182">
        <v>0</v>
      </c>
      <c r="P567" s="186">
        <v>0</v>
      </c>
      <c r="Q567" s="182">
        <v>25</v>
      </c>
      <c r="R567" s="187">
        <f t="shared" si="217"/>
        <v>-25</v>
      </c>
      <c r="S567" s="187">
        <f t="shared" si="218"/>
        <v>0</v>
      </c>
      <c r="T567" s="186" t="e">
        <f t="shared" si="219"/>
        <v>#DIV/0!</v>
      </c>
      <c r="U567" s="188">
        <v>0</v>
      </c>
      <c r="V567" s="189" t="e">
        <f t="shared" si="220"/>
        <v>#DIV/0!</v>
      </c>
      <c r="W567" s="182">
        <v>0</v>
      </c>
      <c r="X567" s="190">
        <v>0</v>
      </c>
      <c r="Y567" s="200">
        <v>0</v>
      </c>
      <c r="Z567" s="188">
        <v>0</v>
      </c>
      <c r="AA567" s="41">
        <f t="shared" si="213"/>
        <v>0</v>
      </c>
      <c r="AB567" s="44">
        <v>0</v>
      </c>
      <c r="AC567" s="44">
        <f t="shared" si="221"/>
        <v>0</v>
      </c>
      <c r="AD567" s="44">
        <f t="shared" si="214"/>
        <v>0</v>
      </c>
      <c r="AE567" s="111">
        <f t="shared" si="215"/>
        <v>0</v>
      </c>
      <c r="AF567" s="185" t="s">
        <v>571</v>
      </c>
      <c r="AG567" s="191"/>
      <c r="AH567" s="178">
        <v>0</v>
      </c>
      <c r="AI567" s="182">
        <v>0</v>
      </c>
      <c r="AJ567" s="182">
        <v>0</v>
      </c>
      <c r="AK567" s="182"/>
      <c r="AL567" s="182">
        <v>0</v>
      </c>
      <c r="AM567" s="182">
        <v>0</v>
      </c>
      <c r="AN567" s="192">
        <v>0</v>
      </c>
      <c r="AO567" s="193">
        <f t="shared" si="222"/>
        <v>0</v>
      </c>
      <c r="AP567" s="3">
        <f t="shared" si="210"/>
        <v>0</v>
      </c>
    </row>
    <row r="568" spans="1:42" x14ac:dyDescent="0.2">
      <c r="A568" s="178" t="s">
        <v>464</v>
      </c>
      <c r="B568" s="179" t="s">
        <v>562</v>
      </c>
      <c r="C568" s="179" t="s">
        <v>571</v>
      </c>
      <c r="D568" s="180"/>
      <c r="E568" s="181" t="s">
        <v>594</v>
      </c>
      <c r="F568" s="182" t="s">
        <v>555</v>
      </c>
      <c r="G568" s="182" t="s">
        <v>580</v>
      </c>
      <c r="H568" s="183">
        <v>1</v>
      </c>
      <c r="I568" s="184">
        <v>71089.899999999994</v>
      </c>
      <c r="J568" s="183">
        <v>0</v>
      </c>
      <c r="K568" s="184">
        <v>0</v>
      </c>
      <c r="L568" s="179" t="s">
        <v>571</v>
      </c>
      <c r="M568" s="186" t="e">
        <v>#DIV/0!</v>
      </c>
      <c r="N568" s="195">
        <v>0</v>
      </c>
      <c r="O568" s="182">
        <v>0</v>
      </c>
      <c r="P568" s="186" t="e">
        <f>(N568+O568)*M568</f>
        <v>#DIV/0!</v>
      </c>
      <c r="Q568" s="182">
        <v>31</v>
      </c>
      <c r="R568" s="187">
        <f t="shared" si="217"/>
        <v>-31</v>
      </c>
      <c r="S568" s="187">
        <f t="shared" si="218"/>
        <v>0</v>
      </c>
      <c r="T568" s="186" t="e">
        <f t="shared" si="219"/>
        <v>#DIV/0!</v>
      </c>
      <c r="U568" s="188">
        <v>0</v>
      </c>
      <c r="V568" s="189" t="e">
        <f t="shared" si="220"/>
        <v>#DIV/0!</v>
      </c>
      <c r="W568" s="182">
        <v>0</v>
      </c>
      <c r="X568" s="190">
        <v>0</v>
      </c>
      <c r="Y568" s="200">
        <v>0</v>
      </c>
      <c r="Z568" s="188">
        <v>0</v>
      </c>
      <c r="AA568" s="41">
        <f t="shared" si="213"/>
        <v>0</v>
      </c>
      <c r="AB568" s="44">
        <v>0</v>
      </c>
      <c r="AC568" s="44">
        <f t="shared" si="221"/>
        <v>0</v>
      </c>
      <c r="AD568" s="44">
        <f t="shared" si="214"/>
        <v>0</v>
      </c>
      <c r="AE568" s="111">
        <f t="shared" si="215"/>
        <v>0</v>
      </c>
      <c r="AF568" s="185" t="s">
        <v>571</v>
      </c>
      <c r="AG568" s="191"/>
      <c r="AH568" s="178">
        <v>0</v>
      </c>
      <c r="AI568" s="182">
        <v>0</v>
      </c>
      <c r="AJ568" s="182">
        <v>0</v>
      </c>
      <c r="AK568" s="182"/>
      <c r="AL568" s="182">
        <v>0</v>
      </c>
      <c r="AM568" s="182">
        <v>0</v>
      </c>
      <c r="AN568" s="192">
        <v>0</v>
      </c>
      <c r="AO568" s="193">
        <f t="shared" si="222"/>
        <v>0</v>
      </c>
      <c r="AP568" s="3">
        <f t="shared" si="210"/>
        <v>0</v>
      </c>
    </row>
    <row r="569" spans="1:42" ht="13.5" thickBot="1" x14ac:dyDescent="0.25">
      <c r="A569" s="61" t="s">
        <v>510</v>
      </c>
      <c r="B569" s="54" t="s">
        <v>556</v>
      </c>
      <c r="C569" s="54" t="s">
        <v>571</v>
      </c>
      <c r="D569" s="150"/>
      <c r="E569" s="151" t="s">
        <v>594</v>
      </c>
      <c r="F569" s="53" t="s">
        <v>555</v>
      </c>
      <c r="G569" s="53" t="s">
        <v>683</v>
      </c>
      <c r="H569" s="62">
        <v>16</v>
      </c>
      <c r="I569" s="63">
        <v>95760</v>
      </c>
      <c r="J569" s="62">
        <v>0</v>
      </c>
      <c r="K569" s="63">
        <v>0</v>
      </c>
      <c r="L569" s="57"/>
      <c r="M569" s="56" t="e">
        <v>#DIV/0!</v>
      </c>
      <c r="N569" s="56"/>
      <c r="O569" s="53">
        <v>0</v>
      </c>
      <c r="P569" s="56">
        <v>0</v>
      </c>
      <c r="Q569" s="53">
        <v>8</v>
      </c>
      <c r="R569" s="58">
        <f t="shared" si="217"/>
        <v>-8</v>
      </c>
      <c r="S569" s="58">
        <f t="shared" si="218"/>
        <v>0</v>
      </c>
      <c r="T569" s="56" t="e">
        <f t="shared" si="219"/>
        <v>#DIV/0!</v>
      </c>
      <c r="U569" s="55">
        <v>0</v>
      </c>
      <c r="V569" s="59" t="e">
        <f t="shared" si="220"/>
        <v>#DIV/0!</v>
      </c>
      <c r="W569" s="53">
        <v>0</v>
      </c>
      <c r="X569" s="87">
        <v>0</v>
      </c>
      <c r="Y569" s="201">
        <v>0</v>
      </c>
      <c r="Z569" s="55">
        <v>0</v>
      </c>
      <c r="AA569" s="56">
        <f t="shared" si="213"/>
        <v>0</v>
      </c>
      <c r="AB569" s="55">
        <v>0</v>
      </c>
      <c r="AC569" s="55">
        <f t="shared" si="221"/>
        <v>0</v>
      </c>
      <c r="AD569" s="55">
        <f t="shared" si="214"/>
        <v>0</v>
      </c>
      <c r="AE569" s="112">
        <f t="shared" si="215"/>
        <v>0</v>
      </c>
      <c r="AF569" s="57" t="s">
        <v>571</v>
      </c>
      <c r="AG569" s="116"/>
      <c r="AH569" s="61">
        <v>0</v>
      </c>
      <c r="AI569" s="53">
        <v>0</v>
      </c>
      <c r="AJ569" s="53">
        <v>0</v>
      </c>
      <c r="AK569" s="53"/>
      <c r="AL569" s="53">
        <v>0</v>
      </c>
      <c r="AM569" s="53">
        <v>0</v>
      </c>
      <c r="AN569" s="60">
        <v>0</v>
      </c>
      <c r="AO569" s="101">
        <f t="shared" si="222"/>
        <v>0</v>
      </c>
      <c r="AP569" s="3">
        <f t="shared" si="210"/>
        <v>0</v>
      </c>
    </row>
    <row r="570" spans="1:42" x14ac:dyDescent="0.2">
      <c r="I570" s="197"/>
      <c r="K570" s="197"/>
      <c r="N570" s="155"/>
      <c r="P570" s="23"/>
      <c r="T570" s="23"/>
      <c r="V570" s="3"/>
      <c r="X570" s="3"/>
      <c r="Y570" s="23"/>
      <c r="AA570" s="23"/>
      <c r="AB570" s="4"/>
      <c r="AC570" s="4"/>
      <c r="AE570" s="23"/>
    </row>
    <row r="571" spans="1:42" x14ac:dyDescent="0.2">
      <c r="L571" s="127"/>
      <c r="M571" s="144"/>
      <c r="N571" s="145"/>
      <c r="O571" s="146"/>
      <c r="P571" s="145"/>
      <c r="Q571" s="146"/>
      <c r="R571" s="147"/>
      <c r="S571" s="147"/>
      <c r="T571" s="147"/>
      <c r="U571" s="148"/>
      <c r="V571" s="149" t="s">
        <v>921</v>
      </c>
      <c r="W571" s="149" t="s">
        <v>925</v>
      </c>
    </row>
    <row r="572" spans="1:42" x14ac:dyDescent="0.2">
      <c r="M572" s="131"/>
      <c r="N572" s="132"/>
      <c r="O572" s="133"/>
      <c r="P572" s="134" t="s">
        <v>697</v>
      </c>
      <c r="Q572" s="133"/>
      <c r="R572" s="135"/>
      <c r="S572" s="135"/>
      <c r="T572" s="135"/>
      <c r="U572" s="136" t="s">
        <v>922</v>
      </c>
      <c r="V572" s="137">
        <f>SUM(X2:X534)</f>
        <v>74041138.549999967</v>
      </c>
      <c r="W572" s="137">
        <f>SUM(AE1:AE569)</f>
        <v>79713262.524018869</v>
      </c>
      <c r="X572" s="158"/>
    </row>
    <row r="573" spans="1:42" x14ac:dyDescent="0.2">
      <c r="M573" s="138"/>
      <c r="N573" s="22"/>
      <c r="O573" s="22" t="s">
        <v>693</v>
      </c>
      <c r="P573" s="23" t="e">
        <f>SUM(P2:P467)</f>
        <v>#DIV/0!</v>
      </c>
      <c r="U573" s="126" t="s">
        <v>923</v>
      </c>
      <c r="V573" s="125">
        <f>SUM('FY27 PN FCST - MS'!V2:V123)</f>
        <v>9174859.9100000039</v>
      </c>
      <c r="W573" s="125">
        <f>'FY27 PN FCST - MS'!AB130</f>
        <v>11449058.821508924</v>
      </c>
    </row>
    <row r="574" spans="1:42" x14ac:dyDescent="0.2">
      <c r="M574" s="139"/>
      <c r="O574" s="124" t="s">
        <v>694</v>
      </c>
      <c r="P574" s="23">
        <f>SUM('FY27 PN FCST - MS'!N2:N113)</f>
        <v>4724506.446294792</v>
      </c>
      <c r="U574" s="126" t="s">
        <v>572</v>
      </c>
      <c r="V574" s="125">
        <v>0</v>
      </c>
      <c r="W574" s="125">
        <v>3000000</v>
      </c>
    </row>
    <row r="575" spans="1:42" x14ac:dyDescent="0.2">
      <c r="M575" s="139"/>
      <c r="O575" s="124" t="s">
        <v>695</v>
      </c>
      <c r="P575" s="23" t="e">
        <f>SUM(P573:P574)</f>
        <v>#DIV/0!</v>
      </c>
      <c r="U575" s="126" t="s">
        <v>573</v>
      </c>
      <c r="V575" s="125">
        <v>1316267</v>
      </c>
      <c r="W575" s="125">
        <v>1500000</v>
      </c>
    </row>
    <row r="576" spans="1:42" x14ac:dyDescent="0.2">
      <c r="M576" s="139"/>
      <c r="O576" s="124"/>
      <c r="P576" s="23"/>
      <c r="U576" s="126" t="s">
        <v>1030</v>
      </c>
      <c r="V576" s="125"/>
      <c r="W576" s="125">
        <v>1000000</v>
      </c>
    </row>
    <row r="577" spans="11:31" x14ac:dyDescent="0.2">
      <c r="M577" s="139"/>
      <c r="O577" s="124"/>
      <c r="P577" s="23"/>
      <c r="U577" s="126" t="s">
        <v>924</v>
      </c>
      <c r="V577" s="125">
        <v>788178</v>
      </c>
      <c r="W577" s="125">
        <v>800000</v>
      </c>
      <c r="Z577" s="1"/>
      <c r="AA577" s="1"/>
      <c r="AD577" s="1"/>
      <c r="AE577" s="1"/>
    </row>
    <row r="578" spans="11:31" x14ac:dyDescent="0.2">
      <c r="M578" s="139"/>
      <c r="O578" s="124" t="s">
        <v>696</v>
      </c>
      <c r="P578" s="23" t="e">
        <f>V572-P573</f>
        <v>#DIV/0!</v>
      </c>
      <c r="U578" s="126" t="s">
        <v>729</v>
      </c>
      <c r="V578" s="125">
        <v>0</v>
      </c>
      <c r="W578" s="125">
        <v>500000</v>
      </c>
    </row>
    <row r="579" spans="11:31" x14ac:dyDescent="0.2">
      <c r="K579" s="1"/>
      <c r="M579" s="140"/>
      <c r="N579" s="21"/>
      <c r="O579" s="128"/>
      <c r="P579" s="21"/>
      <c r="Q579" s="128"/>
      <c r="R579" s="129"/>
      <c r="S579" s="129"/>
      <c r="T579" s="129"/>
      <c r="U579" s="130"/>
      <c r="V579" s="25"/>
      <c r="W579" s="25"/>
    </row>
    <row r="580" spans="11:31" x14ac:dyDescent="0.2">
      <c r="M580" s="139"/>
      <c r="P580" s="23"/>
      <c r="U580" s="126" t="s">
        <v>576</v>
      </c>
      <c r="V580" s="125">
        <f>SUM(V572:V578)</f>
        <v>85320443.459999979</v>
      </c>
      <c r="W580" s="125">
        <f>SUM(W572:W578)</f>
        <v>97962321.345527798</v>
      </c>
    </row>
    <row r="581" spans="11:31" x14ac:dyDescent="0.2">
      <c r="M581" s="139"/>
      <c r="P581" s="23"/>
      <c r="U581" s="126" t="s">
        <v>574</v>
      </c>
      <c r="V581" s="125">
        <v>82678000</v>
      </c>
      <c r="W581" s="125">
        <v>96000000</v>
      </c>
      <c r="X581" s="160">
        <f>(W581/V581)-1</f>
        <v>0.16113113524758704</v>
      </c>
    </row>
    <row r="582" spans="11:31" x14ac:dyDescent="0.2">
      <c r="M582" s="140"/>
      <c r="N582" s="21"/>
      <c r="O582" s="128"/>
      <c r="P582" s="21"/>
      <c r="Q582" s="128"/>
      <c r="R582" s="129"/>
      <c r="S582" s="129"/>
      <c r="T582" s="129"/>
      <c r="U582" s="141" t="s">
        <v>575</v>
      </c>
      <c r="V582" s="142">
        <f>V580/V581</f>
        <v>1.0319606601514306</v>
      </c>
      <c r="W582" s="143">
        <f>W580/W581</f>
        <v>1.0204408473492479</v>
      </c>
      <c r="Z582" s="1"/>
      <c r="AA582" s="1"/>
      <c r="AD582" s="1"/>
      <c r="AE582" s="1"/>
    </row>
    <row r="583" spans="11:31" x14ac:dyDescent="0.2">
      <c r="L583" s="4"/>
      <c r="M583" s="1"/>
      <c r="N583" s="4"/>
      <c r="O583" s="2"/>
      <c r="P583" s="1"/>
      <c r="R583" s="4"/>
      <c r="S583" s="2"/>
      <c r="T583" s="7"/>
      <c r="U583" s="1"/>
      <c r="Z583" s="1"/>
      <c r="AA583" s="1"/>
      <c r="AD583" s="1"/>
      <c r="AE583" s="1"/>
    </row>
    <row r="584" spans="11:31" x14ac:dyDescent="0.2">
      <c r="M584" s="2"/>
      <c r="N584" s="1"/>
      <c r="P584" s="4"/>
      <c r="Q584" s="2"/>
      <c r="R584" s="7"/>
      <c r="S584" s="1"/>
      <c r="T584" s="1"/>
      <c r="U584" s="1"/>
    </row>
  </sheetData>
  <autoFilter ref="A1:AP569" xr:uid="{FD3C5DA3-BCB1-47F4-B1D6-04ADA15D53ED}"/>
  <sortState xmlns:xlrd2="http://schemas.microsoft.com/office/spreadsheetml/2017/richdata2" ref="A2:AP569">
    <sortCondition descending="1" ref="AE2:AE569"/>
    <sortCondition descending="1" ref="AD2:AD569"/>
  </sortState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D7AD-2ED8-4A61-8F9A-AA5949109702}">
  <dimension ref="A1:AG130"/>
  <sheetViews>
    <sheetView topLeftCell="A102" workbookViewId="0">
      <selection activeCell="E113" sqref="A1:AG128"/>
    </sheetView>
  </sheetViews>
  <sheetFormatPr defaultRowHeight="12.75" x14ac:dyDescent="0.2"/>
  <cols>
    <col min="1" max="1" width="11.28515625" style="1" bestFit="1" customWidth="1"/>
    <col min="2" max="2" width="3.28515625" style="1" customWidth="1"/>
    <col min="3" max="3" width="4.7109375" style="1" bestFit="1" customWidth="1"/>
    <col min="4" max="4" width="13" style="1" customWidth="1"/>
    <col min="5" max="5" width="8.140625" style="1" customWidth="1"/>
    <col min="6" max="6" width="8.140625" style="4" customWidth="1"/>
    <col min="7" max="7" width="9.5703125" style="2" bestFit="1" customWidth="1"/>
    <col min="8" max="8" width="8.140625" style="4" bestFit="1" customWidth="1"/>
    <col min="9" max="9" width="13.5703125" style="2" bestFit="1" customWidth="1"/>
    <col min="10" max="10" width="5.28515625" style="1" customWidth="1"/>
    <col min="11" max="11" width="9.85546875" style="2" customWidth="1"/>
    <col min="12" max="12" width="8.5703125" style="27" hidden="1" customWidth="1"/>
    <col min="13" max="13" width="11" style="4" hidden="1" customWidth="1"/>
    <col min="14" max="14" width="12" style="2" hidden="1" customWidth="1"/>
    <col min="15" max="15" width="10.28515625" style="5" hidden="1" customWidth="1"/>
    <col min="16" max="16" width="7.7109375" style="1" hidden="1" customWidth="1"/>
    <col min="17" max="17" width="10.5703125" style="1" hidden="1" customWidth="1"/>
    <col min="18" max="18" width="14" style="1" hidden="1" customWidth="1"/>
    <col min="19" max="19" width="9.140625" style="4"/>
    <col min="20" max="20" width="16.5703125" style="1" bestFit="1" customWidth="1"/>
    <col min="21" max="21" width="9.140625" style="1"/>
    <col min="22" max="22" width="11.42578125" style="2" bestFit="1" customWidth="1"/>
    <col min="23" max="23" width="9.140625" style="1"/>
    <col min="24" max="24" width="6.7109375" style="1" bestFit="1" customWidth="1"/>
    <col min="25" max="25" width="11.42578125" style="2" bestFit="1" customWidth="1"/>
    <col min="26" max="26" width="8.140625" style="4" customWidth="1"/>
    <col min="27" max="27" width="7.85546875" style="1" bestFit="1" customWidth="1"/>
    <col min="28" max="28" width="12" style="1" bestFit="1" customWidth="1"/>
    <col min="29" max="29" width="9.140625" style="1"/>
    <col min="30" max="30" width="6.42578125" style="4" bestFit="1" customWidth="1"/>
    <col min="31" max="31" width="5.42578125" style="4" bestFit="1" customWidth="1"/>
    <col min="32" max="32" width="6.42578125" style="4" bestFit="1" customWidth="1"/>
    <col min="33" max="33" width="7.42578125" style="4" bestFit="1" customWidth="1"/>
    <col min="34" max="16384" width="9.140625" style="1"/>
  </cols>
  <sheetData>
    <row r="1" spans="1:33" s="28" customFormat="1" ht="51.75" thickBot="1" x14ac:dyDescent="0.3">
      <c r="A1" s="8" t="s">
        <v>0</v>
      </c>
      <c r="B1" s="9" t="s">
        <v>1</v>
      </c>
      <c r="C1" s="29" t="s">
        <v>577</v>
      </c>
      <c r="D1" s="29" t="s">
        <v>751</v>
      </c>
      <c r="E1" s="12" t="s">
        <v>2</v>
      </c>
      <c r="F1" s="13" t="s">
        <v>442</v>
      </c>
      <c r="G1" s="11" t="s">
        <v>443</v>
      </c>
      <c r="H1" s="10" t="s">
        <v>444</v>
      </c>
      <c r="I1" s="14" t="s">
        <v>445</v>
      </c>
      <c r="J1" s="24" t="s">
        <v>722</v>
      </c>
      <c r="K1" s="17" t="s">
        <v>733</v>
      </c>
      <c r="L1" s="32" t="s">
        <v>732</v>
      </c>
      <c r="M1" s="26" t="s">
        <v>734</v>
      </c>
      <c r="N1" s="18" t="s">
        <v>439</v>
      </c>
      <c r="O1" s="15" t="s">
        <v>3</v>
      </c>
      <c r="P1" s="15" t="s">
        <v>446</v>
      </c>
      <c r="Q1" s="19" t="s">
        <v>690</v>
      </c>
      <c r="R1" s="19" t="s">
        <v>691</v>
      </c>
      <c r="S1" s="20" t="s">
        <v>440</v>
      </c>
      <c r="T1" s="33" t="s">
        <v>441</v>
      </c>
      <c r="U1" s="34" t="s">
        <v>839</v>
      </c>
      <c r="V1" s="64" t="s">
        <v>838</v>
      </c>
      <c r="W1" s="88" t="s">
        <v>837</v>
      </c>
      <c r="X1" s="89" t="s">
        <v>834</v>
      </c>
      <c r="Y1" s="95" t="s">
        <v>836</v>
      </c>
      <c r="Z1" s="94" t="s">
        <v>835</v>
      </c>
      <c r="AA1" s="89" t="s">
        <v>832</v>
      </c>
      <c r="AB1" s="89" t="s">
        <v>833</v>
      </c>
      <c r="AC1" s="123" t="s">
        <v>718</v>
      </c>
      <c r="AD1" s="161" t="s">
        <v>993</v>
      </c>
      <c r="AE1" s="162" t="s">
        <v>992</v>
      </c>
      <c r="AF1" s="163" t="s">
        <v>995</v>
      </c>
      <c r="AG1" s="164" t="s">
        <v>996</v>
      </c>
    </row>
    <row r="2" spans="1:33" x14ac:dyDescent="0.2">
      <c r="A2" s="75" t="s">
        <v>71</v>
      </c>
      <c r="B2" s="76" t="s">
        <v>566</v>
      </c>
      <c r="C2" s="76" t="s">
        <v>578</v>
      </c>
      <c r="D2" s="76" t="s">
        <v>820</v>
      </c>
      <c r="E2" s="76" t="s">
        <v>920</v>
      </c>
      <c r="F2" s="78">
        <v>75882</v>
      </c>
      <c r="G2" s="79">
        <v>455300.13999999996</v>
      </c>
      <c r="H2" s="78">
        <v>176435</v>
      </c>
      <c r="I2" s="79">
        <v>1176132.8999999999</v>
      </c>
      <c r="J2" s="76" t="s">
        <v>578</v>
      </c>
      <c r="K2" s="80">
        <v>7.0136739135781214</v>
      </c>
      <c r="L2" s="102">
        <v>0</v>
      </c>
      <c r="M2" s="83">
        <v>118540</v>
      </c>
      <c r="N2" s="80">
        <v>646584.51159811195</v>
      </c>
      <c r="O2" s="91">
        <v>119800</v>
      </c>
      <c r="P2" s="82">
        <v>-1260</v>
      </c>
      <c r="Q2" s="82">
        <v>46354.899999999994</v>
      </c>
      <c r="R2" s="82">
        <v>325118.15289652243</v>
      </c>
      <c r="S2" s="83">
        <v>164894.9</v>
      </c>
      <c r="T2" s="84">
        <f t="shared" ref="T2:T11" si="0">S2*K2</f>
        <v>1156519.0586120728</v>
      </c>
      <c r="U2" s="103">
        <v>162644</v>
      </c>
      <c r="V2" s="104">
        <v>1140731.98</v>
      </c>
      <c r="W2" s="96">
        <v>8.4041025641025637</v>
      </c>
      <c r="X2" s="83">
        <v>20600</v>
      </c>
      <c r="Y2" s="80">
        <f t="shared" ref="Y2:Y33" si="1">X2*W2</f>
        <v>173124.51282051281</v>
      </c>
      <c r="Z2" s="83">
        <f t="shared" ref="Z2:Z33" si="2">AG2</f>
        <v>125228.5</v>
      </c>
      <c r="AA2" s="83">
        <f t="shared" ref="AA2:AA33" si="3">Z2+X2</f>
        <v>145828.5</v>
      </c>
      <c r="AB2" s="110">
        <f t="shared" ref="AB2:AB33" si="4">AA2*W2</f>
        <v>1225557.6707692307</v>
      </c>
      <c r="AC2" s="114"/>
      <c r="AD2" s="165">
        <v>40000</v>
      </c>
      <c r="AE2" s="166">
        <v>0</v>
      </c>
      <c r="AF2" s="167">
        <v>85228.5</v>
      </c>
      <c r="AG2" s="168">
        <f t="shared" ref="AG2:AG33" si="5">SUM(AD2:AF2)</f>
        <v>125228.5</v>
      </c>
    </row>
    <row r="3" spans="1:33" x14ac:dyDescent="0.2">
      <c r="A3" s="35" t="s">
        <v>101</v>
      </c>
      <c r="B3" s="36" t="s">
        <v>567</v>
      </c>
      <c r="C3" s="36" t="s">
        <v>578</v>
      </c>
      <c r="D3" s="36" t="s">
        <v>821</v>
      </c>
      <c r="E3" s="36" t="s">
        <v>920</v>
      </c>
      <c r="F3" s="39">
        <v>20928</v>
      </c>
      <c r="G3" s="40">
        <v>369734.01</v>
      </c>
      <c r="H3" s="39">
        <v>14912</v>
      </c>
      <c r="I3" s="40">
        <v>269120.03999999998</v>
      </c>
      <c r="J3" s="36" t="s">
        <v>578</v>
      </c>
      <c r="K3" s="41">
        <v>21.787619047619046</v>
      </c>
      <c r="L3" s="105">
        <v>0</v>
      </c>
      <c r="M3" s="44">
        <v>8000</v>
      </c>
      <c r="N3" s="41">
        <v>12095</v>
      </c>
      <c r="O3" s="92">
        <v>14000</v>
      </c>
      <c r="P3" s="43">
        <v>-6000</v>
      </c>
      <c r="Q3" s="43">
        <v>0</v>
      </c>
      <c r="R3" s="43">
        <v>0</v>
      </c>
      <c r="S3" s="44">
        <v>8000</v>
      </c>
      <c r="T3" s="45">
        <f t="shared" si="0"/>
        <v>174300.95238095237</v>
      </c>
      <c r="U3" s="50">
        <v>10500</v>
      </c>
      <c r="V3" s="106">
        <v>228770</v>
      </c>
      <c r="W3" s="97">
        <v>22.25</v>
      </c>
      <c r="X3" s="44">
        <v>15000</v>
      </c>
      <c r="Y3" s="41">
        <f t="shared" si="1"/>
        <v>333750</v>
      </c>
      <c r="Z3" s="44">
        <f t="shared" si="2"/>
        <v>16140.25</v>
      </c>
      <c r="AA3" s="44">
        <f t="shared" si="3"/>
        <v>31140.25</v>
      </c>
      <c r="AB3" s="111">
        <f t="shared" si="4"/>
        <v>692870.5625</v>
      </c>
      <c r="AC3" s="115"/>
      <c r="AD3" s="169">
        <v>0</v>
      </c>
      <c r="AE3" s="170">
        <v>0</v>
      </c>
      <c r="AF3" s="171">
        <v>16140.25</v>
      </c>
      <c r="AG3" s="172">
        <f t="shared" si="5"/>
        <v>16140.25</v>
      </c>
    </row>
    <row r="4" spans="1:33" x14ac:dyDescent="0.2">
      <c r="A4" s="35" t="s">
        <v>149</v>
      </c>
      <c r="B4" s="36" t="s">
        <v>566</v>
      </c>
      <c r="C4" s="36" t="s">
        <v>578</v>
      </c>
      <c r="D4" s="36" t="s">
        <v>820</v>
      </c>
      <c r="E4" s="36" t="s">
        <v>920</v>
      </c>
      <c r="F4" s="39">
        <v>44987</v>
      </c>
      <c r="G4" s="40">
        <v>333427.47000000003</v>
      </c>
      <c r="H4" s="39">
        <v>91866</v>
      </c>
      <c r="I4" s="40">
        <v>716440.26000000013</v>
      </c>
      <c r="J4" s="36" t="s">
        <v>578</v>
      </c>
      <c r="K4" s="41">
        <v>8.3207338194102931</v>
      </c>
      <c r="L4" s="105">
        <v>0</v>
      </c>
      <c r="M4" s="44">
        <v>68753</v>
      </c>
      <c r="N4" s="41">
        <v>446311.74982374092</v>
      </c>
      <c r="O4" s="92">
        <v>90284</v>
      </c>
      <c r="P4" s="43">
        <v>-21531</v>
      </c>
      <c r="Q4" s="43">
        <v>23254</v>
      </c>
      <c r="R4" s="43">
        <v>193490.34423656695</v>
      </c>
      <c r="S4" s="44">
        <v>92007</v>
      </c>
      <c r="T4" s="45">
        <f t="shared" si="0"/>
        <v>765565.75652248284</v>
      </c>
      <c r="U4" s="50">
        <v>93538</v>
      </c>
      <c r="V4" s="106">
        <v>778304.8</v>
      </c>
      <c r="W4" s="97">
        <v>7.627706422018349</v>
      </c>
      <c r="X4" s="44">
        <v>13989</v>
      </c>
      <c r="Y4" s="41">
        <f t="shared" si="1"/>
        <v>106703.98513761468</v>
      </c>
      <c r="Z4" s="44">
        <f t="shared" si="2"/>
        <v>70428.350000000006</v>
      </c>
      <c r="AA4" s="44">
        <f t="shared" si="3"/>
        <v>84417.35</v>
      </c>
      <c r="AB4" s="111">
        <f t="shared" si="4"/>
        <v>643910.7627247707</v>
      </c>
      <c r="AC4" s="115"/>
      <c r="AD4" s="169">
        <v>5000</v>
      </c>
      <c r="AE4" s="170">
        <v>8000</v>
      </c>
      <c r="AF4" s="171">
        <v>57428.35</v>
      </c>
      <c r="AG4" s="172">
        <f t="shared" si="5"/>
        <v>70428.350000000006</v>
      </c>
    </row>
    <row r="5" spans="1:33" x14ac:dyDescent="0.2">
      <c r="A5" s="35" t="s">
        <v>105</v>
      </c>
      <c r="B5" s="177" t="s">
        <v>566</v>
      </c>
      <c r="C5" s="36" t="s">
        <v>578</v>
      </c>
      <c r="D5" s="36" t="s">
        <v>822</v>
      </c>
      <c r="E5" s="36" t="s">
        <v>920</v>
      </c>
      <c r="F5" s="39">
        <v>10503</v>
      </c>
      <c r="G5" s="40">
        <v>90846.18</v>
      </c>
      <c r="H5" s="39">
        <v>4535</v>
      </c>
      <c r="I5" s="40">
        <v>36552.1</v>
      </c>
      <c r="J5" s="36" t="s">
        <v>571</v>
      </c>
      <c r="K5" s="41">
        <v>8.9473586384503392</v>
      </c>
      <c r="L5" s="105">
        <v>0</v>
      </c>
      <c r="M5" s="44">
        <v>17862</v>
      </c>
      <c r="N5" s="41">
        <v>169705.23818181816</v>
      </c>
      <c r="O5" s="92">
        <v>16361.999999999998</v>
      </c>
      <c r="P5" s="43">
        <v>1500.0000000000018</v>
      </c>
      <c r="Q5" s="43">
        <v>2138</v>
      </c>
      <c r="R5" s="43">
        <v>19129.452769006824</v>
      </c>
      <c r="S5" s="44">
        <v>20000</v>
      </c>
      <c r="T5" s="45">
        <f t="shared" si="0"/>
        <v>178947.17276900678</v>
      </c>
      <c r="U5" s="50">
        <v>17862</v>
      </c>
      <c r="V5" s="106">
        <v>159817.71999999997</v>
      </c>
      <c r="W5" s="97">
        <v>28.96</v>
      </c>
      <c r="X5" s="44">
        <v>100</v>
      </c>
      <c r="Y5" s="41">
        <f t="shared" si="1"/>
        <v>2896</v>
      </c>
      <c r="Z5" s="44">
        <f t="shared" si="2"/>
        <v>15250</v>
      </c>
      <c r="AA5" s="44">
        <f t="shared" si="3"/>
        <v>15350</v>
      </c>
      <c r="AB5" s="111">
        <f t="shared" si="4"/>
        <v>444536</v>
      </c>
      <c r="AC5" s="115"/>
      <c r="AD5" s="169">
        <v>15000</v>
      </c>
      <c r="AE5" s="170">
        <v>250</v>
      </c>
      <c r="AF5" s="171">
        <v>0</v>
      </c>
      <c r="AG5" s="172">
        <f t="shared" si="5"/>
        <v>15250</v>
      </c>
    </row>
    <row r="6" spans="1:33" x14ac:dyDescent="0.2">
      <c r="A6" s="35" t="s">
        <v>143</v>
      </c>
      <c r="B6" s="36" t="s">
        <v>566</v>
      </c>
      <c r="C6" s="36" t="s">
        <v>578</v>
      </c>
      <c r="D6" s="36" t="s">
        <v>820</v>
      </c>
      <c r="E6" s="36" t="s">
        <v>920</v>
      </c>
      <c r="F6" s="39">
        <v>29320</v>
      </c>
      <c r="G6" s="40">
        <v>224066.00000000003</v>
      </c>
      <c r="H6" s="39">
        <v>38813</v>
      </c>
      <c r="I6" s="40">
        <v>308182.60000000003</v>
      </c>
      <c r="J6" s="36" t="s">
        <v>578</v>
      </c>
      <c r="K6" s="41">
        <v>8.1284833095371489</v>
      </c>
      <c r="L6" s="105">
        <v>0</v>
      </c>
      <c r="M6" s="44">
        <v>34888</v>
      </c>
      <c r="N6" s="41">
        <v>267485.37061340734</v>
      </c>
      <c r="O6" s="92">
        <v>53914</v>
      </c>
      <c r="P6" s="43">
        <v>-19026</v>
      </c>
      <c r="Q6" s="43">
        <v>10112</v>
      </c>
      <c r="R6" s="43">
        <v>82195.223226039656</v>
      </c>
      <c r="S6" s="44">
        <v>45000</v>
      </c>
      <c r="T6" s="45">
        <f t="shared" si="0"/>
        <v>365781.74892917171</v>
      </c>
      <c r="U6" s="50">
        <v>55331</v>
      </c>
      <c r="V6" s="106">
        <v>449757.11</v>
      </c>
      <c r="W6" s="97">
        <v>10.565769230769231</v>
      </c>
      <c r="X6" s="44">
        <v>540</v>
      </c>
      <c r="Y6" s="41">
        <f t="shared" si="1"/>
        <v>5705.5153846153844</v>
      </c>
      <c r="Z6" s="44">
        <f t="shared" si="2"/>
        <v>39772.5</v>
      </c>
      <c r="AA6" s="44">
        <f t="shared" si="3"/>
        <v>40312.5</v>
      </c>
      <c r="AB6" s="111">
        <f t="shared" si="4"/>
        <v>425932.57211538462</v>
      </c>
      <c r="AC6" s="115"/>
      <c r="AD6" s="169">
        <v>100</v>
      </c>
      <c r="AE6" s="170">
        <v>0</v>
      </c>
      <c r="AF6" s="171">
        <v>39672.5</v>
      </c>
      <c r="AG6" s="172">
        <f t="shared" si="5"/>
        <v>39772.5</v>
      </c>
    </row>
    <row r="7" spans="1:33" x14ac:dyDescent="0.2">
      <c r="A7" s="35" t="s">
        <v>65</v>
      </c>
      <c r="B7" s="36" t="s">
        <v>566</v>
      </c>
      <c r="C7" s="36" t="s">
        <v>578</v>
      </c>
      <c r="D7" s="36" t="s">
        <v>821</v>
      </c>
      <c r="E7" s="36" t="s">
        <v>920</v>
      </c>
      <c r="F7" s="39">
        <v>17555</v>
      </c>
      <c r="G7" s="40">
        <v>120427.06999999999</v>
      </c>
      <c r="H7" s="39">
        <v>39301</v>
      </c>
      <c r="I7" s="40">
        <v>275395.14999999997</v>
      </c>
      <c r="J7" s="36" t="s">
        <v>578</v>
      </c>
      <c r="K7" s="41">
        <v>8.1371178828415509</v>
      </c>
      <c r="L7" s="105">
        <v>2500</v>
      </c>
      <c r="M7" s="44">
        <v>21500</v>
      </c>
      <c r="N7" s="41">
        <v>132445.71428571429</v>
      </c>
      <c r="O7" s="92">
        <v>32000</v>
      </c>
      <c r="P7" s="43">
        <v>-10500</v>
      </c>
      <c r="Q7" s="43">
        <v>4000</v>
      </c>
      <c r="R7" s="43">
        <v>32548.471531366202</v>
      </c>
      <c r="S7" s="44">
        <v>28000</v>
      </c>
      <c r="T7" s="45">
        <f t="shared" si="0"/>
        <v>227839.30071956341</v>
      </c>
      <c r="U7" s="50">
        <v>41414</v>
      </c>
      <c r="V7" s="106">
        <v>336990.6</v>
      </c>
      <c r="W7" s="97">
        <v>9.5171621621621618</v>
      </c>
      <c r="X7" s="44">
        <v>18400</v>
      </c>
      <c r="Y7" s="41">
        <f t="shared" si="1"/>
        <v>175115.78378378379</v>
      </c>
      <c r="Z7" s="44">
        <f t="shared" si="2"/>
        <v>33705.649999999994</v>
      </c>
      <c r="AA7" s="44">
        <f t="shared" si="3"/>
        <v>52105.649999999994</v>
      </c>
      <c r="AB7" s="111">
        <f t="shared" si="4"/>
        <v>495897.92061486479</v>
      </c>
      <c r="AC7" s="115"/>
      <c r="AD7" s="169">
        <v>0</v>
      </c>
      <c r="AE7" s="170">
        <v>6000</v>
      </c>
      <c r="AF7" s="171">
        <v>27705.649999999998</v>
      </c>
      <c r="AG7" s="172">
        <f t="shared" si="5"/>
        <v>33705.649999999994</v>
      </c>
    </row>
    <row r="8" spans="1:33" x14ac:dyDescent="0.2">
      <c r="A8" s="35" t="s">
        <v>87</v>
      </c>
      <c r="B8" s="36" t="s">
        <v>566</v>
      </c>
      <c r="C8" s="36" t="s">
        <v>578</v>
      </c>
      <c r="D8" s="36" t="s">
        <v>820</v>
      </c>
      <c r="E8" s="36" t="s">
        <v>920</v>
      </c>
      <c r="F8" s="39">
        <v>21600</v>
      </c>
      <c r="G8" s="40">
        <v>128988</v>
      </c>
      <c r="H8" s="39">
        <v>31937</v>
      </c>
      <c r="I8" s="40">
        <v>185074.75</v>
      </c>
      <c r="J8" s="36" t="s">
        <v>578</v>
      </c>
      <c r="K8" s="41">
        <v>6.8930275981419067</v>
      </c>
      <c r="L8" s="105">
        <v>0</v>
      </c>
      <c r="M8" s="44">
        <v>20337</v>
      </c>
      <c r="N8" s="41">
        <v>117964.38046249181</v>
      </c>
      <c r="O8" s="92">
        <v>32117</v>
      </c>
      <c r="P8" s="43">
        <v>-11780</v>
      </c>
      <c r="Q8" s="43">
        <v>14663</v>
      </c>
      <c r="R8" s="43">
        <v>101072.46367155478</v>
      </c>
      <c r="S8" s="44">
        <v>35000</v>
      </c>
      <c r="T8" s="45">
        <f t="shared" si="0"/>
        <v>241255.96593496672</v>
      </c>
      <c r="U8" s="50">
        <v>32937</v>
      </c>
      <c r="V8" s="106">
        <v>227035.65</v>
      </c>
      <c r="W8" s="97">
        <v>9.566101694915254</v>
      </c>
      <c r="X8" s="44">
        <v>7400</v>
      </c>
      <c r="Y8" s="41">
        <f t="shared" si="1"/>
        <v>70789.152542372874</v>
      </c>
      <c r="Z8" s="44">
        <f t="shared" si="2"/>
        <v>30536.25</v>
      </c>
      <c r="AA8" s="44">
        <f t="shared" si="3"/>
        <v>37936.25</v>
      </c>
      <c r="AB8" s="111">
        <f t="shared" si="4"/>
        <v>362902.0254237288</v>
      </c>
      <c r="AC8" s="115"/>
      <c r="AD8" s="169">
        <v>23000</v>
      </c>
      <c r="AE8" s="170">
        <v>1000</v>
      </c>
      <c r="AF8" s="171">
        <v>6536.25</v>
      </c>
      <c r="AG8" s="172">
        <f t="shared" si="5"/>
        <v>30536.25</v>
      </c>
    </row>
    <row r="9" spans="1:33" x14ac:dyDescent="0.2">
      <c r="A9" s="35" t="s">
        <v>155</v>
      </c>
      <c r="B9" s="36" t="s">
        <v>566</v>
      </c>
      <c r="C9" s="36" t="s">
        <v>578</v>
      </c>
      <c r="D9" s="36" t="s">
        <v>820</v>
      </c>
      <c r="E9" s="36" t="s">
        <v>920</v>
      </c>
      <c r="F9" s="39">
        <v>29520</v>
      </c>
      <c r="G9" s="40">
        <v>253249.05</v>
      </c>
      <c r="H9" s="39">
        <v>44234</v>
      </c>
      <c r="I9" s="40">
        <v>389149.03999999986</v>
      </c>
      <c r="J9" s="36" t="s">
        <v>578</v>
      </c>
      <c r="K9" s="41">
        <v>9.1337692307692304</v>
      </c>
      <c r="L9" s="105">
        <v>0</v>
      </c>
      <c r="M9" s="44">
        <v>20000</v>
      </c>
      <c r="N9" s="41">
        <v>131124</v>
      </c>
      <c r="O9" s="92">
        <v>43687.333333333328</v>
      </c>
      <c r="P9" s="43">
        <v>-23687.333333333328</v>
      </c>
      <c r="Q9" s="43">
        <v>17317</v>
      </c>
      <c r="R9" s="43">
        <v>158169.48176923077</v>
      </c>
      <c r="S9" s="44">
        <v>37317</v>
      </c>
      <c r="T9" s="45">
        <f t="shared" si="0"/>
        <v>340844.86638461536</v>
      </c>
      <c r="U9" s="50">
        <v>26000</v>
      </c>
      <c r="V9" s="106">
        <v>237478</v>
      </c>
      <c r="W9" s="97">
        <v>9.3928571428571423</v>
      </c>
      <c r="X9" s="44">
        <v>17000</v>
      </c>
      <c r="Y9" s="41">
        <f t="shared" si="1"/>
        <v>159678.57142857142</v>
      </c>
      <c r="Z9" s="44">
        <f t="shared" si="2"/>
        <v>14675</v>
      </c>
      <c r="AA9" s="44">
        <f t="shared" si="3"/>
        <v>31675</v>
      </c>
      <c r="AB9" s="111">
        <f t="shared" si="4"/>
        <v>297518.75</v>
      </c>
      <c r="AC9" s="115"/>
      <c r="AD9" s="169">
        <v>3500</v>
      </c>
      <c r="AE9" s="170">
        <v>0</v>
      </c>
      <c r="AF9" s="171">
        <v>11175</v>
      </c>
      <c r="AG9" s="172">
        <f t="shared" si="5"/>
        <v>14675</v>
      </c>
    </row>
    <row r="10" spans="1:33" x14ac:dyDescent="0.2">
      <c r="A10" s="35" t="s">
        <v>177</v>
      </c>
      <c r="B10" s="36" t="s">
        <v>566</v>
      </c>
      <c r="C10" s="36" t="s">
        <v>578</v>
      </c>
      <c r="D10" s="36" t="s">
        <v>820</v>
      </c>
      <c r="E10" s="36" t="s">
        <v>920</v>
      </c>
      <c r="F10" s="39">
        <v>6475</v>
      </c>
      <c r="G10" s="40">
        <v>100667.44</v>
      </c>
      <c r="H10" s="39">
        <v>16125</v>
      </c>
      <c r="I10" s="40">
        <v>246967.5</v>
      </c>
      <c r="J10" s="36" t="s">
        <v>578</v>
      </c>
      <c r="K10" s="41">
        <v>16.287367321750686</v>
      </c>
      <c r="L10" s="105">
        <v>0</v>
      </c>
      <c r="M10" s="44">
        <v>3920</v>
      </c>
      <c r="N10" s="41">
        <v>50982.171428571433</v>
      </c>
      <c r="O10" s="92">
        <v>16250</v>
      </c>
      <c r="P10" s="43">
        <v>-12330</v>
      </c>
      <c r="Q10" s="43">
        <v>8618</v>
      </c>
      <c r="R10" s="43">
        <v>140364.53157884741</v>
      </c>
      <c r="S10" s="44">
        <v>12538</v>
      </c>
      <c r="T10" s="45">
        <f t="shared" si="0"/>
        <v>204211.01148011012</v>
      </c>
      <c r="U10" s="50">
        <v>21066</v>
      </c>
      <c r="V10" s="106">
        <v>343109.68</v>
      </c>
      <c r="W10" s="97">
        <v>16.32</v>
      </c>
      <c r="X10" s="44">
        <v>9000</v>
      </c>
      <c r="Y10" s="41">
        <f t="shared" si="1"/>
        <v>146880</v>
      </c>
      <c r="Z10" s="44">
        <f t="shared" si="2"/>
        <v>8857.9</v>
      </c>
      <c r="AA10" s="44">
        <f t="shared" si="3"/>
        <v>17857.900000000001</v>
      </c>
      <c r="AB10" s="111">
        <f t="shared" si="4"/>
        <v>291440.92800000001</v>
      </c>
      <c r="AC10" s="115"/>
      <c r="AD10" s="169">
        <v>0</v>
      </c>
      <c r="AE10" s="170">
        <v>0</v>
      </c>
      <c r="AF10" s="171">
        <v>8857.9</v>
      </c>
      <c r="AG10" s="172">
        <f t="shared" si="5"/>
        <v>8857.9</v>
      </c>
    </row>
    <row r="11" spans="1:33" x14ac:dyDescent="0.2">
      <c r="A11" s="35" t="s">
        <v>171</v>
      </c>
      <c r="B11" s="36" t="s">
        <v>566</v>
      </c>
      <c r="C11" s="36" t="s">
        <v>578</v>
      </c>
      <c r="D11" s="36" t="s">
        <v>820</v>
      </c>
      <c r="E11" s="36" t="s">
        <v>920</v>
      </c>
      <c r="F11" s="39">
        <v>14412</v>
      </c>
      <c r="G11" s="40">
        <v>175509.8</v>
      </c>
      <c r="H11" s="39">
        <v>21787</v>
      </c>
      <c r="I11" s="40">
        <v>269384.76999999996</v>
      </c>
      <c r="J11" s="36" t="s">
        <v>578</v>
      </c>
      <c r="K11" s="41">
        <v>13.69308255769125</v>
      </c>
      <c r="L11" s="105">
        <v>0</v>
      </c>
      <c r="M11" s="44">
        <v>6997</v>
      </c>
      <c r="N11" s="41">
        <v>54807.301659751043</v>
      </c>
      <c r="O11" s="92">
        <v>15499</v>
      </c>
      <c r="P11" s="43">
        <v>-8502</v>
      </c>
      <c r="Q11" s="43">
        <v>6078</v>
      </c>
      <c r="R11" s="43">
        <v>83226.555785647419</v>
      </c>
      <c r="S11" s="44">
        <v>13075</v>
      </c>
      <c r="T11" s="45">
        <f t="shared" si="0"/>
        <v>179037.05444181309</v>
      </c>
      <c r="U11" s="50">
        <v>18157</v>
      </c>
      <c r="V11" s="106">
        <v>248625.30000000002</v>
      </c>
      <c r="W11" s="97">
        <v>15.959047619047618</v>
      </c>
      <c r="X11" s="44">
        <v>7700</v>
      </c>
      <c r="Y11" s="41">
        <f t="shared" si="1"/>
        <v>122884.66666666666</v>
      </c>
      <c r="Z11" s="44">
        <f t="shared" si="2"/>
        <v>10030</v>
      </c>
      <c r="AA11" s="44">
        <f t="shared" si="3"/>
        <v>17730</v>
      </c>
      <c r="AB11" s="111">
        <f t="shared" si="4"/>
        <v>282953.91428571427</v>
      </c>
      <c r="AC11" s="115"/>
      <c r="AD11" s="169">
        <v>400</v>
      </c>
      <c r="AE11" s="170">
        <v>0</v>
      </c>
      <c r="AF11" s="171">
        <v>9630</v>
      </c>
      <c r="AG11" s="172">
        <f t="shared" si="5"/>
        <v>10030</v>
      </c>
    </row>
    <row r="12" spans="1:33" x14ac:dyDescent="0.2">
      <c r="A12" s="35" t="s">
        <v>931</v>
      </c>
      <c r="B12" s="36" t="s">
        <v>554</v>
      </c>
      <c r="C12" s="36"/>
      <c r="D12" s="36"/>
      <c r="E12" s="36" t="s">
        <v>920</v>
      </c>
      <c r="F12" s="39"/>
      <c r="G12" s="40"/>
      <c r="H12" s="39"/>
      <c r="I12" s="40"/>
      <c r="J12" s="36"/>
      <c r="K12" s="41"/>
      <c r="L12" s="105"/>
      <c r="M12" s="44"/>
      <c r="N12" s="41"/>
      <c r="O12" s="92"/>
      <c r="P12" s="36"/>
      <c r="Q12" s="36"/>
      <c r="R12" s="36"/>
      <c r="S12" s="44"/>
      <c r="T12" s="36"/>
      <c r="U12" s="36"/>
      <c r="V12" s="106"/>
      <c r="W12" s="97">
        <v>464.84999999999997</v>
      </c>
      <c r="X12" s="44">
        <v>504</v>
      </c>
      <c r="Y12" s="41">
        <f t="shared" si="1"/>
        <v>234284.4</v>
      </c>
      <c r="Z12" s="44">
        <f t="shared" si="2"/>
        <v>0</v>
      </c>
      <c r="AA12" s="44">
        <f t="shared" si="3"/>
        <v>504</v>
      </c>
      <c r="AB12" s="111">
        <f t="shared" si="4"/>
        <v>234284.4</v>
      </c>
      <c r="AC12" s="115"/>
      <c r="AD12" s="169">
        <v>0</v>
      </c>
      <c r="AE12" s="170">
        <v>0</v>
      </c>
      <c r="AF12" s="171">
        <v>0</v>
      </c>
      <c r="AG12" s="172">
        <f t="shared" si="5"/>
        <v>0</v>
      </c>
    </row>
    <row r="13" spans="1:33" x14ac:dyDescent="0.2">
      <c r="A13" s="35" t="s">
        <v>928</v>
      </c>
      <c r="B13" s="36" t="s">
        <v>554</v>
      </c>
      <c r="C13" s="36"/>
      <c r="D13" s="36"/>
      <c r="E13" s="36" t="s">
        <v>920</v>
      </c>
      <c r="F13" s="39"/>
      <c r="G13" s="40"/>
      <c r="H13" s="39"/>
      <c r="I13" s="40"/>
      <c r="J13" s="36"/>
      <c r="K13" s="41"/>
      <c r="L13" s="105"/>
      <c r="M13" s="44"/>
      <c r="N13" s="41"/>
      <c r="O13" s="92"/>
      <c r="P13" s="36"/>
      <c r="Q13" s="36"/>
      <c r="R13" s="36"/>
      <c r="S13" s="44"/>
      <c r="T13" s="36"/>
      <c r="U13" s="36"/>
      <c r="V13" s="106"/>
      <c r="W13" s="97">
        <v>154.1</v>
      </c>
      <c r="X13" s="44">
        <v>1100</v>
      </c>
      <c r="Y13" s="41">
        <f t="shared" si="1"/>
        <v>169510</v>
      </c>
      <c r="Z13" s="44">
        <f t="shared" si="2"/>
        <v>410.55</v>
      </c>
      <c r="AA13" s="44">
        <f t="shared" si="3"/>
        <v>1510.55</v>
      </c>
      <c r="AB13" s="111">
        <f t="shared" si="4"/>
        <v>232775.75499999998</v>
      </c>
      <c r="AC13" s="115"/>
      <c r="AD13" s="169">
        <v>0</v>
      </c>
      <c r="AE13" s="170">
        <v>0</v>
      </c>
      <c r="AF13" s="171">
        <v>410.55</v>
      </c>
      <c r="AG13" s="172">
        <f t="shared" si="5"/>
        <v>410.55</v>
      </c>
    </row>
    <row r="14" spans="1:33" x14ac:dyDescent="0.2">
      <c r="A14" s="35" t="s">
        <v>135</v>
      </c>
      <c r="B14" s="36" t="s">
        <v>566</v>
      </c>
      <c r="C14" s="36" t="s">
        <v>578</v>
      </c>
      <c r="D14" s="36" t="s">
        <v>823</v>
      </c>
      <c r="E14" s="36" t="s">
        <v>920</v>
      </c>
      <c r="F14" s="39">
        <v>6469</v>
      </c>
      <c r="G14" s="40">
        <v>139334.82</v>
      </c>
      <c r="H14" s="39">
        <v>3836</v>
      </c>
      <c r="I14" s="40">
        <v>97290.98</v>
      </c>
      <c r="J14" s="36" t="s">
        <v>578</v>
      </c>
      <c r="K14" s="41">
        <v>22.740674354474805</v>
      </c>
      <c r="L14" s="105">
        <v>0</v>
      </c>
      <c r="M14" s="44">
        <v>5116</v>
      </c>
      <c r="N14" s="41">
        <v>110888.76</v>
      </c>
      <c r="O14" s="92">
        <v>4442.666666666667</v>
      </c>
      <c r="P14" s="43">
        <v>673.33333333333303</v>
      </c>
      <c r="Q14" s="43">
        <v>2384</v>
      </c>
      <c r="R14" s="43">
        <v>54213.767661067934</v>
      </c>
      <c r="S14" s="44">
        <v>7500</v>
      </c>
      <c r="T14" s="45">
        <f t="shared" ref="T14:T52" si="6">S14*K14</f>
        <v>170555.05765856104</v>
      </c>
      <c r="U14" s="50">
        <v>7978</v>
      </c>
      <c r="V14" s="106">
        <v>181425.1</v>
      </c>
      <c r="W14" s="97">
        <v>25.20888888888889</v>
      </c>
      <c r="X14" s="44">
        <v>1800</v>
      </c>
      <c r="Y14" s="41">
        <f t="shared" si="1"/>
        <v>45376</v>
      </c>
      <c r="Z14" s="44">
        <f t="shared" si="2"/>
        <v>5848.4</v>
      </c>
      <c r="AA14" s="44">
        <f t="shared" si="3"/>
        <v>7648.4</v>
      </c>
      <c r="AB14" s="111">
        <f t="shared" si="4"/>
        <v>192807.66577777779</v>
      </c>
      <c r="AC14" s="115"/>
      <c r="AD14" s="169">
        <v>2500</v>
      </c>
      <c r="AE14" s="170">
        <v>400</v>
      </c>
      <c r="AF14" s="171">
        <v>2948.4</v>
      </c>
      <c r="AG14" s="172">
        <f t="shared" si="5"/>
        <v>5848.4</v>
      </c>
    </row>
    <row r="15" spans="1:33" x14ac:dyDescent="0.2">
      <c r="A15" s="35" t="s">
        <v>137</v>
      </c>
      <c r="B15" s="36" t="s">
        <v>566</v>
      </c>
      <c r="C15" s="36" t="s">
        <v>578</v>
      </c>
      <c r="D15" s="36" t="s">
        <v>821</v>
      </c>
      <c r="E15" s="36" t="s">
        <v>920</v>
      </c>
      <c r="F15" s="39">
        <v>2447</v>
      </c>
      <c r="G15" s="40">
        <v>78104.909999999989</v>
      </c>
      <c r="H15" s="39">
        <v>7279</v>
      </c>
      <c r="I15" s="40">
        <v>237328.50999999998</v>
      </c>
      <c r="J15" s="36" t="s">
        <v>578</v>
      </c>
      <c r="K15" s="41">
        <v>34.100855704697985</v>
      </c>
      <c r="L15" s="105">
        <v>0</v>
      </c>
      <c r="M15" s="44">
        <v>1750</v>
      </c>
      <c r="N15" s="41">
        <v>53235</v>
      </c>
      <c r="O15" s="92">
        <v>2250</v>
      </c>
      <c r="P15" s="43">
        <v>-500</v>
      </c>
      <c r="Q15" s="43">
        <v>848.75</v>
      </c>
      <c r="R15" s="43">
        <v>28943.101279362414</v>
      </c>
      <c r="S15" s="44">
        <v>2598.75</v>
      </c>
      <c r="T15" s="45">
        <f t="shared" si="6"/>
        <v>88619.59876258389</v>
      </c>
      <c r="U15" s="50">
        <v>2384</v>
      </c>
      <c r="V15" s="106">
        <v>81296.44</v>
      </c>
      <c r="W15" s="97">
        <v>33.67</v>
      </c>
      <c r="X15" s="44">
        <v>1000</v>
      </c>
      <c r="Y15" s="41">
        <f t="shared" si="1"/>
        <v>33670</v>
      </c>
      <c r="Z15" s="44">
        <f t="shared" si="2"/>
        <v>4083.8</v>
      </c>
      <c r="AA15" s="44">
        <f t="shared" si="3"/>
        <v>5083.8</v>
      </c>
      <c r="AB15" s="111">
        <f t="shared" si="4"/>
        <v>171171.546</v>
      </c>
      <c r="AC15" s="115"/>
      <c r="AD15" s="169">
        <v>0</v>
      </c>
      <c r="AE15" s="170">
        <v>0</v>
      </c>
      <c r="AF15" s="171">
        <v>4083.8</v>
      </c>
      <c r="AG15" s="172">
        <f t="shared" si="5"/>
        <v>4083.8</v>
      </c>
    </row>
    <row r="16" spans="1:33" x14ac:dyDescent="0.2">
      <c r="A16" s="35" t="s">
        <v>41</v>
      </c>
      <c r="B16" s="36" t="s">
        <v>567</v>
      </c>
      <c r="C16" s="36" t="s">
        <v>571</v>
      </c>
      <c r="D16" s="36" t="s">
        <v>822</v>
      </c>
      <c r="E16" s="36" t="s">
        <v>920</v>
      </c>
      <c r="F16" s="39">
        <v>838</v>
      </c>
      <c r="G16" s="40">
        <v>10843.720000000001</v>
      </c>
      <c r="H16" s="39">
        <v>3527</v>
      </c>
      <c r="I16" s="40">
        <v>57360.119999999995</v>
      </c>
      <c r="J16" s="36" t="s">
        <v>578</v>
      </c>
      <c r="K16" s="41">
        <v>17.814016591410269</v>
      </c>
      <c r="L16" s="105">
        <v>50</v>
      </c>
      <c r="M16" s="44">
        <v>8300</v>
      </c>
      <c r="N16" s="41">
        <v>154564.54838709679</v>
      </c>
      <c r="O16" s="92">
        <v>3000</v>
      </c>
      <c r="P16" s="43">
        <v>5300</v>
      </c>
      <c r="Q16" s="43">
        <v>2391.5</v>
      </c>
      <c r="R16" s="43">
        <v>42602.220678357655</v>
      </c>
      <c r="S16" s="44">
        <v>10741.5</v>
      </c>
      <c r="T16" s="45">
        <f t="shared" si="6"/>
        <v>191349.25921663339</v>
      </c>
      <c r="U16" s="50">
        <v>9523</v>
      </c>
      <c r="V16" s="106">
        <v>169642.88</v>
      </c>
      <c r="W16" s="97">
        <v>19.86</v>
      </c>
      <c r="X16" s="44">
        <v>4500</v>
      </c>
      <c r="Y16" s="41">
        <f t="shared" si="1"/>
        <v>89370</v>
      </c>
      <c r="Z16" s="44">
        <f t="shared" si="2"/>
        <v>3105</v>
      </c>
      <c r="AA16" s="44">
        <f t="shared" si="3"/>
        <v>7605</v>
      </c>
      <c r="AB16" s="111">
        <f t="shared" si="4"/>
        <v>151035.29999999999</v>
      </c>
      <c r="AC16" s="115"/>
      <c r="AD16" s="169">
        <v>3000</v>
      </c>
      <c r="AE16" s="170">
        <v>0</v>
      </c>
      <c r="AF16" s="171">
        <v>105</v>
      </c>
      <c r="AG16" s="172">
        <f t="shared" si="5"/>
        <v>3105</v>
      </c>
    </row>
    <row r="17" spans="1:33" x14ac:dyDescent="0.2">
      <c r="A17" s="35" t="s">
        <v>97</v>
      </c>
      <c r="B17" s="36" t="s">
        <v>566</v>
      </c>
      <c r="C17" s="36" t="s">
        <v>578</v>
      </c>
      <c r="D17" s="36" t="s">
        <v>820</v>
      </c>
      <c r="E17" s="36" t="s">
        <v>920</v>
      </c>
      <c r="F17" s="39">
        <v>10844</v>
      </c>
      <c r="G17" s="40">
        <v>75934.600000000006</v>
      </c>
      <c r="H17" s="39">
        <v>38962</v>
      </c>
      <c r="I17" s="40">
        <v>270387.19</v>
      </c>
      <c r="J17" s="36" t="s">
        <v>578</v>
      </c>
      <c r="K17" s="41">
        <v>8.1854935029029576</v>
      </c>
      <c r="L17" s="105">
        <v>0</v>
      </c>
      <c r="M17" s="44">
        <v>12000</v>
      </c>
      <c r="N17" s="41">
        <v>94247.294117647063</v>
      </c>
      <c r="O17" s="92">
        <v>22750</v>
      </c>
      <c r="P17" s="43">
        <v>-10750</v>
      </c>
      <c r="Q17" s="43">
        <v>9157</v>
      </c>
      <c r="R17" s="43">
        <v>74954.564006082379</v>
      </c>
      <c r="S17" s="44">
        <v>21157</v>
      </c>
      <c r="T17" s="45">
        <f t="shared" si="6"/>
        <v>173180.48604091787</v>
      </c>
      <c r="U17" s="50">
        <v>21702</v>
      </c>
      <c r="V17" s="106">
        <v>177641.58</v>
      </c>
      <c r="W17" s="97">
        <v>7.73</v>
      </c>
      <c r="X17" s="44">
        <v>8505</v>
      </c>
      <c r="Y17" s="41">
        <f t="shared" si="1"/>
        <v>65743.650000000009</v>
      </c>
      <c r="Z17" s="44">
        <f t="shared" si="2"/>
        <v>15955</v>
      </c>
      <c r="AA17" s="44">
        <f t="shared" si="3"/>
        <v>24460</v>
      </c>
      <c r="AB17" s="111">
        <f t="shared" si="4"/>
        <v>189075.80000000002</v>
      </c>
      <c r="AC17" s="115"/>
      <c r="AD17" s="169">
        <v>5000</v>
      </c>
      <c r="AE17" s="170">
        <v>2500</v>
      </c>
      <c r="AF17" s="171">
        <v>8455</v>
      </c>
      <c r="AG17" s="172">
        <f t="shared" si="5"/>
        <v>15955</v>
      </c>
    </row>
    <row r="18" spans="1:33" x14ac:dyDescent="0.2">
      <c r="A18" s="35" t="s">
        <v>183</v>
      </c>
      <c r="B18" s="36" t="s">
        <v>566</v>
      </c>
      <c r="C18" s="36" t="s">
        <v>578</v>
      </c>
      <c r="D18" s="36" t="s">
        <v>820</v>
      </c>
      <c r="E18" s="36" t="s">
        <v>920</v>
      </c>
      <c r="F18" s="39">
        <v>3081</v>
      </c>
      <c r="G18" s="40">
        <v>66714.28</v>
      </c>
      <c r="H18" s="39">
        <v>8552</v>
      </c>
      <c r="I18" s="40">
        <v>165314.33000000002</v>
      </c>
      <c r="J18" s="36" t="s">
        <v>578</v>
      </c>
      <c r="K18" s="41">
        <v>18.965248386191409</v>
      </c>
      <c r="L18" s="105">
        <v>0</v>
      </c>
      <c r="M18" s="44">
        <v>5750</v>
      </c>
      <c r="N18" s="41">
        <v>99236.117886178865</v>
      </c>
      <c r="O18" s="92">
        <v>5514.8666666666668</v>
      </c>
      <c r="P18" s="43">
        <v>235.13333333333321</v>
      </c>
      <c r="Q18" s="43">
        <v>4788</v>
      </c>
      <c r="R18" s="43">
        <v>90805.609273084468</v>
      </c>
      <c r="S18" s="44">
        <v>10538</v>
      </c>
      <c r="T18" s="45">
        <f t="shared" si="6"/>
        <v>199855.78749368506</v>
      </c>
      <c r="U18" s="50">
        <v>7126</v>
      </c>
      <c r="V18" s="106">
        <v>135146.35999999999</v>
      </c>
      <c r="W18" s="97">
        <v>19.34</v>
      </c>
      <c r="X18" s="44">
        <v>2000</v>
      </c>
      <c r="Y18" s="41">
        <f t="shared" si="1"/>
        <v>38680</v>
      </c>
      <c r="Z18" s="44">
        <f t="shared" si="2"/>
        <v>6114</v>
      </c>
      <c r="AA18" s="44">
        <f t="shared" si="3"/>
        <v>8114</v>
      </c>
      <c r="AB18" s="111">
        <f t="shared" si="4"/>
        <v>156924.76</v>
      </c>
      <c r="AC18" s="115"/>
      <c r="AD18" s="169">
        <v>1500</v>
      </c>
      <c r="AE18" s="170">
        <v>50</v>
      </c>
      <c r="AF18" s="171">
        <v>4564</v>
      </c>
      <c r="AG18" s="172">
        <f t="shared" si="5"/>
        <v>6114</v>
      </c>
    </row>
    <row r="19" spans="1:33" x14ac:dyDescent="0.2">
      <c r="A19" s="35" t="s">
        <v>450</v>
      </c>
      <c r="B19" s="36" t="s">
        <v>567</v>
      </c>
      <c r="C19" s="36" t="s">
        <v>571</v>
      </c>
      <c r="D19" s="36" t="s">
        <v>776</v>
      </c>
      <c r="E19" s="36" t="s">
        <v>920</v>
      </c>
      <c r="F19" s="39">
        <v>13286</v>
      </c>
      <c r="G19" s="40">
        <v>224493.04</v>
      </c>
      <c r="H19" s="39">
        <v>1200</v>
      </c>
      <c r="I19" s="40">
        <v>22533</v>
      </c>
      <c r="J19" s="36" t="s">
        <v>578</v>
      </c>
      <c r="K19" s="41">
        <v>17.57</v>
      </c>
      <c r="L19" s="105">
        <v>0</v>
      </c>
      <c r="M19" s="44">
        <v>0</v>
      </c>
      <c r="N19" s="41">
        <v>0</v>
      </c>
      <c r="O19" s="92">
        <v>2500</v>
      </c>
      <c r="P19" s="43">
        <v>-2500</v>
      </c>
      <c r="Q19" s="43">
        <v>2500</v>
      </c>
      <c r="R19" s="43">
        <v>43925</v>
      </c>
      <c r="S19" s="44">
        <v>2500</v>
      </c>
      <c r="T19" s="45">
        <f t="shared" si="6"/>
        <v>43925</v>
      </c>
      <c r="U19" s="50">
        <v>2500</v>
      </c>
      <c r="V19" s="106">
        <v>43925</v>
      </c>
      <c r="W19" s="97">
        <v>17.57</v>
      </c>
      <c r="X19" s="44">
        <v>3500</v>
      </c>
      <c r="Y19" s="41">
        <f t="shared" si="1"/>
        <v>61495</v>
      </c>
      <c r="Z19" s="44">
        <f t="shared" si="2"/>
        <v>5871.6</v>
      </c>
      <c r="AA19" s="44">
        <f t="shared" si="3"/>
        <v>9371.6</v>
      </c>
      <c r="AB19" s="111">
        <f t="shared" si="4"/>
        <v>164659.01200000002</v>
      </c>
      <c r="AC19" s="115"/>
      <c r="AD19" s="169">
        <v>0</v>
      </c>
      <c r="AE19" s="170">
        <v>0</v>
      </c>
      <c r="AF19" s="171">
        <v>5871.6</v>
      </c>
      <c r="AG19" s="172">
        <f t="shared" si="5"/>
        <v>5871.6</v>
      </c>
    </row>
    <row r="20" spans="1:33" x14ac:dyDescent="0.2">
      <c r="A20" s="35" t="s">
        <v>185</v>
      </c>
      <c r="B20" s="36" t="s">
        <v>1031</v>
      </c>
      <c r="C20" s="36" t="s">
        <v>571</v>
      </c>
      <c r="D20" s="36" t="s">
        <v>814</v>
      </c>
      <c r="E20" s="36" t="s">
        <v>920</v>
      </c>
      <c r="F20" s="39">
        <v>0</v>
      </c>
      <c r="G20" s="40">
        <v>0</v>
      </c>
      <c r="H20" s="39">
        <v>0</v>
      </c>
      <c r="I20" s="40">
        <v>0</v>
      </c>
      <c r="J20" s="36" t="s">
        <v>571</v>
      </c>
      <c r="K20" s="41">
        <v>156.54</v>
      </c>
      <c r="L20" s="105">
        <v>0</v>
      </c>
      <c r="M20" s="44">
        <v>750</v>
      </c>
      <c r="N20" s="41">
        <v>78270</v>
      </c>
      <c r="O20" s="92">
        <v>500</v>
      </c>
      <c r="P20" s="43">
        <v>250</v>
      </c>
      <c r="Q20" s="43">
        <v>0</v>
      </c>
      <c r="R20" s="43">
        <v>0</v>
      </c>
      <c r="S20" s="44">
        <v>750</v>
      </c>
      <c r="T20" s="45">
        <f t="shared" si="6"/>
        <v>117405</v>
      </c>
      <c r="U20" s="50">
        <v>750</v>
      </c>
      <c r="V20" s="106">
        <v>117405</v>
      </c>
      <c r="W20" s="97">
        <v>160.14251046025103</v>
      </c>
      <c r="X20" s="44">
        <v>478</v>
      </c>
      <c r="Y20" s="41">
        <f t="shared" si="1"/>
        <v>76548.12</v>
      </c>
      <c r="Z20" s="44">
        <f t="shared" si="2"/>
        <v>500</v>
      </c>
      <c r="AA20" s="44">
        <f t="shared" si="3"/>
        <v>978</v>
      </c>
      <c r="AB20" s="111">
        <f t="shared" si="4"/>
        <v>156619.3752301255</v>
      </c>
      <c r="AC20" s="115"/>
      <c r="AD20" s="169">
        <v>0</v>
      </c>
      <c r="AE20" s="170">
        <v>0</v>
      </c>
      <c r="AF20" s="171">
        <v>500</v>
      </c>
      <c r="AG20" s="172">
        <f t="shared" si="5"/>
        <v>500</v>
      </c>
    </row>
    <row r="21" spans="1:33" x14ac:dyDescent="0.2">
      <c r="A21" s="35" t="s">
        <v>119</v>
      </c>
      <c r="B21" s="36" t="s">
        <v>566</v>
      </c>
      <c r="C21" s="36" t="s">
        <v>578</v>
      </c>
      <c r="D21" s="36" t="s">
        <v>820</v>
      </c>
      <c r="E21" s="36" t="s">
        <v>920</v>
      </c>
      <c r="F21" s="39">
        <v>10702</v>
      </c>
      <c r="G21" s="40">
        <v>99242.82</v>
      </c>
      <c r="H21" s="39">
        <v>12119</v>
      </c>
      <c r="I21" s="40">
        <v>132569.70000000001</v>
      </c>
      <c r="J21" s="36" t="s">
        <v>578</v>
      </c>
      <c r="K21" s="41">
        <v>11.577108532703562</v>
      </c>
      <c r="L21" s="105">
        <v>0</v>
      </c>
      <c r="M21" s="44">
        <v>3875</v>
      </c>
      <c r="N21" s="41">
        <v>31167.499999999996</v>
      </c>
      <c r="O21" s="92">
        <v>13759.666666666666</v>
      </c>
      <c r="P21" s="43">
        <v>-9884.6666666666661</v>
      </c>
      <c r="Q21" s="43">
        <v>5509.375</v>
      </c>
      <c r="R21" s="43">
        <v>63782.632322363686</v>
      </c>
      <c r="S21" s="44">
        <v>9384.375</v>
      </c>
      <c r="T21" s="45">
        <f t="shared" si="6"/>
        <v>108643.92788659</v>
      </c>
      <c r="U21" s="50">
        <v>9739</v>
      </c>
      <c r="V21" s="106">
        <v>112749.45999999999</v>
      </c>
      <c r="W21" s="97">
        <v>14.02</v>
      </c>
      <c r="X21" s="44">
        <v>5000</v>
      </c>
      <c r="Y21" s="41">
        <f t="shared" si="1"/>
        <v>70100</v>
      </c>
      <c r="Z21" s="44">
        <f t="shared" si="2"/>
        <v>10125</v>
      </c>
      <c r="AA21" s="44">
        <f t="shared" si="3"/>
        <v>15125</v>
      </c>
      <c r="AB21" s="111">
        <f t="shared" si="4"/>
        <v>212052.5</v>
      </c>
      <c r="AC21" s="115"/>
      <c r="AD21" s="169">
        <v>6000</v>
      </c>
      <c r="AE21" s="170">
        <v>625</v>
      </c>
      <c r="AF21" s="171">
        <v>3500</v>
      </c>
      <c r="AG21" s="172">
        <f t="shared" si="5"/>
        <v>10125</v>
      </c>
    </row>
    <row r="22" spans="1:33" x14ac:dyDescent="0.2">
      <c r="A22" s="35" t="s">
        <v>25</v>
      </c>
      <c r="B22" s="36" t="s">
        <v>566</v>
      </c>
      <c r="C22" s="36" t="s">
        <v>578</v>
      </c>
      <c r="D22" s="36" t="s">
        <v>821</v>
      </c>
      <c r="E22" s="36" t="s">
        <v>920</v>
      </c>
      <c r="F22" s="39">
        <v>1037</v>
      </c>
      <c r="G22" s="40">
        <v>46567.9</v>
      </c>
      <c r="H22" s="39">
        <v>3221</v>
      </c>
      <c r="I22" s="40">
        <v>93447.96</v>
      </c>
      <c r="J22" s="36" t="s">
        <v>578</v>
      </c>
      <c r="K22" s="41">
        <v>17.241534155696073</v>
      </c>
      <c r="L22" s="105">
        <v>0</v>
      </c>
      <c r="M22" s="44">
        <v>5738</v>
      </c>
      <c r="N22" s="41">
        <v>78449.42</v>
      </c>
      <c r="O22" s="92">
        <v>11904.333333333334</v>
      </c>
      <c r="P22" s="43">
        <v>-6166.3333333333339</v>
      </c>
      <c r="Q22" s="43">
        <v>1466.8900000000003</v>
      </c>
      <c r="R22" s="43">
        <v>25291.434037649018</v>
      </c>
      <c r="S22" s="44">
        <v>7204.89</v>
      </c>
      <c r="T22" s="45">
        <f t="shared" si="6"/>
        <v>124223.35702303308</v>
      </c>
      <c r="U22" s="50">
        <v>9647</v>
      </c>
      <c r="V22" s="106">
        <v>166329.08000000002</v>
      </c>
      <c r="W22" s="97">
        <v>17.438372093023254</v>
      </c>
      <c r="X22" s="44">
        <v>5375</v>
      </c>
      <c r="Y22" s="41">
        <f t="shared" si="1"/>
        <v>93731.249999999985</v>
      </c>
      <c r="Z22" s="44">
        <f t="shared" si="2"/>
        <v>4025</v>
      </c>
      <c r="AA22" s="44">
        <f t="shared" si="3"/>
        <v>9400</v>
      </c>
      <c r="AB22" s="111">
        <f t="shared" si="4"/>
        <v>163920.6976744186</v>
      </c>
      <c r="AC22" s="115"/>
      <c r="AD22" s="169">
        <v>0</v>
      </c>
      <c r="AE22" s="170">
        <v>0</v>
      </c>
      <c r="AF22" s="171">
        <v>4025</v>
      </c>
      <c r="AG22" s="172">
        <f t="shared" si="5"/>
        <v>4025</v>
      </c>
    </row>
    <row r="23" spans="1:33" x14ac:dyDescent="0.2">
      <c r="A23" s="35" t="s">
        <v>125</v>
      </c>
      <c r="B23" s="36" t="s">
        <v>566</v>
      </c>
      <c r="C23" s="36" t="s">
        <v>578</v>
      </c>
      <c r="D23" s="36" t="s">
        <v>823</v>
      </c>
      <c r="E23" s="36" t="s">
        <v>920</v>
      </c>
      <c r="F23" s="39">
        <v>10990</v>
      </c>
      <c r="G23" s="40">
        <v>146809.70000000001</v>
      </c>
      <c r="H23" s="39">
        <v>8247</v>
      </c>
      <c r="I23" s="40">
        <v>124389.62999999998</v>
      </c>
      <c r="J23" s="36" t="s">
        <v>578</v>
      </c>
      <c r="K23" s="41">
        <v>14.061368925393566</v>
      </c>
      <c r="L23" s="105">
        <v>0</v>
      </c>
      <c r="M23" s="44">
        <v>1850</v>
      </c>
      <c r="N23" s="41">
        <v>28975.324675324675</v>
      </c>
      <c r="O23" s="92">
        <v>15110.733333333334</v>
      </c>
      <c r="P23" s="43">
        <v>-13260.733333333334</v>
      </c>
      <c r="Q23" s="43">
        <v>8795</v>
      </c>
      <c r="R23" s="43">
        <v>123669.73969883642</v>
      </c>
      <c r="S23" s="44">
        <v>10645</v>
      </c>
      <c r="T23" s="45">
        <f t="shared" si="6"/>
        <v>149683.27221081452</v>
      </c>
      <c r="U23" s="50">
        <v>5844</v>
      </c>
      <c r="V23" s="106">
        <v>82174.64</v>
      </c>
      <c r="W23" s="97">
        <v>15.853043478260869</v>
      </c>
      <c r="X23" s="44">
        <v>1670</v>
      </c>
      <c r="Y23" s="41">
        <f t="shared" si="1"/>
        <v>26474.582608695651</v>
      </c>
      <c r="Z23" s="44">
        <f t="shared" si="2"/>
        <v>7734.95</v>
      </c>
      <c r="AA23" s="44">
        <f t="shared" si="3"/>
        <v>9404.9500000000007</v>
      </c>
      <c r="AB23" s="111">
        <f t="shared" si="4"/>
        <v>149097.08126086957</v>
      </c>
      <c r="AC23" s="115"/>
      <c r="AD23" s="169">
        <v>2000</v>
      </c>
      <c r="AE23" s="170">
        <v>129</v>
      </c>
      <c r="AF23" s="171">
        <v>5605.95</v>
      </c>
      <c r="AG23" s="172">
        <f t="shared" si="5"/>
        <v>7734.95</v>
      </c>
    </row>
    <row r="24" spans="1:33" x14ac:dyDescent="0.2">
      <c r="A24" s="35" t="s">
        <v>43</v>
      </c>
      <c r="B24" s="36" t="s">
        <v>566</v>
      </c>
      <c r="C24" s="36" t="s">
        <v>578</v>
      </c>
      <c r="D24" s="36" t="s">
        <v>820</v>
      </c>
      <c r="E24" s="36" t="s">
        <v>920</v>
      </c>
      <c r="F24" s="39">
        <v>16402</v>
      </c>
      <c r="G24" s="40">
        <v>102162.96</v>
      </c>
      <c r="H24" s="39">
        <v>20504</v>
      </c>
      <c r="I24" s="40">
        <v>146593.91999999998</v>
      </c>
      <c r="J24" s="36" t="s">
        <v>578</v>
      </c>
      <c r="K24" s="41">
        <v>7.6049619611158068</v>
      </c>
      <c r="L24" s="105">
        <v>0</v>
      </c>
      <c r="M24" s="44">
        <v>5210</v>
      </c>
      <c r="N24" s="41">
        <v>34376.616977928694</v>
      </c>
      <c r="O24" s="92">
        <v>19667</v>
      </c>
      <c r="P24" s="43">
        <v>-14457</v>
      </c>
      <c r="Q24" s="43">
        <v>12207.950000000004</v>
      </c>
      <c r="R24" s="43">
        <v>92840.995373203754</v>
      </c>
      <c r="S24" s="44">
        <v>17417.950000000004</v>
      </c>
      <c r="T24" s="45">
        <f t="shared" si="6"/>
        <v>132462.84719061709</v>
      </c>
      <c r="U24" s="50">
        <v>10647</v>
      </c>
      <c r="V24" s="106">
        <v>80970.03</v>
      </c>
      <c r="W24" s="97">
        <v>10.49</v>
      </c>
      <c r="X24" s="44">
        <v>8000</v>
      </c>
      <c r="Y24" s="41">
        <f t="shared" si="1"/>
        <v>83920</v>
      </c>
      <c r="Z24" s="44">
        <f t="shared" si="2"/>
        <v>8557.5</v>
      </c>
      <c r="AA24" s="44">
        <f t="shared" si="3"/>
        <v>16557.5</v>
      </c>
      <c r="AB24" s="111">
        <f t="shared" si="4"/>
        <v>173688.17500000002</v>
      </c>
      <c r="AC24" s="115"/>
      <c r="AD24" s="169">
        <v>3000</v>
      </c>
      <c r="AE24" s="170">
        <v>320</v>
      </c>
      <c r="AF24" s="171">
        <v>5237.5</v>
      </c>
      <c r="AG24" s="172">
        <f t="shared" si="5"/>
        <v>8557.5</v>
      </c>
    </row>
    <row r="25" spans="1:33" x14ac:dyDescent="0.2">
      <c r="A25" s="35" t="s">
        <v>89</v>
      </c>
      <c r="B25" s="36" t="s">
        <v>567</v>
      </c>
      <c r="C25" s="36" t="s">
        <v>571</v>
      </c>
      <c r="D25" s="36" t="s">
        <v>761</v>
      </c>
      <c r="E25" s="36" t="s">
        <v>920</v>
      </c>
      <c r="F25" s="39">
        <v>0</v>
      </c>
      <c r="G25" s="40">
        <v>0</v>
      </c>
      <c r="H25" s="39">
        <v>0</v>
      </c>
      <c r="I25" s="40">
        <v>0</v>
      </c>
      <c r="J25" s="36" t="s">
        <v>571</v>
      </c>
      <c r="K25" s="41">
        <v>19.22</v>
      </c>
      <c r="L25" s="105">
        <v>0</v>
      </c>
      <c r="M25" s="44">
        <v>500</v>
      </c>
      <c r="N25" s="41">
        <v>9610</v>
      </c>
      <c r="O25" s="92">
        <v>0</v>
      </c>
      <c r="P25" s="43">
        <v>500</v>
      </c>
      <c r="Q25" s="43">
        <v>77.5</v>
      </c>
      <c r="R25" s="43">
        <v>1489.55</v>
      </c>
      <c r="S25" s="44">
        <v>577.5</v>
      </c>
      <c r="T25" s="45">
        <f t="shared" si="6"/>
        <v>11099.55</v>
      </c>
      <c r="U25" s="50">
        <v>500</v>
      </c>
      <c r="V25" s="106">
        <v>9610</v>
      </c>
      <c r="W25" s="97">
        <v>18.494285714285713</v>
      </c>
      <c r="X25" s="44">
        <v>3500</v>
      </c>
      <c r="Y25" s="41">
        <f t="shared" si="1"/>
        <v>64729.999999999993</v>
      </c>
      <c r="Z25" s="44">
        <f t="shared" si="2"/>
        <v>3675</v>
      </c>
      <c r="AA25" s="44">
        <f t="shared" si="3"/>
        <v>7175</v>
      </c>
      <c r="AB25" s="111">
        <f t="shared" si="4"/>
        <v>132696.5</v>
      </c>
      <c r="AC25" s="115"/>
      <c r="AD25" s="169">
        <v>0</v>
      </c>
      <c r="AE25" s="170">
        <v>0</v>
      </c>
      <c r="AF25" s="171">
        <v>3675</v>
      </c>
      <c r="AG25" s="172">
        <f t="shared" si="5"/>
        <v>3675</v>
      </c>
    </row>
    <row r="26" spans="1:33" x14ac:dyDescent="0.2">
      <c r="A26" s="35" t="s">
        <v>103</v>
      </c>
      <c r="B26" s="36" t="s">
        <v>567</v>
      </c>
      <c r="C26" s="36" t="s">
        <v>578</v>
      </c>
      <c r="D26" s="36" t="s">
        <v>828</v>
      </c>
      <c r="E26" s="36" t="s">
        <v>920</v>
      </c>
      <c r="F26" s="39">
        <v>0</v>
      </c>
      <c r="G26" s="40">
        <v>0</v>
      </c>
      <c r="H26" s="39">
        <v>1809</v>
      </c>
      <c r="I26" s="40">
        <v>44874.84</v>
      </c>
      <c r="J26" s="36" t="s">
        <v>571</v>
      </c>
      <c r="K26" s="41">
        <v>23.297948717948714</v>
      </c>
      <c r="L26" s="105">
        <v>0</v>
      </c>
      <c r="M26" s="44">
        <v>990</v>
      </c>
      <c r="N26" s="41">
        <v>18172.400000000001</v>
      </c>
      <c r="O26" s="92">
        <v>500</v>
      </c>
      <c r="P26" s="43">
        <v>490</v>
      </c>
      <c r="Q26" s="43">
        <v>0</v>
      </c>
      <c r="R26" s="43">
        <v>0</v>
      </c>
      <c r="S26" s="44">
        <v>990</v>
      </c>
      <c r="T26" s="45">
        <f t="shared" si="6"/>
        <v>23064.969230769228</v>
      </c>
      <c r="U26" s="50">
        <v>780</v>
      </c>
      <c r="V26" s="106">
        <v>18172.399999999998</v>
      </c>
      <c r="W26" s="97">
        <v>21.734458598726118</v>
      </c>
      <c r="X26" s="44">
        <v>4640</v>
      </c>
      <c r="Y26" s="41">
        <f t="shared" si="1"/>
        <v>100847.88789808919</v>
      </c>
      <c r="Z26" s="44">
        <f t="shared" si="2"/>
        <v>1180.7249999999999</v>
      </c>
      <c r="AA26" s="44">
        <f t="shared" si="3"/>
        <v>5820.7250000000004</v>
      </c>
      <c r="AB26" s="111">
        <f t="shared" si="4"/>
        <v>126510.30652707009</v>
      </c>
      <c r="AC26" s="115"/>
      <c r="AD26" s="169">
        <v>0</v>
      </c>
      <c r="AE26" s="170">
        <v>0</v>
      </c>
      <c r="AF26" s="171">
        <v>1180.7249999999999</v>
      </c>
      <c r="AG26" s="172">
        <f t="shared" si="5"/>
        <v>1180.7249999999999</v>
      </c>
    </row>
    <row r="27" spans="1:33" x14ac:dyDescent="0.2">
      <c r="A27" s="35" t="s">
        <v>7</v>
      </c>
      <c r="B27" s="36" t="s">
        <v>566</v>
      </c>
      <c r="C27" s="36" t="s">
        <v>578</v>
      </c>
      <c r="D27" s="36" t="s">
        <v>821</v>
      </c>
      <c r="E27" s="36" t="s">
        <v>920</v>
      </c>
      <c r="F27" s="39">
        <v>15038</v>
      </c>
      <c r="G27" s="40">
        <v>117642.44</v>
      </c>
      <c r="H27" s="39">
        <v>28985</v>
      </c>
      <c r="I27" s="40">
        <v>234105.96999999997</v>
      </c>
      <c r="J27" s="36" t="s">
        <v>578</v>
      </c>
      <c r="K27" s="41">
        <v>8.662651876116735</v>
      </c>
      <c r="L27" s="105">
        <v>0</v>
      </c>
      <c r="M27" s="44">
        <v>12058</v>
      </c>
      <c r="N27" s="41">
        <v>93884.300879154529</v>
      </c>
      <c r="O27" s="92">
        <v>20880</v>
      </c>
      <c r="P27" s="43">
        <v>-8822</v>
      </c>
      <c r="Q27" s="43">
        <v>6488.9900000000052</v>
      </c>
      <c r="R27" s="43">
        <v>56211.861397602777</v>
      </c>
      <c r="S27" s="44">
        <v>18546.990000000005</v>
      </c>
      <c r="T27" s="45">
        <f t="shared" si="6"/>
        <v>160666.11771981837</v>
      </c>
      <c r="U27" s="50">
        <v>13432</v>
      </c>
      <c r="V27" s="106">
        <v>116356.73999999999</v>
      </c>
      <c r="W27" s="97">
        <v>7.74</v>
      </c>
      <c r="X27" s="44">
        <v>10000</v>
      </c>
      <c r="Y27" s="41">
        <f t="shared" si="1"/>
        <v>77400</v>
      </c>
      <c r="Z27" s="44">
        <f t="shared" si="2"/>
        <v>11374.65</v>
      </c>
      <c r="AA27" s="44">
        <f t="shared" si="3"/>
        <v>21374.65</v>
      </c>
      <c r="AB27" s="111">
        <f t="shared" si="4"/>
        <v>165439.79100000003</v>
      </c>
      <c r="AC27" s="115"/>
      <c r="AD27" s="169">
        <v>0</v>
      </c>
      <c r="AE27" s="170">
        <v>5000</v>
      </c>
      <c r="AF27" s="171">
        <v>6374.65</v>
      </c>
      <c r="AG27" s="172">
        <f t="shared" si="5"/>
        <v>11374.65</v>
      </c>
    </row>
    <row r="28" spans="1:33" x14ac:dyDescent="0.2">
      <c r="A28" s="35" t="s">
        <v>109</v>
      </c>
      <c r="B28" s="36" t="s">
        <v>566</v>
      </c>
      <c r="C28" s="36" t="s">
        <v>578</v>
      </c>
      <c r="D28" s="36" t="s">
        <v>821</v>
      </c>
      <c r="E28" s="36" t="s">
        <v>920</v>
      </c>
      <c r="F28" s="39">
        <v>9056</v>
      </c>
      <c r="G28" s="40">
        <v>84388.74</v>
      </c>
      <c r="H28" s="39">
        <v>6124</v>
      </c>
      <c r="I28" s="40">
        <v>63820.56</v>
      </c>
      <c r="J28" s="36" t="s">
        <v>578</v>
      </c>
      <c r="K28" s="41">
        <v>9.8930869835997512</v>
      </c>
      <c r="L28" s="105">
        <v>0</v>
      </c>
      <c r="M28" s="44">
        <v>11130</v>
      </c>
      <c r="N28" s="41">
        <v>93711.755507559399</v>
      </c>
      <c r="O28" s="92">
        <v>6694.333333333333</v>
      </c>
      <c r="P28" s="43">
        <v>4435.666666666667</v>
      </c>
      <c r="Q28" s="43">
        <v>0</v>
      </c>
      <c r="R28" s="43">
        <v>0</v>
      </c>
      <c r="S28" s="44">
        <v>11130</v>
      </c>
      <c r="T28" s="45">
        <f t="shared" si="6"/>
        <v>110110.05812746524</v>
      </c>
      <c r="U28" s="50">
        <v>9634</v>
      </c>
      <c r="V28" s="106">
        <v>95310</v>
      </c>
      <c r="W28" s="97">
        <v>9.8000000000000007</v>
      </c>
      <c r="X28" s="44">
        <v>1500</v>
      </c>
      <c r="Y28" s="41">
        <f t="shared" si="1"/>
        <v>14700.000000000002</v>
      </c>
      <c r="Z28" s="44">
        <f t="shared" si="2"/>
        <v>9103.5</v>
      </c>
      <c r="AA28" s="44">
        <f t="shared" si="3"/>
        <v>10603.5</v>
      </c>
      <c r="AB28" s="111">
        <f t="shared" si="4"/>
        <v>103914.3</v>
      </c>
      <c r="AC28" s="115"/>
      <c r="AD28" s="169">
        <v>0</v>
      </c>
      <c r="AE28" s="170">
        <v>0</v>
      </c>
      <c r="AF28" s="171">
        <v>9103.5</v>
      </c>
      <c r="AG28" s="172">
        <f t="shared" si="5"/>
        <v>9103.5</v>
      </c>
    </row>
    <row r="29" spans="1:33" x14ac:dyDescent="0.2">
      <c r="A29" s="35" t="s">
        <v>111</v>
      </c>
      <c r="B29" s="36" t="s">
        <v>566</v>
      </c>
      <c r="C29" s="36" t="s">
        <v>578</v>
      </c>
      <c r="D29" s="36" t="s">
        <v>820</v>
      </c>
      <c r="E29" s="36" t="s">
        <v>920</v>
      </c>
      <c r="F29" s="39">
        <v>25674</v>
      </c>
      <c r="G29" s="40">
        <v>220230.38</v>
      </c>
      <c r="H29" s="39">
        <v>17323</v>
      </c>
      <c r="I29" s="40">
        <v>191904.12</v>
      </c>
      <c r="J29" s="36" t="s">
        <v>578</v>
      </c>
      <c r="K29" s="41">
        <v>13.265220144308644</v>
      </c>
      <c r="L29" s="105">
        <v>0</v>
      </c>
      <c r="M29" s="44">
        <v>5450</v>
      </c>
      <c r="N29" s="41">
        <v>46382.295180722889</v>
      </c>
      <c r="O29" s="92">
        <v>25000</v>
      </c>
      <c r="P29" s="43">
        <v>-19550</v>
      </c>
      <c r="Q29" s="43">
        <v>22050</v>
      </c>
      <c r="R29" s="43">
        <v>292498.10418200563</v>
      </c>
      <c r="S29" s="44">
        <v>27500</v>
      </c>
      <c r="T29" s="45">
        <f t="shared" si="6"/>
        <v>364793.55396848771</v>
      </c>
      <c r="U29" s="50">
        <v>6791</v>
      </c>
      <c r="V29" s="106">
        <v>90084.11</v>
      </c>
      <c r="W29" s="97">
        <v>14.985652173913044</v>
      </c>
      <c r="X29" s="44">
        <v>2125</v>
      </c>
      <c r="Y29" s="41">
        <f t="shared" si="1"/>
        <v>31844.51086956522</v>
      </c>
      <c r="Z29" s="44">
        <f t="shared" si="2"/>
        <v>5285</v>
      </c>
      <c r="AA29" s="44">
        <f t="shared" si="3"/>
        <v>7410</v>
      </c>
      <c r="AB29" s="111">
        <f t="shared" si="4"/>
        <v>111043.68260869566</v>
      </c>
      <c r="AC29" s="115"/>
      <c r="AD29" s="169">
        <v>0</v>
      </c>
      <c r="AE29" s="170">
        <v>0</v>
      </c>
      <c r="AF29" s="171">
        <v>5285</v>
      </c>
      <c r="AG29" s="172">
        <f t="shared" si="5"/>
        <v>5285</v>
      </c>
    </row>
    <row r="30" spans="1:33" x14ac:dyDescent="0.2">
      <c r="A30" s="35" t="s">
        <v>59</v>
      </c>
      <c r="B30" s="36" t="s">
        <v>566</v>
      </c>
      <c r="C30" s="36" t="s">
        <v>578</v>
      </c>
      <c r="D30" s="36" t="s">
        <v>820</v>
      </c>
      <c r="E30" s="36" t="s">
        <v>920</v>
      </c>
      <c r="F30" s="39">
        <v>6693</v>
      </c>
      <c r="G30" s="40">
        <v>84344.020000000019</v>
      </c>
      <c r="H30" s="39">
        <v>7177</v>
      </c>
      <c r="I30" s="40">
        <v>110240.02</v>
      </c>
      <c r="J30" s="36" t="s">
        <v>578</v>
      </c>
      <c r="K30" s="41">
        <v>16.51125490929493</v>
      </c>
      <c r="L30" s="105">
        <v>0</v>
      </c>
      <c r="M30" s="44">
        <v>6150</v>
      </c>
      <c r="N30" s="41">
        <v>83432</v>
      </c>
      <c r="O30" s="92">
        <v>4000</v>
      </c>
      <c r="P30" s="43">
        <v>2150</v>
      </c>
      <c r="Q30" s="43">
        <v>4634.2500000000018</v>
      </c>
      <c r="R30" s="43">
        <v>76517.283063400057</v>
      </c>
      <c r="S30" s="44">
        <v>10784.250000000002</v>
      </c>
      <c r="T30" s="45">
        <f t="shared" si="6"/>
        <v>178061.50075556387</v>
      </c>
      <c r="U30" s="50">
        <v>10694</v>
      </c>
      <c r="V30" s="106">
        <v>176571.36</v>
      </c>
      <c r="W30" s="97">
        <v>13</v>
      </c>
      <c r="X30" s="44">
        <v>0</v>
      </c>
      <c r="Y30" s="41">
        <f t="shared" si="1"/>
        <v>0</v>
      </c>
      <c r="Z30" s="44">
        <f t="shared" si="2"/>
        <v>8532.5</v>
      </c>
      <c r="AA30" s="44">
        <f t="shared" si="3"/>
        <v>8532.5</v>
      </c>
      <c r="AB30" s="111">
        <f t="shared" si="4"/>
        <v>110922.5</v>
      </c>
      <c r="AC30" s="115"/>
      <c r="AD30" s="169">
        <v>7500</v>
      </c>
      <c r="AE30" s="170">
        <v>0</v>
      </c>
      <c r="AF30" s="171">
        <v>1032.5</v>
      </c>
      <c r="AG30" s="172">
        <f t="shared" si="5"/>
        <v>8532.5</v>
      </c>
    </row>
    <row r="31" spans="1:33" x14ac:dyDescent="0.2">
      <c r="A31" s="35" t="s">
        <v>29</v>
      </c>
      <c r="B31" s="36" t="s">
        <v>566</v>
      </c>
      <c r="C31" s="36" t="s">
        <v>578</v>
      </c>
      <c r="D31" s="36" t="s">
        <v>820</v>
      </c>
      <c r="E31" s="36" t="s">
        <v>920</v>
      </c>
      <c r="F31" s="39">
        <v>25250</v>
      </c>
      <c r="G31" s="40">
        <v>446062.5</v>
      </c>
      <c r="H31" s="39">
        <v>8803</v>
      </c>
      <c r="I31" s="40">
        <v>202010.96000000005</v>
      </c>
      <c r="J31" s="36" t="s">
        <v>578</v>
      </c>
      <c r="K31" s="41">
        <v>24.881153846153847</v>
      </c>
      <c r="L31" s="105">
        <v>0</v>
      </c>
      <c r="M31" s="44">
        <v>2200</v>
      </c>
      <c r="N31" s="41">
        <v>53013</v>
      </c>
      <c r="O31" s="92">
        <v>18408</v>
      </c>
      <c r="P31" s="43">
        <v>-16208</v>
      </c>
      <c r="Q31" s="43">
        <v>12800</v>
      </c>
      <c r="R31" s="43">
        <v>318478.76923076925</v>
      </c>
      <c r="S31" s="44">
        <v>15000</v>
      </c>
      <c r="T31" s="45">
        <f t="shared" si="6"/>
        <v>373217.30769230769</v>
      </c>
      <c r="U31" s="50">
        <v>5200</v>
      </c>
      <c r="V31" s="106">
        <v>129382</v>
      </c>
      <c r="W31" s="97">
        <v>24.61</v>
      </c>
      <c r="X31" s="44">
        <v>2000</v>
      </c>
      <c r="Y31" s="41">
        <f t="shared" si="1"/>
        <v>49220</v>
      </c>
      <c r="Z31" s="44">
        <f t="shared" si="2"/>
        <v>2358.0500000000002</v>
      </c>
      <c r="AA31" s="44">
        <f t="shared" si="3"/>
        <v>4358.05</v>
      </c>
      <c r="AB31" s="111">
        <f t="shared" si="4"/>
        <v>107251.6105</v>
      </c>
      <c r="AC31" s="115"/>
      <c r="AD31" s="169">
        <v>0</v>
      </c>
      <c r="AE31" s="170">
        <v>0</v>
      </c>
      <c r="AF31" s="171">
        <v>2358.0500000000002</v>
      </c>
      <c r="AG31" s="172">
        <f t="shared" si="5"/>
        <v>2358.0500000000002</v>
      </c>
    </row>
    <row r="32" spans="1:33" x14ac:dyDescent="0.2">
      <c r="A32" s="35" t="s">
        <v>77</v>
      </c>
      <c r="B32" s="36" t="s">
        <v>567</v>
      </c>
      <c r="C32" s="36" t="s">
        <v>578</v>
      </c>
      <c r="D32" s="36" t="s">
        <v>821</v>
      </c>
      <c r="E32" s="36" t="s">
        <v>920</v>
      </c>
      <c r="F32" s="39">
        <v>6350</v>
      </c>
      <c r="G32" s="40">
        <v>121687</v>
      </c>
      <c r="H32" s="39">
        <v>7407</v>
      </c>
      <c r="I32" s="40">
        <v>146804.19999999998</v>
      </c>
      <c r="J32" s="36" t="s">
        <v>578</v>
      </c>
      <c r="K32" s="41">
        <v>20.7</v>
      </c>
      <c r="L32" s="105">
        <v>0</v>
      </c>
      <c r="M32" s="44">
        <v>3008</v>
      </c>
      <c r="N32" s="41">
        <v>62265.599999999999</v>
      </c>
      <c r="O32" s="92">
        <v>26876</v>
      </c>
      <c r="P32" s="43">
        <v>-23868</v>
      </c>
      <c r="Q32" s="43">
        <v>6992</v>
      </c>
      <c r="R32" s="43">
        <v>144734.39999999999</v>
      </c>
      <c r="S32" s="44">
        <v>10000</v>
      </c>
      <c r="T32" s="45">
        <f t="shared" si="6"/>
        <v>207000</v>
      </c>
      <c r="U32" s="50">
        <v>3008</v>
      </c>
      <c r="V32" s="106">
        <v>62265.599999999999</v>
      </c>
      <c r="W32" s="97">
        <v>21.01</v>
      </c>
      <c r="X32" s="44">
        <v>0</v>
      </c>
      <c r="Y32" s="41">
        <f t="shared" si="1"/>
        <v>0</v>
      </c>
      <c r="Z32" s="44">
        <f t="shared" si="2"/>
        <v>4957.75</v>
      </c>
      <c r="AA32" s="44">
        <f t="shared" si="3"/>
        <v>4957.75</v>
      </c>
      <c r="AB32" s="111">
        <f t="shared" si="4"/>
        <v>104162.32750000001</v>
      </c>
      <c r="AC32" s="115"/>
      <c r="AD32" s="169">
        <v>0</v>
      </c>
      <c r="AE32" s="170">
        <v>0</v>
      </c>
      <c r="AF32" s="171">
        <v>4957.75</v>
      </c>
      <c r="AG32" s="172">
        <f t="shared" si="5"/>
        <v>4957.75</v>
      </c>
    </row>
    <row r="33" spans="1:33" x14ac:dyDescent="0.2">
      <c r="A33" s="35" t="s">
        <v>145</v>
      </c>
      <c r="B33" s="36" t="s">
        <v>566</v>
      </c>
      <c r="C33" s="36" t="s">
        <v>578</v>
      </c>
      <c r="D33" s="36" t="s">
        <v>821</v>
      </c>
      <c r="E33" s="36" t="s">
        <v>920</v>
      </c>
      <c r="F33" s="39">
        <v>5570</v>
      </c>
      <c r="G33" s="40">
        <v>45760.5</v>
      </c>
      <c r="H33" s="39">
        <v>14100</v>
      </c>
      <c r="I33" s="40">
        <v>128006</v>
      </c>
      <c r="J33" s="36" t="s">
        <v>578</v>
      </c>
      <c r="K33" s="41">
        <v>10.182965587044533</v>
      </c>
      <c r="L33" s="105">
        <v>0</v>
      </c>
      <c r="M33" s="44">
        <v>6590</v>
      </c>
      <c r="N33" s="41">
        <v>50969.25838509317</v>
      </c>
      <c r="O33" s="92">
        <v>7000</v>
      </c>
      <c r="P33" s="43">
        <v>-410</v>
      </c>
      <c r="Q33" s="43">
        <v>3735.7000000000007</v>
      </c>
      <c r="R33" s="43">
        <v>38040.504543522271</v>
      </c>
      <c r="S33" s="44">
        <v>10325.700000000001</v>
      </c>
      <c r="T33" s="45">
        <f t="shared" si="6"/>
        <v>105146.24776214575</v>
      </c>
      <c r="U33" s="50">
        <v>9880</v>
      </c>
      <c r="V33" s="106">
        <v>100607.7</v>
      </c>
      <c r="W33" s="97">
        <v>9.67</v>
      </c>
      <c r="X33" s="44">
        <v>0</v>
      </c>
      <c r="Y33" s="41">
        <f t="shared" si="1"/>
        <v>0</v>
      </c>
      <c r="Z33" s="44">
        <f t="shared" si="2"/>
        <v>10755</v>
      </c>
      <c r="AA33" s="44">
        <f t="shared" si="3"/>
        <v>10755</v>
      </c>
      <c r="AB33" s="111">
        <f t="shared" si="4"/>
        <v>104000.85</v>
      </c>
      <c r="AC33" s="115"/>
      <c r="AD33" s="169">
        <v>7500</v>
      </c>
      <c r="AE33" s="170">
        <v>0</v>
      </c>
      <c r="AF33" s="171">
        <v>3255</v>
      </c>
      <c r="AG33" s="172">
        <f t="shared" si="5"/>
        <v>10755</v>
      </c>
    </row>
    <row r="34" spans="1:33" x14ac:dyDescent="0.2">
      <c r="A34" s="35" t="s">
        <v>91</v>
      </c>
      <c r="B34" s="36" t="s">
        <v>566</v>
      </c>
      <c r="C34" s="36" t="s">
        <v>571</v>
      </c>
      <c r="D34" s="36" t="s">
        <v>776</v>
      </c>
      <c r="E34" s="36" t="s">
        <v>920</v>
      </c>
      <c r="F34" s="39">
        <v>7350</v>
      </c>
      <c r="G34" s="40">
        <v>137388.5</v>
      </c>
      <c r="H34" s="39">
        <v>7500</v>
      </c>
      <c r="I34" s="40">
        <v>138750</v>
      </c>
      <c r="J34" s="36" t="s">
        <v>578</v>
      </c>
      <c r="K34" s="41">
        <v>19.63</v>
      </c>
      <c r="L34" s="105">
        <v>0</v>
      </c>
      <c r="M34" s="44">
        <v>1000</v>
      </c>
      <c r="N34" s="41">
        <v>19630</v>
      </c>
      <c r="O34" s="92">
        <v>4000</v>
      </c>
      <c r="P34" s="43">
        <v>-3000</v>
      </c>
      <c r="Q34" s="43">
        <v>1887.5</v>
      </c>
      <c r="R34" s="43">
        <v>37051.625</v>
      </c>
      <c r="S34" s="44">
        <v>2887.5</v>
      </c>
      <c r="T34" s="45">
        <f t="shared" si="6"/>
        <v>56681.625</v>
      </c>
      <c r="U34" s="50">
        <v>1000</v>
      </c>
      <c r="V34" s="106">
        <v>19630</v>
      </c>
      <c r="W34" s="97">
        <v>18.68</v>
      </c>
      <c r="X34" s="44">
        <v>0</v>
      </c>
      <c r="Y34" s="41">
        <f t="shared" ref="Y34:Y65" si="7">X34*W34</f>
        <v>0</v>
      </c>
      <c r="Z34" s="44">
        <f t="shared" ref="Z34:Z65" si="8">AG34</f>
        <v>5512.5</v>
      </c>
      <c r="AA34" s="44">
        <f t="shared" ref="AA34:AA65" si="9">Z34+X34</f>
        <v>5512.5</v>
      </c>
      <c r="AB34" s="111">
        <f t="shared" ref="AB34:AB65" si="10">AA34*W34</f>
        <v>102973.5</v>
      </c>
      <c r="AC34" s="115"/>
      <c r="AD34" s="169">
        <v>0</v>
      </c>
      <c r="AE34" s="170">
        <v>0</v>
      </c>
      <c r="AF34" s="171">
        <v>5512.5</v>
      </c>
      <c r="AG34" s="172">
        <f t="shared" ref="AG34:AG65" si="11">SUM(AD34:AF34)</f>
        <v>5512.5</v>
      </c>
    </row>
    <row r="35" spans="1:33" x14ac:dyDescent="0.2">
      <c r="A35" s="35" t="s">
        <v>131</v>
      </c>
      <c r="B35" s="36" t="s">
        <v>1031</v>
      </c>
      <c r="C35" s="36" t="s">
        <v>578</v>
      </c>
      <c r="D35" s="36" t="s">
        <v>826</v>
      </c>
      <c r="E35" s="36" t="s">
        <v>920</v>
      </c>
      <c r="F35" s="39">
        <v>58</v>
      </c>
      <c r="G35" s="40">
        <v>2727.16</v>
      </c>
      <c r="H35" s="39">
        <v>260</v>
      </c>
      <c r="I35" s="40">
        <v>11508.130000000001</v>
      </c>
      <c r="J35" s="36" t="s">
        <v>571</v>
      </c>
      <c r="K35" s="41">
        <v>44.591509433962266</v>
      </c>
      <c r="L35" s="105">
        <v>0</v>
      </c>
      <c r="M35" s="44">
        <v>212</v>
      </c>
      <c r="N35" s="41">
        <v>9429.5627906976733</v>
      </c>
      <c r="O35" s="92">
        <v>0</v>
      </c>
      <c r="P35" s="43">
        <v>212</v>
      </c>
      <c r="Q35" s="43">
        <v>0</v>
      </c>
      <c r="R35" s="43">
        <v>0</v>
      </c>
      <c r="S35" s="44">
        <v>212</v>
      </c>
      <c r="T35" s="45">
        <f t="shared" si="6"/>
        <v>9453.4</v>
      </c>
      <c r="U35" s="50">
        <v>212</v>
      </c>
      <c r="V35" s="106">
        <v>9453.4</v>
      </c>
      <c r="W35" s="97">
        <v>48.67</v>
      </c>
      <c r="X35" s="44">
        <v>1600</v>
      </c>
      <c r="Y35" s="41">
        <f t="shared" si="7"/>
        <v>77872</v>
      </c>
      <c r="Z35" s="44">
        <f t="shared" si="8"/>
        <v>500</v>
      </c>
      <c r="AA35" s="44">
        <f t="shared" si="9"/>
        <v>2100</v>
      </c>
      <c r="AB35" s="111">
        <f t="shared" si="10"/>
        <v>102207</v>
      </c>
      <c r="AC35" s="115"/>
      <c r="AD35" s="169">
        <v>0</v>
      </c>
      <c r="AE35" s="170">
        <v>0</v>
      </c>
      <c r="AF35" s="171">
        <v>500</v>
      </c>
      <c r="AG35" s="172">
        <f t="shared" si="11"/>
        <v>500</v>
      </c>
    </row>
    <row r="36" spans="1:33" x14ac:dyDescent="0.2">
      <c r="A36" s="35" t="s">
        <v>448</v>
      </c>
      <c r="B36" s="36" t="s">
        <v>566</v>
      </c>
      <c r="C36" s="36" t="s">
        <v>578</v>
      </c>
      <c r="D36" s="36" t="s">
        <v>821</v>
      </c>
      <c r="E36" s="36" t="s">
        <v>920</v>
      </c>
      <c r="F36" s="39">
        <v>1088</v>
      </c>
      <c r="G36" s="40">
        <v>54399.819999999992</v>
      </c>
      <c r="H36" s="39">
        <v>4461</v>
      </c>
      <c r="I36" s="40">
        <v>187489.82</v>
      </c>
      <c r="J36" s="36" t="s">
        <v>578</v>
      </c>
      <c r="K36" s="41">
        <v>45.461774871555349</v>
      </c>
      <c r="L36" s="105">
        <v>4</v>
      </c>
      <c r="M36" s="44">
        <v>200</v>
      </c>
      <c r="N36" s="41">
        <v>0</v>
      </c>
      <c r="O36" s="92">
        <v>2190</v>
      </c>
      <c r="P36" s="43">
        <v>-1990</v>
      </c>
      <c r="Q36" s="43">
        <v>1986</v>
      </c>
      <c r="R36" s="43">
        <v>90287.084894908927</v>
      </c>
      <c r="S36" s="44">
        <v>2190</v>
      </c>
      <c r="T36" s="45">
        <f t="shared" si="6"/>
        <v>99561.286968706219</v>
      </c>
      <c r="U36" s="50">
        <v>2141</v>
      </c>
      <c r="V36" s="106">
        <v>97333.66</v>
      </c>
      <c r="W36" s="97">
        <v>38.01</v>
      </c>
      <c r="X36" s="44">
        <v>0</v>
      </c>
      <c r="Y36" s="41">
        <f t="shared" si="7"/>
        <v>0</v>
      </c>
      <c r="Z36" s="44">
        <f t="shared" si="8"/>
        <v>2565.5</v>
      </c>
      <c r="AA36" s="44">
        <f t="shared" si="9"/>
        <v>2565.5</v>
      </c>
      <c r="AB36" s="111">
        <f t="shared" si="10"/>
        <v>97514.654999999999</v>
      </c>
      <c r="AC36" s="115"/>
      <c r="AD36" s="169">
        <v>0</v>
      </c>
      <c r="AE36" s="170">
        <v>0</v>
      </c>
      <c r="AF36" s="171">
        <v>2565.5</v>
      </c>
      <c r="AG36" s="172">
        <f t="shared" si="11"/>
        <v>2565.5</v>
      </c>
    </row>
    <row r="37" spans="1:33" x14ac:dyDescent="0.2">
      <c r="A37" s="35" t="s">
        <v>460</v>
      </c>
      <c r="B37" s="36" t="s">
        <v>566</v>
      </c>
      <c r="C37" s="36" t="s">
        <v>578</v>
      </c>
      <c r="D37" s="36" t="s">
        <v>821</v>
      </c>
      <c r="E37" s="36" t="s">
        <v>920</v>
      </c>
      <c r="F37" s="39">
        <v>2146</v>
      </c>
      <c r="G37" s="40">
        <v>19230.439999999999</v>
      </c>
      <c r="H37" s="39">
        <v>2300</v>
      </c>
      <c r="I37" s="40">
        <v>20217</v>
      </c>
      <c r="J37" s="36" t="s">
        <v>578</v>
      </c>
      <c r="K37" s="41">
        <v>9.4257142857142853</v>
      </c>
      <c r="L37" s="105">
        <v>0</v>
      </c>
      <c r="M37" s="44">
        <v>10000</v>
      </c>
      <c r="N37" s="41">
        <v>87899.999999999985</v>
      </c>
      <c r="O37" s="92">
        <v>1212.3333333333333</v>
      </c>
      <c r="P37" s="43">
        <v>8787.6666666666661</v>
      </c>
      <c r="Q37" s="43">
        <v>0</v>
      </c>
      <c r="R37" s="43">
        <v>0</v>
      </c>
      <c r="S37" s="44">
        <v>10000</v>
      </c>
      <c r="T37" s="45">
        <f t="shared" si="6"/>
        <v>94257.142857142855</v>
      </c>
      <c r="U37" s="50">
        <v>8750</v>
      </c>
      <c r="V37" s="106">
        <v>82475</v>
      </c>
      <c r="W37" s="97">
        <v>9.68</v>
      </c>
      <c r="X37" s="44">
        <v>11100</v>
      </c>
      <c r="Y37" s="41">
        <f t="shared" si="7"/>
        <v>107448</v>
      </c>
      <c r="Z37" s="44">
        <f t="shared" si="8"/>
        <v>1050</v>
      </c>
      <c r="AA37" s="44">
        <f t="shared" si="9"/>
        <v>12150</v>
      </c>
      <c r="AB37" s="111">
        <f t="shared" si="10"/>
        <v>117612</v>
      </c>
      <c r="AC37" s="115"/>
      <c r="AD37" s="169">
        <v>0</v>
      </c>
      <c r="AE37" s="170">
        <v>0</v>
      </c>
      <c r="AF37" s="171">
        <v>1050</v>
      </c>
      <c r="AG37" s="172">
        <f t="shared" si="11"/>
        <v>1050</v>
      </c>
    </row>
    <row r="38" spans="1:33" x14ac:dyDescent="0.2">
      <c r="A38" s="35" t="s">
        <v>11</v>
      </c>
      <c r="B38" s="36" t="s">
        <v>566</v>
      </c>
      <c r="C38" s="36" t="s">
        <v>578</v>
      </c>
      <c r="D38" s="36" t="s">
        <v>820</v>
      </c>
      <c r="E38" s="36" t="s">
        <v>920</v>
      </c>
      <c r="F38" s="39">
        <v>9387</v>
      </c>
      <c r="G38" s="40">
        <v>77982.820000000007</v>
      </c>
      <c r="H38" s="39">
        <v>13844</v>
      </c>
      <c r="I38" s="40">
        <v>114281.26000000002</v>
      </c>
      <c r="J38" s="36" t="s">
        <v>578</v>
      </c>
      <c r="K38" s="41">
        <v>8.3353386454183269</v>
      </c>
      <c r="L38" s="105">
        <v>0</v>
      </c>
      <c r="M38" s="44">
        <v>0</v>
      </c>
      <c r="N38" s="41">
        <v>0</v>
      </c>
      <c r="O38" s="92">
        <v>15805.666666666666</v>
      </c>
      <c r="P38" s="43">
        <v>-15805.666666666666</v>
      </c>
      <c r="Q38" s="43">
        <v>7776.5000000000009</v>
      </c>
      <c r="R38" s="43">
        <v>64819.760976095626</v>
      </c>
      <c r="S38" s="44">
        <v>7776.5000000000009</v>
      </c>
      <c r="T38" s="45">
        <f t="shared" si="6"/>
        <v>64819.760976095626</v>
      </c>
      <c r="U38" s="50">
        <v>8032</v>
      </c>
      <c r="V38" s="106">
        <v>66949.440000000002</v>
      </c>
      <c r="W38" s="97">
        <v>7.9</v>
      </c>
      <c r="X38" s="44">
        <v>3000</v>
      </c>
      <c r="Y38" s="41">
        <f t="shared" si="7"/>
        <v>23700</v>
      </c>
      <c r="Z38" s="44">
        <f t="shared" si="8"/>
        <v>9275</v>
      </c>
      <c r="AA38" s="44">
        <f t="shared" si="9"/>
        <v>12275</v>
      </c>
      <c r="AB38" s="111">
        <f t="shared" si="10"/>
        <v>96972.5</v>
      </c>
      <c r="AC38" s="115"/>
      <c r="AD38" s="169">
        <v>0</v>
      </c>
      <c r="AE38" s="170">
        <v>0</v>
      </c>
      <c r="AF38" s="171">
        <v>9275</v>
      </c>
      <c r="AG38" s="172">
        <f t="shared" si="11"/>
        <v>9275</v>
      </c>
    </row>
    <row r="39" spans="1:33" x14ac:dyDescent="0.2">
      <c r="A39" s="35" t="s">
        <v>129</v>
      </c>
      <c r="B39" s="36" t="s">
        <v>566</v>
      </c>
      <c r="C39" s="36" t="s">
        <v>578</v>
      </c>
      <c r="D39" s="36" t="s">
        <v>820</v>
      </c>
      <c r="E39" s="36" t="s">
        <v>920</v>
      </c>
      <c r="F39" s="39">
        <v>2931</v>
      </c>
      <c r="G39" s="40">
        <v>51281.999999999993</v>
      </c>
      <c r="H39" s="39">
        <v>8104</v>
      </c>
      <c r="I39" s="40">
        <v>142936.66</v>
      </c>
      <c r="J39" s="36" t="s">
        <v>578</v>
      </c>
      <c r="K39" s="41">
        <v>21.922525896414342</v>
      </c>
      <c r="L39" s="105">
        <v>0</v>
      </c>
      <c r="M39" s="44">
        <v>1000</v>
      </c>
      <c r="N39" s="41">
        <v>17480</v>
      </c>
      <c r="O39" s="92">
        <v>3500</v>
      </c>
      <c r="P39" s="43">
        <v>-2500</v>
      </c>
      <c r="Q39" s="43">
        <v>3203.5</v>
      </c>
      <c r="R39" s="43">
        <v>70228.811709163347</v>
      </c>
      <c r="S39" s="44">
        <v>4203.5</v>
      </c>
      <c r="T39" s="45">
        <f t="shared" si="6"/>
        <v>92151.33760557769</v>
      </c>
      <c r="U39" s="50">
        <v>2510</v>
      </c>
      <c r="V39" s="106">
        <v>55025.54</v>
      </c>
      <c r="W39" s="97">
        <v>18.079999999999998</v>
      </c>
      <c r="X39" s="44">
        <v>500</v>
      </c>
      <c r="Y39" s="41">
        <f t="shared" si="7"/>
        <v>9040</v>
      </c>
      <c r="Z39" s="44">
        <f t="shared" si="8"/>
        <v>4396.25</v>
      </c>
      <c r="AA39" s="44">
        <f t="shared" si="9"/>
        <v>4896.25</v>
      </c>
      <c r="AB39" s="111">
        <f t="shared" si="10"/>
        <v>88524.2</v>
      </c>
      <c r="AC39" s="115"/>
      <c r="AD39" s="169">
        <v>0</v>
      </c>
      <c r="AE39" s="170">
        <v>625</v>
      </c>
      <c r="AF39" s="171">
        <v>3771.25</v>
      </c>
      <c r="AG39" s="172">
        <f t="shared" si="11"/>
        <v>4396.25</v>
      </c>
    </row>
    <row r="40" spans="1:33" x14ac:dyDescent="0.2">
      <c r="A40" s="35" t="s">
        <v>153</v>
      </c>
      <c r="B40" s="36" t="s">
        <v>566</v>
      </c>
      <c r="C40" s="36" t="s">
        <v>578</v>
      </c>
      <c r="D40" s="36" t="s">
        <v>761</v>
      </c>
      <c r="E40" s="36" t="s">
        <v>920</v>
      </c>
      <c r="F40" s="39">
        <v>1000</v>
      </c>
      <c r="G40" s="40">
        <v>17000</v>
      </c>
      <c r="H40" s="39">
        <v>3000</v>
      </c>
      <c r="I40" s="40">
        <v>57380</v>
      </c>
      <c r="J40" s="36" t="s">
        <v>571</v>
      </c>
      <c r="K40" s="41">
        <v>17</v>
      </c>
      <c r="L40" s="105">
        <v>0</v>
      </c>
      <c r="M40" s="44">
        <v>2500</v>
      </c>
      <c r="N40" s="41">
        <v>42500</v>
      </c>
      <c r="O40" s="92">
        <v>5204</v>
      </c>
      <c r="P40" s="43">
        <v>-2704</v>
      </c>
      <c r="Q40" s="43">
        <v>1542.5000000000005</v>
      </c>
      <c r="R40" s="43">
        <v>26222.500000000007</v>
      </c>
      <c r="S40" s="44">
        <v>4042.5000000000005</v>
      </c>
      <c r="T40" s="45">
        <f t="shared" si="6"/>
        <v>68722.500000000015</v>
      </c>
      <c r="U40" s="50">
        <v>2500</v>
      </c>
      <c r="V40" s="106">
        <v>42500</v>
      </c>
      <c r="W40" s="97">
        <v>19.97</v>
      </c>
      <c r="X40" s="44">
        <v>1500</v>
      </c>
      <c r="Y40" s="41">
        <f t="shared" si="7"/>
        <v>29955</v>
      </c>
      <c r="Z40" s="44">
        <f t="shared" si="8"/>
        <v>2800</v>
      </c>
      <c r="AA40" s="44">
        <f t="shared" si="9"/>
        <v>4300</v>
      </c>
      <c r="AB40" s="111">
        <f t="shared" si="10"/>
        <v>85871</v>
      </c>
      <c r="AC40" s="115"/>
      <c r="AD40" s="169">
        <v>0</v>
      </c>
      <c r="AE40" s="170">
        <v>0</v>
      </c>
      <c r="AF40" s="171">
        <v>2800</v>
      </c>
      <c r="AG40" s="172">
        <f t="shared" si="11"/>
        <v>2800</v>
      </c>
    </row>
    <row r="41" spans="1:33" x14ac:dyDescent="0.2">
      <c r="A41" s="35" t="s">
        <v>51</v>
      </c>
      <c r="B41" s="36" t="s">
        <v>567</v>
      </c>
      <c r="C41" s="36" t="s">
        <v>578</v>
      </c>
      <c r="D41" s="36" t="s">
        <v>822</v>
      </c>
      <c r="E41" s="36" t="s">
        <v>920</v>
      </c>
      <c r="F41" s="39">
        <v>1219</v>
      </c>
      <c r="G41" s="40">
        <v>22912.07</v>
      </c>
      <c r="H41" s="39">
        <v>1946</v>
      </c>
      <c r="I41" s="40">
        <v>38102.68</v>
      </c>
      <c r="J41" s="36" t="s">
        <v>571</v>
      </c>
      <c r="K41" s="41">
        <v>21.255105386416862</v>
      </c>
      <c r="L41" s="105">
        <v>0</v>
      </c>
      <c r="M41" s="44">
        <v>3166</v>
      </c>
      <c r="N41" s="41">
        <v>81556.160000000003</v>
      </c>
      <c r="O41" s="92">
        <v>612</v>
      </c>
      <c r="P41" s="43">
        <v>2554</v>
      </c>
      <c r="Q41" s="43">
        <v>2738.3600000000006</v>
      </c>
      <c r="R41" s="43">
        <v>58204.130385948491</v>
      </c>
      <c r="S41" s="44">
        <v>5904.3600000000006</v>
      </c>
      <c r="T41" s="45">
        <f t="shared" si="6"/>
        <v>125497.79403934427</v>
      </c>
      <c r="U41" s="50">
        <v>3416</v>
      </c>
      <c r="V41" s="106">
        <v>72607.44</v>
      </c>
      <c r="W41" s="97">
        <v>27.5</v>
      </c>
      <c r="X41" s="44">
        <v>0</v>
      </c>
      <c r="Y41" s="41">
        <f t="shared" si="7"/>
        <v>0</v>
      </c>
      <c r="Z41" s="44">
        <f t="shared" si="8"/>
        <v>2994.55</v>
      </c>
      <c r="AA41" s="44">
        <f t="shared" si="9"/>
        <v>2994.55</v>
      </c>
      <c r="AB41" s="111">
        <f t="shared" si="10"/>
        <v>82350.125</v>
      </c>
      <c r="AC41" s="115"/>
      <c r="AD41" s="169">
        <v>2500</v>
      </c>
      <c r="AE41" s="170">
        <v>0</v>
      </c>
      <c r="AF41" s="171">
        <v>494.55</v>
      </c>
      <c r="AG41" s="172">
        <f t="shared" si="11"/>
        <v>2994.55</v>
      </c>
    </row>
    <row r="42" spans="1:33" x14ac:dyDescent="0.2">
      <c r="A42" s="35" t="s">
        <v>187</v>
      </c>
      <c r="B42" s="36" t="s">
        <v>567</v>
      </c>
      <c r="C42" s="36" t="s">
        <v>578</v>
      </c>
      <c r="D42" s="36" t="s">
        <v>822</v>
      </c>
      <c r="E42" s="36" t="s">
        <v>920</v>
      </c>
      <c r="F42" s="39">
        <v>1966</v>
      </c>
      <c r="G42" s="40">
        <v>53652.14</v>
      </c>
      <c r="H42" s="39">
        <v>1932</v>
      </c>
      <c r="I42" s="40">
        <v>52724.28</v>
      </c>
      <c r="J42" s="36" t="s">
        <v>578</v>
      </c>
      <c r="K42" s="41">
        <v>31.440885714285717</v>
      </c>
      <c r="L42" s="105">
        <v>0</v>
      </c>
      <c r="M42" s="44">
        <v>1800</v>
      </c>
      <c r="N42" s="41">
        <v>61940.911764705874</v>
      </c>
      <c r="O42" s="92">
        <v>1169.28</v>
      </c>
      <c r="P42" s="43">
        <v>630.72</v>
      </c>
      <c r="Q42" s="43">
        <v>662.46000000000049</v>
      </c>
      <c r="R42" s="43">
        <v>20828.329150285732</v>
      </c>
      <c r="S42" s="44">
        <v>2462.4600000000005</v>
      </c>
      <c r="T42" s="45">
        <f t="shared" si="6"/>
        <v>77421.923436000026</v>
      </c>
      <c r="U42" s="50">
        <v>2800</v>
      </c>
      <c r="V42" s="106">
        <v>88034.48000000001</v>
      </c>
      <c r="W42" s="97">
        <v>32.369999999999997</v>
      </c>
      <c r="X42" s="44">
        <v>0</v>
      </c>
      <c r="Y42" s="41">
        <f t="shared" si="7"/>
        <v>0</v>
      </c>
      <c r="Z42" s="44">
        <f t="shared" si="8"/>
        <v>2500</v>
      </c>
      <c r="AA42" s="44">
        <f t="shared" si="9"/>
        <v>2500</v>
      </c>
      <c r="AB42" s="111">
        <f t="shared" si="10"/>
        <v>80925</v>
      </c>
      <c r="AC42" s="115"/>
      <c r="AD42" s="169">
        <v>2000</v>
      </c>
      <c r="AE42" s="170">
        <v>0</v>
      </c>
      <c r="AF42" s="171">
        <v>500</v>
      </c>
      <c r="AG42" s="172">
        <f t="shared" si="11"/>
        <v>2500</v>
      </c>
    </row>
    <row r="43" spans="1:33" x14ac:dyDescent="0.2">
      <c r="A43" s="35" t="s">
        <v>452</v>
      </c>
      <c r="B43" s="36" t="s">
        <v>566</v>
      </c>
      <c r="C43" s="36" t="s">
        <v>578</v>
      </c>
      <c r="D43" s="36" t="s">
        <v>821</v>
      </c>
      <c r="E43" s="36" t="s">
        <v>920</v>
      </c>
      <c r="F43" s="39">
        <v>1137</v>
      </c>
      <c r="G43" s="40">
        <v>21873.590000000004</v>
      </c>
      <c r="H43" s="39">
        <v>7131</v>
      </c>
      <c r="I43" s="40">
        <v>94892.59</v>
      </c>
      <c r="J43" s="36" t="s">
        <v>578</v>
      </c>
      <c r="K43" s="41">
        <v>16.102616211165618</v>
      </c>
      <c r="L43" s="105">
        <v>0</v>
      </c>
      <c r="M43" s="44">
        <v>2000</v>
      </c>
      <c r="N43" s="41">
        <v>0</v>
      </c>
      <c r="O43" s="92">
        <v>2787.666666666667</v>
      </c>
      <c r="P43" s="43">
        <v>-787.66666666666697</v>
      </c>
      <c r="Q43" s="43">
        <v>787.66666666666697</v>
      </c>
      <c r="R43" s="43">
        <v>12683.494035661457</v>
      </c>
      <c r="S43" s="44">
        <v>2787.666666666667</v>
      </c>
      <c r="T43" s="45">
        <f t="shared" si="6"/>
        <v>44888.726457992692</v>
      </c>
      <c r="U43" s="50">
        <v>4281</v>
      </c>
      <c r="V43" s="106">
        <v>68935.3</v>
      </c>
      <c r="W43" s="97">
        <v>13.77</v>
      </c>
      <c r="X43" s="44">
        <v>250</v>
      </c>
      <c r="Y43" s="41">
        <f t="shared" si="7"/>
        <v>3442.5</v>
      </c>
      <c r="Z43" s="44">
        <f t="shared" si="8"/>
        <v>5087.5</v>
      </c>
      <c r="AA43" s="44">
        <f t="shared" si="9"/>
        <v>5337.5</v>
      </c>
      <c r="AB43" s="111">
        <f t="shared" si="10"/>
        <v>73497.375</v>
      </c>
      <c r="AC43" s="115"/>
      <c r="AD43" s="169">
        <v>0</v>
      </c>
      <c r="AE43" s="170">
        <v>1500</v>
      </c>
      <c r="AF43" s="171">
        <v>3587.5</v>
      </c>
      <c r="AG43" s="172">
        <f t="shared" si="11"/>
        <v>5087.5</v>
      </c>
    </row>
    <row r="44" spans="1:33" x14ac:dyDescent="0.2">
      <c r="A44" s="35" t="s">
        <v>181</v>
      </c>
      <c r="B44" s="36" t="s">
        <v>567</v>
      </c>
      <c r="C44" s="36" t="s">
        <v>571</v>
      </c>
      <c r="D44" s="36" t="s">
        <v>827</v>
      </c>
      <c r="E44" s="36" t="s">
        <v>920</v>
      </c>
      <c r="F44" s="39">
        <v>392</v>
      </c>
      <c r="G44" s="40">
        <v>13708.24</v>
      </c>
      <c r="H44" s="39">
        <v>1310</v>
      </c>
      <c r="I44" s="40">
        <v>60227.9</v>
      </c>
      <c r="J44" s="36" t="s">
        <v>571</v>
      </c>
      <c r="K44" s="41">
        <v>43.504468085106382</v>
      </c>
      <c r="L44" s="105">
        <v>0</v>
      </c>
      <c r="M44" s="44">
        <v>1880</v>
      </c>
      <c r="N44" s="41">
        <v>85939.674074074079</v>
      </c>
      <c r="O44" s="92">
        <v>1199</v>
      </c>
      <c r="P44" s="43">
        <v>681</v>
      </c>
      <c r="Q44" s="43">
        <v>120</v>
      </c>
      <c r="R44" s="43">
        <v>5220.5361702127657</v>
      </c>
      <c r="S44" s="44">
        <v>2000</v>
      </c>
      <c r="T44" s="45">
        <f t="shared" si="6"/>
        <v>87008.936170212764</v>
      </c>
      <c r="U44" s="50">
        <v>1880</v>
      </c>
      <c r="V44" s="106">
        <v>81788.399999999994</v>
      </c>
      <c r="W44" s="97">
        <v>37.119999999999997</v>
      </c>
      <c r="X44" s="44">
        <v>1400</v>
      </c>
      <c r="Y44" s="41">
        <f t="shared" si="7"/>
        <v>51968</v>
      </c>
      <c r="Z44" s="44">
        <f t="shared" si="8"/>
        <v>500</v>
      </c>
      <c r="AA44" s="44">
        <f t="shared" si="9"/>
        <v>1900</v>
      </c>
      <c r="AB44" s="111">
        <f t="shared" si="10"/>
        <v>70528</v>
      </c>
      <c r="AC44" s="115"/>
      <c r="AD44" s="169">
        <v>0</v>
      </c>
      <c r="AE44" s="170">
        <v>0</v>
      </c>
      <c r="AF44" s="171">
        <v>500</v>
      </c>
      <c r="AG44" s="172">
        <f t="shared" si="11"/>
        <v>500</v>
      </c>
    </row>
    <row r="45" spans="1:33" x14ac:dyDescent="0.2">
      <c r="A45" s="35" t="s">
        <v>81</v>
      </c>
      <c r="B45" s="36" t="s">
        <v>567</v>
      </c>
      <c r="C45" s="36" t="s">
        <v>578</v>
      </c>
      <c r="D45" s="36" t="s">
        <v>826</v>
      </c>
      <c r="E45" s="36" t="s">
        <v>920</v>
      </c>
      <c r="F45" s="39">
        <v>10700</v>
      </c>
      <c r="G45" s="40">
        <v>130160</v>
      </c>
      <c r="H45" s="39">
        <v>12250</v>
      </c>
      <c r="I45" s="40">
        <v>182067.50000000003</v>
      </c>
      <c r="J45" s="36" t="s">
        <v>578</v>
      </c>
      <c r="K45" s="41">
        <v>20.440968523002418</v>
      </c>
      <c r="L45" s="105">
        <v>0</v>
      </c>
      <c r="M45" s="44">
        <v>3130</v>
      </c>
      <c r="N45" s="41">
        <v>61711.19999999999</v>
      </c>
      <c r="O45" s="92">
        <v>8648</v>
      </c>
      <c r="P45" s="43">
        <v>-5518</v>
      </c>
      <c r="Q45" s="43">
        <v>1640.1500000000005</v>
      </c>
      <c r="R45" s="43">
        <v>33526.254523002426</v>
      </c>
      <c r="S45" s="44">
        <v>4770.1500000000005</v>
      </c>
      <c r="T45" s="45">
        <f t="shared" si="6"/>
        <v>97506.48599999999</v>
      </c>
      <c r="U45" s="50">
        <v>4130</v>
      </c>
      <c r="V45" s="106">
        <v>84421.199999999983</v>
      </c>
      <c r="W45" s="97">
        <v>21.212380952380954</v>
      </c>
      <c r="X45" s="44">
        <v>2600</v>
      </c>
      <c r="Y45" s="41">
        <f t="shared" si="7"/>
        <v>55152.190476190481</v>
      </c>
      <c r="Z45" s="44">
        <f t="shared" si="8"/>
        <v>1118.25</v>
      </c>
      <c r="AA45" s="44">
        <f t="shared" si="9"/>
        <v>3718.25</v>
      </c>
      <c r="AB45" s="111">
        <f t="shared" si="10"/>
        <v>78872.935476190483</v>
      </c>
      <c r="AC45" s="115"/>
      <c r="AD45" s="169">
        <v>0</v>
      </c>
      <c r="AE45" s="170">
        <v>0</v>
      </c>
      <c r="AF45" s="171">
        <v>1118.25</v>
      </c>
      <c r="AG45" s="172">
        <f t="shared" si="11"/>
        <v>1118.25</v>
      </c>
    </row>
    <row r="46" spans="1:33" x14ac:dyDescent="0.2">
      <c r="A46" s="35" t="s">
        <v>73</v>
      </c>
      <c r="B46" s="36" t="s">
        <v>566</v>
      </c>
      <c r="C46" s="36" t="s">
        <v>578</v>
      </c>
      <c r="D46" s="36" t="s">
        <v>821</v>
      </c>
      <c r="E46" s="36" t="s">
        <v>920</v>
      </c>
      <c r="F46" s="39">
        <v>3290</v>
      </c>
      <c r="G46" s="40">
        <v>31012.6</v>
      </c>
      <c r="H46" s="39">
        <v>590</v>
      </c>
      <c r="I46" s="40">
        <v>9441.1</v>
      </c>
      <c r="J46" s="36" t="s">
        <v>578</v>
      </c>
      <c r="K46" s="41">
        <v>8.143872082973207</v>
      </c>
      <c r="L46" s="105">
        <v>0</v>
      </c>
      <c r="M46" s="44">
        <v>1310</v>
      </c>
      <c r="N46" s="41">
        <v>13149.357419354839</v>
      </c>
      <c r="O46" s="92">
        <v>6170.3333333333339</v>
      </c>
      <c r="P46" s="43">
        <v>-4860.3333333333339</v>
      </c>
      <c r="Q46" s="43">
        <v>1635.25</v>
      </c>
      <c r="R46" s="43">
        <v>13317.266823681937</v>
      </c>
      <c r="S46" s="44">
        <v>2945.25</v>
      </c>
      <c r="T46" s="45">
        <f t="shared" si="6"/>
        <v>23985.739252376839</v>
      </c>
      <c r="U46" s="50">
        <v>11570</v>
      </c>
      <c r="V46" s="106">
        <v>94224.6</v>
      </c>
      <c r="W46" s="97">
        <v>8.3419005328596807</v>
      </c>
      <c r="X46" s="44">
        <v>2815</v>
      </c>
      <c r="Y46" s="41">
        <f t="shared" si="7"/>
        <v>23482.45</v>
      </c>
      <c r="Z46" s="44">
        <f t="shared" si="8"/>
        <v>4585</v>
      </c>
      <c r="AA46" s="44">
        <f t="shared" si="9"/>
        <v>7400</v>
      </c>
      <c r="AB46" s="111">
        <f t="shared" si="10"/>
        <v>61730.063943161636</v>
      </c>
      <c r="AC46" s="115"/>
      <c r="AD46" s="169">
        <v>0</v>
      </c>
      <c r="AE46" s="170">
        <v>0</v>
      </c>
      <c r="AF46" s="171">
        <v>4585</v>
      </c>
      <c r="AG46" s="172">
        <f t="shared" si="11"/>
        <v>4585</v>
      </c>
    </row>
    <row r="47" spans="1:33" x14ac:dyDescent="0.2">
      <c r="A47" s="35" t="s">
        <v>49</v>
      </c>
      <c r="B47" s="36" t="s">
        <v>566</v>
      </c>
      <c r="C47" s="36" t="s">
        <v>578</v>
      </c>
      <c r="D47" s="36" t="s">
        <v>820</v>
      </c>
      <c r="E47" s="36" t="s">
        <v>920</v>
      </c>
      <c r="F47" s="39">
        <v>11588</v>
      </c>
      <c r="G47" s="40">
        <v>83803.98</v>
      </c>
      <c r="H47" s="39">
        <v>13203</v>
      </c>
      <c r="I47" s="40">
        <v>96754.4</v>
      </c>
      <c r="J47" s="36" t="s">
        <v>578</v>
      </c>
      <c r="K47" s="41">
        <v>7.7719358288770053</v>
      </c>
      <c r="L47" s="105">
        <v>0</v>
      </c>
      <c r="M47" s="44">
        <v>6000</v>
      </c>
      <c r="N47" s="41">
        <v>37200</v>
      </c>
      <c r="O47" s="92">
        <v>9927.3333333333321</v>
      </c>
      <c r="P47" s="43">
        <v>-3927.3333333333321</v>
      </c>
      <c r="Q47" s="43">
        <v>5511.5</v>
      </c>
      <c r="R47" s="43">
        <v>42835.024320855613</v>
      </c>
      <c r="S47" s="44">
        <v>11511.5</v>
      </c>
      <c r="T47" s="45">
        <f t="shared" si="6"/>
        <v>89466.639294117645</v>
      </c>
      <c r="U47" s="50">
        <v>14025</v>
      </c>
      <c r="V47" s="106">
        <v>109001.4</v>
      </c>
      <c r="W47" s="97">
        <v>6.2</v>
      </c>
      <c r="X47" s="44">
        <v>7000</v>
      </c>
      <c r="Y47" s="41">
        <f t="shared" si="7"/>
        <v>43400</v>
      </c>
      <c r="Z47" s="44">
        <f t="shared" si="8"/>
        <v>4930.0999999999995</v>
      </c>
      <c r="AA47" s="44">
        <f t="shared" si="9"/>
        <v>11930.099999999999</v>
      </c>
      <c r="AB47" s="111">
        <f t="shared" si="10"/>
        <v>73966.62</v>
      </c>
      <c r="AC47" s="115"/>
      <c r="AD47" s="169">
        <v>0</v>
      </c>
      <c r="AE47" s="170">
        <v>0</v>
      </c>
      <c r="AF47" s="171">
        <v>4930.0999999999995</v>
      </c>
      <c r="AG47" s="172">
        <f t="shared" si="11"/>
        <v>4930.0999999999995</v>
      </c>
    </row>
    <row r="48" spans="1:33" x14ac:dyDescent="0.2">
      <c r="A48" s="35" t="s">
        <v>449</v>
      </c>
      <c r="B48" s="36" t="s">
        <v>566</v>
      </c>
      <c r="C48" s="36" t="s">
        <v>578</v>
      </c>
      <c r="D48" s="36" t="s">
        <v>821</v>
      </c>
      <c r="E48" s="36" t="s">
        <v>920</v>
      </c>
      <c r="F48" s="39">
        <v>3776</v>
      </c>
      <c r="G48" s="40">
        <v>26291.8</v>
      </c>
      <c r="H48" s="39">
        <v>10608</v>
      </c>
      <c r="I48" s="40">
        <v>82690.86</v>
      </c>
      <c r="J48" s="36" t="s">
        <v>578</v>
      </c>
      <c r="K48" s="41">
        <v>7.5981773997569864</v>
      </c>
      <c r="L48" s="105">
        <v>0</v>
      </c>
      <c r="M48" s="44">
        <v>1050</v>
      </c>
      <c r="N48" s="41">
        <v>7140</v>
      </c>
      <c r="O48" s="92">
        <v>8049.666666666667</v>
      </c>
      <c r="P48" s="43">
        <v>-6999.666666666667</v>
      </c>
      <c r="Q48" s="43">
        <v>6999.666666666667</v>
      </c>
      <c r="R48" s="43">
        <v>53184.70907249899</v>
      </c>
      <c r="S48" s="44">
        <v>8049.666666666667</v>
      </c>
      <c r="T48" s="45">
        <f t="shared" si="6"/>
        <v>61162.795342243822</v>
      </c>
      <c r="U48" s="50">
        <v>5761</v>
      </c>
      <c r="V48" s="106">
        <v>43773.1</v>
      </c>
      <c r="W48" s="97">
        <v>6.37</v>
      </c>
      <c r="X48" s="44">
        <v>12500</v>
      </c>
      <c r="Y48" s="41">
        <f t="shared" si="7"/>
        <v>79625</v>
      </c>
      <c r="Z48" s="44">
        <f t="shared" si="8"/>
        <v>5000</v>
      </c>
      <c r="AA48" s="44">
        <f t="shared" si="9"/>
        <v>17500</v>
      </c>
      <c r="AB48" s="111">
        <f t="shared" si="10"/>
        <v>111475</v>
      </c>
      <c r="AC48" s="115"/>
      <c r="AD48" s="169">
        <v>0</v>
      </c>
      <c r="AE48" s="170">
        <v>0</v>
      </c>
      <c r="AF48" s="171">
        <v>5000</v>
      </c>
      <c r="AG48" s="172">
        <f t="shared" si="11"/>
        <v>5000</v>
      </c>
    </row>
    <row r="49" spans="1:33" x14ac:dyDescent="0.2">
      <c r="A49" s="35" t="s">
        <v>63</v>
      </c>
      <c r="B49" s="36" t="s">
        <v>566</v>
      </c>
      <c r="C49" s="36" t="s">
        <v>578</v>
      </c>
      <c r="D49" s="36" t="s">
        <v>821</v>
      </c>
      <c r="E49" s="36" t="s">
        <v>920</v>
      </c>
      <c r="F49" s="39">
        <v>2907</v>
      </c>
      <c r="G49" s="40">
        <v>62660.530000000013</v>
      </c>
      <c r="H49" s="39">
        <v>4412</v>
      </c>
      <c r="I49" s="40">
        <v>108575.25</v>
      </c>
      <c r="J49" s="36" t="s">
        <v>578</v>
      </c>
      <c r="K49" s="41">
        <v>20.744326797385622</v>
      </c>
      <c r="L49" s="105">
        <v>2</v>
      </c>
      <c r="M49" s="44">
        <v>1000</v>
      </c>
      <c r="N49" s="41">
        <v>18240</v>
      </c>
      <c r="O49" s="92">
        <v>1098.3333333333333</v>
      </c>
      <c r="P49" s="43">
        <v>-98.333333333333258</v>
      </c>
      <c r="Q49" s="43">
        <v>730.50000000000023</v>
      </c>
      <c r="R49" s="43">
        <v>15153.730725490201</v>
      </c>
      <c r="S49" s="44">
        <v>1732.5000000000002</v>
      </c>
      <c r="T49" s="45">
        <f t="shared" si="6"/>
        <v>35939.546176470591</v>
      </c>
      <c r="U49" s="50">
        <v>1530</v>
      </c>
      <c r="V49" s="106">
        <v>31738.82</v>
      </c>
      <c r="W49" s="97">
        <v>19.760000000000002</v>
      </c>
      <c r="X49" s="44">
        <v>1000</v>
      </c>
      <c r="Y49" s="41">
        <f t="shared" si="7"/>
        <v>19760</v>
      </c>
      <c r="Z49" s="44">
        <f t="shared" si="8"/>
        <v>1918.3000000000002</v>
      </c>
      <c r="AA49" s="44">
        <f t="shared" si="9"/>
        <v>2918.3</v>
      </c>
      <c r="AB49" s="111">
        <f t="shared" si="10"/>
        <v>57665.608000000007</v>
      </c>
      <c r="AC49" s="115"/>
      <c r="AD49" s="169">
        <v>0</v>
      </c>
      <c r="AE49" s="170">
        <v>0</v>
      </c>
      <c r="AF49" s="171">
        <v>1918.3000000000002</v>
      </c>
      <c r="AG49" s="172">
        <f t="shared" si="11"/>
        <v>1918.3000000000002</v>
      </c>
    </row>
    <row r="50" spans="1:33" x14ac:dyDescent="0.2">
      <c r="A50" s="35" t="s">
        <v>113</v>
      </c>
      <c r="B50" s="36" t="s">
        <v>1031</v>
      </c>
      <c r="C50" s="36" t="s">
        <v>578</v>
      </c>
      <c r="D50" s="36" t="s">
        <v>829</v>
      </c>
      <c r="E50" s="36" t="s">
        <v>920</v>
      </c>
      <c r="F50" s="39">
        <v>650</v>
      </c>
      <c r="G50" s="40">
        <v>55685</v>
      </c>
      <c r="H50" s="39">
        <v>400</v>
      </c>
      <c r="I50" s="40">
        <v>33120</v>
      </c>
      <c r="J50" s="36" t="s">
        <v>578</v>
      </c>
      <c r="K50" s="41">
        <v>85.7</v>
      </c>
      <c r="L50" s="105">
        <v>0</v>
      </c>
      <c r="M50" s="44">
        <v>400</v>
      </c>
      <c r="N50" s="41">
        <v>33120</v>
      </c>
      <c r="O50" s="92">
        <v>400</v>
      </c>
      <c r="P50" s="43">
        <v>0</v>
      </c>
      <c r="Q50" s="43">
        <v>62.000000000000057</v>
      </c>
      <c r="R50" s="43">
        <v>5313.4000000000051</v>
      </c>
      <c r="S50" s="44">
        <v>462.00000000000006</v>
      </c>
      <c r="T50" s="45">
        <f t="shared" si="6"/>
        <v>39593.400000000009</v>
      </c>
      <c r="U50" s="50">
        <v>400</v>
      </c>
      <c r="V50" s="106">
        <v>34280</v>
      </c>
      <c r="W50" s="97">
        <v>85.7</v>
      </c>
      <c r="X50" s="44">
        <v>400</v>
      </c>
      <c r="Y50" s="41">
        <f t="shared" si="7"/>
        <v>34280</v>
      </c>
      <c r="Z50" s="44">
        <f t="shared" si="8"/>
        <v>262.5</v>
      </c>
      <c r="AA50" s="44">
        <f t="shared" si="9"/>
        <v>662.5</v>
      </c>
      <c r="AB50" s="111">
        <f t="shared" si="10"/>
        <v>56776.25</v>
      </c>
      <c r="AC50" s="115"/>
      <c r="AD50" s="169">
        <v>0</v>
      </c>
      <c r="AE50" s="170">
        <v>0</v>
      </c>
      <c r="AF50" s="171">
        <v>262.5</v>
      </c>
      <c r="AG50" s="172">
        <f t="shared" si="11"/>
        <v>262.5</v>
      </c>
    </row>
    <row r="51" spans="1:33" x14ac:dyDescent="0.2">
      <c r="A51" s="35" t="s">
        <v>33</v>
      </c>
      <c r="B51" s="36" t="s">
        <v>566</v>
      </c>
      <c r="C51" s="36" t="s">
        <v>578</v>
      </c>
      <c r="D51" s="36" t="s">
        <v>825</v>
      </c>
      <c r="E51" s="36" t="s">
        <v>920</v>
      </c>
      <c r="F51" s="39">
        <v>317</v>
      </c>
      <c r="G51" s="40">
        <v>13414.07</v>
      </c>
      <c r="H51" s="39">
        <v>3356</v>
      </c>
      <c r="I51" s="40">
        <v>118846.12</v>
      </c>
      <c r="J51" s="36" t="s">
        <v>578</v>
      </c>
      <c r="K51" s="41">
        <v>35.100038644470871</v>
      </c>
      <c r="L51" s="105">
        <v>0</v>
      </c>
      <c r="M51" s="44">
        <v>1932</v>
      </c>
      <c r="N51" s="41">
        <v>65261.326708860746</v>
      </c>
      <c r="O51" s="92">
        <v>2585</v>
      </c>
      <c r="P51" s="43">
        <v>-653</v>
      </c>
      <c r="Q51" s="43">
        <v>1200.3600000000006</v>
      </c>
      <c r="R51" s="43">
        <v>42132.682387277076</v>
      </c>
      <c r="S51" s="44">
        <v>3132.3600000000006</v>
      </c>
      <c r="T51" s="45">
        <f t="shared" si="6"/>
        <v>109945.9570483948</v>
      </c>
      <c r="U51" s="50">
        <v>3364</v>
      </c>
      <c r="V51" s="106">
        <v>118076.53</v>
      </c>
      <c r="W51" s="97">
        <v>35</v>
      </c>
      <c r="X51" s="44">
        <v>0</v>
      </c>
      <c r="Y51" s="41">
        <f t="shared" si="7"/>
        <v>0</v>
      </c>
      <c r="Z51" s="44">
        <f t="shared" si="8"/>
        <v>1520.75</v>
      </c>
      <c r="AA51" s="44">
        <f t="shared" si="9"/>
        <v>1520.75</v>
      </c>
      <c r="AB51" s="111">
        <f t="shared" si="10"/>
        <v>53226.25</v>
      </c>
      <c r="AC51" s="115"/>
      <c r="AD51" s="169">
        <v>0</v>
      </c>
      <c r="AE51" s="170">
        <v>0</v>
      </c>
      <c r="AF51" s="171">
        <v>1520.75</v>
      </c>
      <c r="AG51" s="172">
        <f t="shared" si="11"/>
        <v>1520.75</v>
      </c>
    </row>
    <row r="52" spans="1:33" x14ac:dyDescent="0.2">
      <c r="A52" s="35" t="s">
        <v>79</v>
      </c>
      <c r="B52" s="36" t="s">
        <v>567</v>
      </c>
      <c r="C52" s="36" t="s">
        <v>578</v>
      </c>
      <c r="D52" s="36" t="s">
        <v>828</v>
      </c>
      <c r="E52" s="36" t="s">
        <v>920</v>
      </c>
      <c r="F52" s="39">
        <v>2464</v>
      </c>
      <c r="G52" s="40">
        <v>54758.16</v>
      </c>
      <c r="H52" s="39">
        <v>2546</v>
      </c>
      <c r="I52" s="40">
        <v>47454.54</v>
      </c>
      <c r="J52" s="36" t="s">
        <v>571</v>
      </c>
      <c r="K52" s="41">
        <v>17.489999999999998</v>
      </c>
      <c r="L52" s="105">
        <v>0</v>
      </c>
      <c r="M52" s="44">
        <v>2762</v>
      </c>
      <c r="N52" s="41">
        <v>29208.299999999996</v>
      </c>
      <c r="O52" s="92">
        <v>6296</v>
      </c>
      <c r="P52" s="43">
        <v>-3534</v>
      </c>
      <c r="Q52" s="43">
        <v>2054.3500000000004</v>
      </c>
      <c r="R52" s="43">
        <v>35930.5815</v>
      </c>
      <c r="S52" s="44">
        <v>4816.3500000000004</v>
      </c>
      <c r="T52" s="45">
        <f t="shared" si="6"/>
        <v>84237.961500000005</v>
      </c>
      <c r="U52" s="50">
        <v>1670</v>
      </c>
      <c r="V52" s="106">
        <v>29208.3</v>
      </c>
      <c r="W52" s="97">
        <v>17.490000000000002</v>
      </c>
      <c r="X52" s="44">
        <v>728</v>
      </c>
      <c r="Y52" s="41">
        <f t="shared" si="7"/>
        <v>12732.720000000001</v>
      </c>
      <c r="Z52" s="44">
        <f t="shared" si="8"/>
        <v>1837.5</v>
      </c>
      <c r="AA52" s="44">
        <f t="shared" si="9"/>
        <v>2565.5</v>
      </c>
      <c r="AB52" s="111">
        <f t="shared" si="10"/>
        <v>44870.595000000008</v>
      </c>
      <c r="AC52" s="115"/>
      <c r="AD52" s="169">
        <v>0</v>
      </c>
      <c r="AE52" s="170">
        <v>0</v>
      </c>
      <c r="AF52" s="171">
        <v>1837.5</v>
      </c>
      <c r="AG52" s="172">
        <f t="shared" si="11"/>
        <v>1837.5</v>
      </c>
    </row>
    <row r="53" spans="1:33" x14ac:dyDescent="0.2">
      <c r="A53" s="49" t="s">
        <v>870</v>
      </c>
      <c r="B53" s="36" t="s">
        <v>1031</v>
      </c>
      <c r="C53" s="36"/>
      <c r="D53" s="36"/>
      <c r="E53" s="36" t="s">
        <v>920</v>
      </c>
      <c r="F53" s="39"/>
      <c r="G53" s="40"/>
      <c r="H53" s="39">
        <v>0</v>
      </c>
      <c r="I53" s="40">
        <v>0</v>
      </c>
      <c r="J53" s="36"/>
      <c r="K53" s="41">
        <v>20.0825</v>
      </c>
      <c r="L53" s="105"/>
      <c r="M53" s="44"/>
      <c r="N53" s="41"/>
      <c r="O53" s="92"/>
      <c r="P53" s="36"/>
      <c r="Q53" s="36"/>
      <c r="R53" s="36"/>
      <c r="S53" s="44"/>
      <c r="T53" s="36"/>
      <c r="U53" s="36">
        <v>4000</v>
      </c>
      <c r="V53" s="106">
        <v>80330</v>
      </c>
      <c r="W53" s="97">
        <v>20.92</v>
      </c>
      <c r="X53" s="44">
        <v>0</v>
      </c>
      <c r="Y53" s="41">
        <f t="shared" si="7"/>
        <v>0</v>
      </c>
      <c r="Z53" s="44">
        <f t="shared" si="8"/>
        <v>2362.5</v>
      </c>
      <c r="AA53" s="44">
        <f t="shared" si="9"/>
        <v>2362.5</v>
      </c>
      <c r="AB53" s="111">
        <f t="shared" si="10"/>
        <v>49423.500000000007</v>
      </c>
      <c r="AC53" s="115"/>
      <c r="AD53" s="169">
        <v>0</v>
      </c>
      <c r="AE53" s="170">
        <v>0</v>
      </c>
      <c r="AF53" s="171">
        <v>2362.5</v>
      </c>
      <c r="AG53" s="172">
        <f t="shared" si="11"/>
        <v>2362.5</v>
      </c>
    </row>
    <row r="54" spans="1:33" x14ac:dyDescent="0.2">
      <c r="A54" s="35" t="s">
        <v>85</v>
      </c>
      <c r="B54" s="36" t="s">
        <v>567</v>
      </c>
      <c r="C54" s="36" t="s">
        <v>578</v>
      </c>
      <c r="D54" s="36" t="s">
        <v>820</v>
      </c>
      <c r="E54" s="36" t="s">
        <v>920</v>
      </c>
      <c r="F54" s="39">
        <v>26750</v>
      </c>
      <c r="G54" s="40">
        <v>156165</v>
      </c>
      <c r="H54" s="39">
        <v>10751</v>
      </c>
      <c r="I54" s="40">
        <v>76285.649999999994</v>
      </c>
      <c r="J54" s="36" t="s">
        <v>578</v>
      </c>
      <c r="K54" s="41">
        <v>9.7371043376318873</v>
      </c>
      <c r="L54" s="105">
        <v>30</v>
      </c>
      <c r="M54" s="44">
        <v>0</v>
      </c>
      <c r="N54" s="41">
        <v>237.3</v>
      </c>
      <c r="O54" s="92">
        <v>25000</v>
      </c>
      <c r="P54" s="43">
        <v>-25000</v>
      </c>
      <c r="Q54" s="43">
        <v>23823</v>
      </c>
      <c r="R54" s="43">
        <v>231967.03663540445</v>
      </c>
      <c r="S54" s="44">
        <v>23853</v>
      </c>
      <c r="T54" s="45">
        <f>S54*K54</f>
        <v>232259.1497655334</v>
      </c>
      <c r="U54" s="50">
        <v>8530</v>
      </c>
      <c r="V54" s="106">
        <v>83057.5</v>
      </c>
      <c r="W54" s="97">
        <v>8.23</v>
      </c>
      <c r="X54" s="44">
        <v>750</v>
      </c>
      <c r="Y54" s="41">
        <f t="shared" si="7"/>
        <v>6172.5</v>
      </c>
      <c r="Z54" s="44">
        <f t="shared" si="8"/>
        <v>5250</v>
      </c>
      <c r="AA54" s="44">
        <f t="shared" si="9"/>
        <v>6000</v>
      </c>
      <c r="AB54" s="111">
        <f t="shared" si="10"/>
        <v>49380</v>
      </c>
      <c r="AC54" s="115"/>
      <c r="AD54" s="169">
        <v>0</v>
      </c>
      <c r="AE54" s="170">
        <v>0</v>
      </c>
      <c r="AF54" s="171">
        <v>5250</v>
      </c>
      <c r="AG54" s="172">
        <f t="shared" si="11"/>
        <v>5250</v>
      </c>
    </row>
    <row r="55" spans="1:33" x14ac:dyDescent="0.2">
      <c r="A55" s="35" t="s">
        <v>454</v>
      </c>
      <c r="B55" s="177" t="s">
        <v>567</v>
      </c>
      <c r="C55" s="36" t="s">
        <v>578</v>
      </c>
      <c r="D55" s="36" t="s">
        <v>820</v>
      </c>
      <c r="E55" s="36" t="s">
        <v>920</v>
      </c>
      <c r="F55" s="39">
        <v>1600</v>
      </c>
      <c r="G55" s="40">
        <v>26101</v>
      </c>
      <c r="H55" s="39">
        <v>4522</v>
      </c>
      <c r="I55" s="40">
        <v>66534.539999999994</v>
      </c>
      <c r="J55" s="36" t="s">
        <v>578</v>
      </c>
      <c r="K55" s="41">
        <v>13.511715503462973</v>
      </c>
      <c r="L55" s="105">
        <v>0</v>
      </c>
      <c r="M55" s="44">
        <v>0</v>
      </c>
      <c r="N55" s="41">
        <v>0</v>
      </c>
      <c r="O55" s="92">
        <v>2261.333333333333</v>
      </c>
      <c r="P55" s="43">
        <v>-2261.333333333333</v>
      </c>
      <c r="Q55" s="43">
        <v>2261.333333333333</v>
      </c>
      <c r="R55" s="43">
        <v>30554.492658497598</v>
      </c>
      <c r="S55" s="44">
        <v>2261.333333333333</v>
      </c>
      <c r="T55" s="45">
        <f>S55*K55</f>
        <v>30554.492658497598</v>
      </c>
      <c r="U55" s="50">
        <v>1877</v>
      </c>
      <c r="V55" s="106">
        <v>25361.49</v>
      </c>
      <c r="W55" s="97">
        <v>17.63</v>
      </c>
      <c r="X55" s="44">
        <v>1600</v>
      </c>
      <c r="Y55" s="41">
        <f t="shared" si="7"/>
        <v>28208</v>
      </c>
      <c r="Z55" s="44">
        <f t="shared" si="8"/>
        <v>1125</v>
      </c>
      <c r="AA55" s="44">
        <f t="shared" si="9"/>
        <v>2725</v>
      </c>
      <c r="AB55" s="111">
        <f t="shared" si="10"/>
        <v>48041.75</v>
      </c>
      <c r="AC55" s="115"/>
      <c r="AD55" s="169">
        <v>0</v>
      </c>
      <c r="AE55" s="170">
        <v>0</v>
      </c>
      <c r="AF55" s="171">
        <v>1125</v>
      </c>
      <c r="AG55" s="172">
        <f t="shared" si="11"/>
        <v>1125</v>
      </c>
    </row>
    <row r="56" spans="1:33" x14ac:dyDescent="0.2">
      <c r="A56" s="35" t="s">
        <v>83</v>
      </c>
      <c r="B56" s="36" t="s">
        <v>567</v>
      </c>
      <c r="C56" s="36" t="s">
        <v>571</v>
      </c>
      <c r="D56" s="36" t="s">
        <v>761</v>
      </c>
      <c r="E56" s="36" t="s">
        <v>920</v>
      </c>
      <c r="F56" s="39">
        <v>5632</v>
      </c>
      <c r="G56" s="40">
        <v>96405.48</v>
      </c>
      <c r="H56" s="39">
        <v>1000</v>
      </c>
      <c r="I56" s="40">
        <v>17930</v>
      </c>
      <c r="J56" s="36" t="s">
        <v>571</v>
      </c>
      <c r="K56" s="41">
        <v>18.28</v>
      </c>
      <c r="L56" s="105">
        <v>0</v>
      </c>
      <c r="M56" s="44">
        <v>800</v>
      </c>
      <c r="N56" s="41">
        <v>14624</v>
      </c>
      <c r="O56" s="92">
        <v>5000</v>
      </c>
      <c r="P56" s="43">
        <v>-4200</v>
      </c>
      <c r="Q56" s="43">
        <v>7427</v>
      </c>
      <c r="R56" s="43">
        <v>135765.56</v>
      </c>
      <c r="S56" s="44">
        <v>8227</v>
      </c>
      <c r="T56" s="45">
        <f>S56*K56</f>
        <v>150389.56</v>
      </c>
      <c r="U56" s="50">
        <v>800</v>
      </c>
      <c r="V56" s="106">
        <v>14624</v>
      </c>
      <c r="W56" s="97">
        <v>18.079999999999998</v>
      </c>
      <c r="X56" s="44">
        <v>0</v>
      </c>
      <c r="Y56" s="41">
        <f t="shared" si="7"/>
        <v>0</v>
      </c>
      <c r="Z56" s="44">
        <f t="shared" si="8"/>
        <v>2601.2000000000003</v>
      </c>
      <c r="AA56" s="44">
        <f t="shared" si="9"/>
        <v>2601.2000000000003</v>
      </c>
      <c r="AB56" s="111">
        <f t="shared" si="10"/>
        <v>47029.696000000004</v>
      </c>
      <c r="AC56" s="115"/>
      <c r="AD56" s="169">
        <v>0</v>
      </c>
      <c r="AE56" s="170">
        <v>0</v>
      </c>
      <c r="AF56" s="171">
        <v>2601.2000000000003</v>
      </c>
      <c r="AG56" s="172">
        <f t="shared" si="11"/>
        <v>2601.2000000000003</v>
      </c>
    </row>
    <row r="57" spans="1:33" x14ac:dyDescent="0.2">
      <c r="A57" s="35" t="s">
        <v>147</v>
      </c>
      <c r="B57" s="36" t="s">
        <v>567</v>
      </c>
      <c r="C57" s="36" t="s">
        <v>571</v>
      </c>
      <c r="D57" s="36" t="s">
        <v>814</v>
      </c>
      <c r="E57" s="36" t="s">
        <v>920</v>
      </c>
      <c r="F57" s="39">
        <v>0</v>
      </c>
      <c r="G57" s="40">
        <v>0</v>
      </c>
      <c r="H57" s="39">
        <v>50</v>
      </c>
      <c r="I57" s="40">
        <v>1520.5</v>
      </c>
      <c r="J57" s="36" t="s">
        <v>571</v>
      </c>
      <c r="K57" s="41">
        <v>30.41</v>
      </c>
      <c r="L57" s="105">
        <v>0</v>
      </c>
      <c r="M57" s="44">
        <v>72</v>
      </c>
      <c r="N57" s="41">
        <v>2189.52</v>
      </c>
      <c r="O57" s="92">
        <v>0</v>
      </c>
      <c r="P57" s="43">
        <v>72</v>
      </c>
      <c r="Q57" s="43">
        <v>126.66000000000003</v>
      </c>
      <c r="R57" s="43">
        <v>3851.7306000000008</v>
      </c>
      <c r="S57" s="44">
        <v>198.66000000000003</v>
      </c>
      <c r="T57" s="45">
        <f>S57*K57</f>
        <v>6041.2506000000012</v>
      </c>
      <c r="U57" s="50">
        <v>72</v>
      </c>
      <c r="V57" s="106">
        <v>2189.52</v>
      </c>
      <c r="W57" s="97">
        <v>30.41</v>
      </c>
      <c r="X57" s="44">
        <v>0</v>
      </c>
      <c r="Y57" s="41">
        <f t="shared" si="7"/>
        <v>0</v>
      </c>
      <c r="Z57" s="44">
        <f t="shared" si="8"/>
        <v>1476</v>
      </c>
      <c r="AA57" s="44">
        <f t="shared" si="9"/>
        <v>1476</v>
      </c>
      <c r="AB57" s="111">
        <f t="shared" si="10"/>
        <v>44885.16</v>
      </c>
      <c r="AC57" s="115"/>
      <c r="AD57" s="169">
        <v>0</v>
      </c>
      <c r="AE57" s="170">
        <v>0</v>
      </c>
      <c r="AF57" s="171">
        <v>1476</v>
      </c>
      <c r="AG57" s="172">
        <f t="shared" si="11"/>
        <v>1476</v>
      </c>
    </row>
    <row r="58" spans="1:33" x14ac:dyDescent="0.2">
      <c r="A58" s="35" t="s">
        <v>926</v>
      </c>
      <c r="B58" s="36" t="s">
        <v>567</v>
      </c>
      <c r="C58" s="36"/>
      <c r="D58" s="36"/>
      <c r="E58" s="36" t="s">
        <v>920</v>
      </c>
      <c r="F58" s="39"/>
      <c r="G58" s="40"/>
      <c r="H58" s="39"/>
      <c r="I58" s="40"/>
      <c r="J58" s="36"/>
      <c r="K58" s="41"/>
      <c r="L58" s="105"/>
      <c r="M58" s="44"/>
      <c r="N58" s="41"/>
      <c r="O58" s="92"/>
      <c r="P58" s="36"/>
      <c r="Q58" s="36"/>
      <c r="R58" s="36"/>
      <c r="S58" s="44"/>
      <c r="T58" s="36"/>
      <c r="U58" s="36"/>
      <c r="V58" s="106"/>
      <c r="W58" s="97">
        <v>17.100000000000001</v>
      </c>
      <c r="X58" s="44">
        <v>2050</v>
      </c>
      <c r="Y58" s="41">
        <f t="shared" si="7"/>
        <v>35055</v>
      </c>
      <c r="Z58" s="44">
        <f t="shared" si="8"/>
        <v>500</v>
      </c>
      <c r="AA58" s="44">
        <f t="shared" si="9"/>
        <v>2550</v>
      </c>
      <c r="AB58" s="111">
        <f t="shared" si="10"/>
        <v>43605</v>
      </c>
      <c r="AC58" s="115"/>
      <c r="AD58" s="169">
        <v>0</v>
      </c>
      <c r="AE58" s="170">
        <v>0</v>
      </c>
      <c r="AF58" s="171">
        <v>500</v>
      </c>
      <c r="AG58" s="172">
        <f t="shared" si="11"/>
        <v>500</v>
      </c>
    </row>
    <row r="59" spans="1:33" x14ac:dyDescent="0.2">
      <c r="A59" s="35" t="s">
        <v>927</v>
      </c>
      <c r="B59" s="36" t="s">
        <v>1031</v>
      </c>
      <c r="C59" s="36"/>
      <c r="D59" s="36"/>
      <c r="E59" s="36" t="s">
        <v>920</v>
      </c>
      <c r="F59" s="39"/>
      <c r="G59" s="40"/>
      <c r="H59" s="39"/>
      <c r="I59" s="40"/>
      <c r="J59" s="36"/>
      <c r="K59" s="41"/>
      <c r="L59" s="105"/>
      <c r="M59" s="44"/>
      <c r="N59" s="41"/>
      <c r="O59" s="92"/>
      <c r="P59" s="36"/>
      <c r="Q59" s="36"/>
      <c r="R59" s="36"/>
      <c r="S59" s="44"/>
      <c r="T59" s="36"/>
      <c r="U59" s="36"/>
      <c r="V59" s="106"/>
      <c r="W59" s="97">
        <v>21.02</v>
      </c>
      <c r="X59" s="44">
        <v>1500</v>
      </c>
      <c r="Y59" s="41">
        <f t="shared" si="7"/>
        <v>31530</v>
      </c>
      <c r="Z59" s="44">
        <f t="shared" si="8"/>
        <v>500</v>
      </c>
      <c r="AA59" s="44">
        <f t="shared" si="9"/>
        <v>2000</v>
      </c>
      <c r="AB59" s="111">
        <f t="shared" si="10"/>
        <v>42040</v>
      </c>
      <c r="AC59" s="115"/>
      <c r="AD59" s="169">
        <v>0</v>
      </c>
      <c r="AE59" s="170">
        <v>0</v>
      </c>
      <c r="AF59" s="171">
        <v>500</v>
      </c>
      <c r="AG59" s="172">
        <f t="shared" si="11"/>
        <v>500</v>
      </c>
    </row>
    <row r="60" spans="1:33" x14ac:dyDescent="0.2">
      <c r="A60" s="35" t="s">
        <v>706</v>
      </c>
      <c r="B60" s="36" t="s">
        <v>1031</v>
      </c>
      <c r="C60" s="36" t="s">
        <v>571</v>
      </c>
      <c r="D60" s="36" t="s">
        <v>814</v>
      </c>
      <c r="E60" s="36" t="s">
        <v>920</v>
      </c>
      <c r="F60" s="39"/>
      <c r="G60" s="40"/>
      <c r="H60" s="39">
        <v>1500</v>
      </c>
      <c r="I60" s="40">
        <v>30750</v>
      </c>
      <c r="J60" s="36" t="s">
        <v>571</v>
      </c>
      <c r="K60" s="41">
        <v>20.5</v>
      </c>
      <c r="L60" s="105">
        <v>0</v>
      </c>
      <c r="M60" s="44">
        <v>1000</v>
      </c>
      <c r="N60" s="41">
        <v>20500</v>
      </c>
      <c r="O60" s="92">
        <v>0</v>
      </c>
      <c r="P60" s="43">
        <v>1000</v>
      </c>
      <c r="Q60" s="43">
        <v>0</v>
      </c>
      <c r="R60" s="43">
        <v>0</v>
      </c>
      <c r="S60" s="44">
        <v>1000</v>
      </c>
      <c r="T60" s="45">
        <f t="shared" ref="T60:T70" si="12">S60*K60</f>
        <v>20500</v>
      </c>
      <c r="U60" s="50">
        <v>1000</v>
      </c>
      <c r="V60" s="106">
        <v>20500</v>
      </c>
      <c r="W60" s="97">
        <v>20.5</v>
      </c>
      <c r="X60" s="44">
        <v>0</v>
      </c>
      <c r="Y60" s="41">
        <f t="shared" si="7"/>
        <v>0</v>
      </c>
      <c r="Z60" s="44">
        <f t="shared" si="8"/>
        <v>1837.5</v>
      </c>
      <c r="AA60" s="44">
        <f t="shared" si="9"/>
        <v>1837.5</v>
      </c>
      <c r="AB60" s="111">
        <f t="shared" si="10"/>
        <v>37668.75</v>
      </c>
      <c r="AC60" s="115"/>
      <c r="AD60" s="169">
        <v>0</v>
      </c>
      <c r="AE60" s="170">
        <v>0</v>
      </c>
      <c r="AF60" s="171">
        <v>1837.5</v>
      </c>
      <c r="AG60" s="172">
        <f t="shared" si="11"/>
        <v>1837.5</v>
      </c>
    </row>
    <row r="61" spans="1:33" x14ac:dyDescent="0.2">
      <c r="A61" s="35" t="s">
        <v>21</v>
      </c>
      <c r="B61" s="36" t="s">
        <v>566</v>
      </c>
      <c r="C61" s="36" t="s">
        <v>578</v>
      </c>
      <c r="D61" s="36" t="s">
        <v>820</v>
      </c>
      <c r="E61" s="36" t="s">
        <v>920</v>
      </c>
      <c r="F61" s="39">
        <v>6488</v>
      </c>
      <c r="G61" s="40">
        <v>64717.52</v>
      </c>
      <c r="H61" s="39">
        <v>2796</v>
      </c>
      <c r="I61" s="40">
        <v>39581.340000000004</v>
      </c>
      <c r="J61" s="36" t="s">
        <v>578</v>
      </c>
      <c r="K61" s="41">
        <v>17.850000000000001</v>
      </c>
      <c r="L61" s="105">
        <v>0</v>
      </c>
      <c r="M61" s="44">
        <v>2100</v>
      </c>
      <c r="N61" s="41">
        <v>24190.833333333332</v>
      </c>
      <c r="O61" s="92">
        <v>6386.1866666666665</v>
      </c>
      <c r="P61" s="43">
        <v>-4286.1866666666665</v>
      </c>
      <c r="Q61" s="43">
        <v>5457.5</v>
      </c>
      <c r="R61" s="43">
        <v>97416.375000000015</v>
      </c>
      <c r="S61" s="44">
        <v>7557.5</v>
      </c>
      <c r="T61" s="45">
        <f t="shared" si="12"/>
        <v>134901.375</v>
      </c>
      <c r="U61" s="50">
        <v>1400</v>
      </c>
      <c r="V61" s="106">
        <v>24990</v>
      </c>
      <c r="W61" s="97">
        <v>17.850000000000001</v>
      </c>
      <c r="X61" s="44">
        <v>700</v>
      </c>
      <c r="Y61" s="41">
        <f t="shared" si="7"/>
        <v>12495.000000000002</v>
      </c>
      <c r="Z61" s="44">
        <f t="shared" si="8"/>
        <v>1367.5</v>
      </c>
      <c r="AA61" s="44">
        <f t="shared" si="9"/>
        <v>2067.5</v>
      </c>
      <c r="AB61" s="111">
        <f t="shared" si="10"/>
        <v>36904.875</v>
      </c>
      <c r="AC61" s="115"/>
      <c r="AD61" s="169">
        <v>1000</v>
      </c>
      <c r="AE61" s="170">
        <v>0</v>
      </c>
      <c r="AF61" s="171">
        <v>367.5</v>
      </c>
      <c r="AG61" s="172">
        <f t="shared" si="11"/>
        <v>1367.5</v>
      </c>
    </row>
    <row r="62" spans="1:33" x14ac:dyDescent="0.2">
      <c r="A62" s="35" t="s">
        <v>107</v>
      </c>
      <c r="B62" s="36" t="s">
        <v>566</v>
      </c>
      <c r="C62" s="36" t="s">
        <v>571</v>
      </c>
      <c r="D62" s="36" t="s">
        <v>821</v>
      </c>
      <c r="E62" s="36" t="s">
        <v>920</v>
      </c>
      <c r="F62" s="39">
        <v>650</v>
      </c>
      <c r="G62" s="40">
        <v>13833</v>
      </c>
      <c r="H62" s="39">
        <v>740</v>
      </c>
      <c r="I62" s="40">
        <v>13860.599999999999</v>
      </c>
      <c r="J62" s="36" t="s">
        <v>571</v>
      </c>
      <c r="K62" s="41">
        <v>16.575835453774385</v>
      </c>
      <c r="L62" s="105">
        <v>0</v>
      </c>
      <c r="M62" s="44">
        <v>3395</v>
      </c>
      <c r="N62" s="41">
        <v>56564.55</v>
      </c>
      <c r="O62" s="92">
        <v>2850</v>
      </c>
      <c r="P62" s="43">
        <v>545</v>
      </c>
      <c r="Q62" s="43">
        <v>6605</v>
      </c>
      <c r="R62" s="43">
        <v>109483.39317217981</v>
      </c>
      <c r="S62" s="44">
        <v>10000</v>
      </c>
      <c r="T62" s="45">
        <f t="shared" si="12"/>
        <v>165758.35453774384</v>
      </c>
      <c r="U62" s="50">
        <v>5895</v>
      </c>
      <c r="V62" s="106">
        <v>97714.549999999988</v>
      </c>
      <c r="W62" s="97">
        <v>18.415384615384614</v>
      </c>
      <c r="X62" s="44">
        <v>650</v>
      </c>
      <c r="Y62" s="41">
        <f t="shared" si="7"/>
        <v>11969.999999999998</v>
      </c>
      <c r="Z62" s="44">
        <f t="shared" si="8"/>
        <v>1317.75</v>
      </c>
      <c r="AA62" s="44">
        <f t="shared" si="9"/>
        <v>1967.75</v>
      </c>
      <c r="AB62" s="111">
        <f t="shared" si="10"/>
        <v>36236.873076923075</v>
      </c>
      <c r="AC62" s="115"/>
      <c r="AD62" s="169">
        <v>0</v>
      </c>
      <c r="AE62" s="170">
        <v>0</v>
      </c>
      <c r="AF62" s="171">
        <v>1317.75</v>
      </c>
      <c r="AG62" s="172">
        <f t="shared" si="11"/>
        <v>1317.75</v>
      </c>
    </row>
    <row r="63" spans="1:33" x14ac:dyDescent="0.2">
      <c r="A63" s="35" t="s">
        <v>67</v>
      </c>
      <c r="B63" s="36" t="s">
        <v>567</v>
      </c>
      <c r="C63" s="36" t="s">
        <v>578</v>
      </c>
      <c r="D63" s="36" t="s">
        <v>828</v>
      </c>
      <c r="E63" s="36" t="s">
        <v>920</v>
      </c>
      <c r="F63" s="39">
        <v>1086</v>
      </c>
      <c r="G63" s="40">
        <v>29225.22</v>
      </c>
      <c r="H63" s="39">
        <v>2771</v>
      </c>
      <c r="I63" s="40">
        <v>60999.509999999995</v>
      </c>
      <c r="J63" s="36" t="s">
        <v>571</v>
      </c>
      <c r="K63" s="41">
        <v>19.960725828540131</v>
      </c>
      <c r="L63" s="105">
        <v>0</v>
      </c>
      <c r="M63" s="44">
        <v>3815</v>
      </c>
      <c r="N63" s="41">
        <v>61997.61</v>
      </c>
      <c r="O63" s="92">
        <v>1384</v>
      </c>
      <c r="P63" s="43">
        <v>2431</v>
      </c>
      <c r="Q63" s="43">
        <v>227.50000000000045</v>
      </c>
      <c r="R63" s="43">
        <v>4541.0651259928891</v>
      </c>
      <c r="S63" s="44">
        <v>4042.5000000000005</v>
      </c>
      <c r="T63" s="45">
        <f t="shared" si="12"/>
        <v>80691.234161873494</v>
      </c>
      <c r="U63" s="50">
        <v>3651</v>
      </c>
      <c r="V63" s="106">
        <v>72876.610000000015</v>
      </c>
      <c r="W63" s="97">
        <v>17.41</v>
      </c>
      <c r="X63" s="44">
        <v>476</v>
      </c>
      <c r="Y63" s="41">
        <f t="shared" si="7"/>
        <v>8287.16</v>
      </c>
      <c r="Z63" s="44">
        <f t="shared" si="8"/>
        <v>1338.75</v>
      </c>
      <c r="AA63" s="44">
        <f t="shared" si="9"/>
        <v>1814.75</v>
      </c>
      <c r="AB63" s="111">
        <f t="shared" si="10"/>
        <v>31594.797500000001</v>
      </c>
      <c r="AC63" s="115"/>
      <c r="AD63" s="169">
        <v>0</v>
      </c>
      <c r="AE63" s="170">
        <v>0</v>
      </c>
      <c r="AF63" s="171">
        <v>1338.75</v>
      </c>
      <c r="AG63" s="172">
        <f t="shared" si="11"/>
        <v>1338.75</v>
      </c>
    </row>
    <row r="64" spans="1:33" x14ac:dyDescent="0.2">
      <c r="A64" s="35" t="s">
        <v>451</v>
      </c>
      <c r="B64" s="36" t="s">
        <v>567</v>
      </c>
      <c r="C64" s="36" t="s">
        <v>578</v>
      </c>
      <c r="D64" s="36" t="s">
        <v>821</v>
      </c>
      <c r="E64" s="36" t="s">
        <v>920</v>
      </c>
      <c r="F64" s="39">
        <v>5237</v>
      </c>
      <c r="G64" s="40">
        <v>37968.25</v>
      </c>
      <c r="H64" s="39">
        <v>3842</v>
      </c>
      <c r="I64" s="40">
        <v>29730.1</v>
      </c>
      <c r="J64" s="36" t="s">
        <v>578</v>
      </c>
      <c r="K64" s="41">
        <v>10.241250000000001</v>
      </c>
      <c r="L64" s="105">
        <v>0</v>
      </c>
      <c r="M64" s="44">
        <v>0</v>
      </c>
      <c r="N64" s="41">
        <v>0</v>
      </c>
      <c r="O64" s="92">
        <v>5700</v>
      </c>
      <c r="P64" s="43">
        <v>-5700</v>
      </c>
      <c r="Q64" s="43">
        <v>5700</v>
      </c>
      <c r="R64" s="43">
        <v>58375.125000000007</v>
      </c>
      <c r="S64" s="44">
        <v>5700</v>
      </c>
      <c r="T64" s="45">
        <f t="shared" si="12"/>
        <v>58375.125000000007</v>
      </c>
      <c r="U64" s="50">
        <v>4000</v>
      </c>
      <c r="V64" s="106">
        <v>40965</v>
      </c>
      <c r="W64" s="97">
        <v>7.76</v>
      </c>
      <c r="X64" s="44">
        <v>0</v>
      </c>
      <c r="Y64" s="41">
        <f t="shared" si="7"/>
        <v>0</v>
      </c>
      <c r="Z64" s="44">
        <f t="shared" si="8"/>
        <v>4552.6499999999996</v>
      </c>
      <c r="AA64" s="44">
        <f t="shared" si="9"/>
        <v>4552.6499999999996</v>
      </c>
      <c r="AB64" s="111">
        <f t="shared" si="10"/>
        <v>35328.563999999998</v>
      </c>
      <c r="AC64" s="115"/>
      <c r="AD64" s="169">
        <v>0</v>
      </c>
      <c r="AE64" s="170">
        <v>500</v>
      </c>
      <c r="AF64" s="171">
        <v>4052.6499999999996</v>
      </c>
      <c r="AG64" s="172">
        <f t="shared" si="11"/>
        <v>4552.6499999999996</v>
      </c>
    </row>
    <row r="65" spans="1:33" x14ac:dyDescent="0.2">
      <c r="A65" s="35" t="s">
        <v>141</v>
      </c>
      <c r="B65" s="36" t="s">
        <v>1031</v>
      </c>
      <c r="C65" s="36" t="s">
        <v>571</v>
      </c>
      <c r="D65" s="36" t="s">
        <v>814</v>
      </c>
      <c r="E65" s="36" t="s">
        <v>920</v>
      </c>
      <c r="F65" s="39">
        <v>0</v>
      </c>
      <c r="G65" s="40">
        <v>0</v>
      </c>
      <c r="H65" s="39">
        <v>0</v>
      </c>
      <c r="I65" s="40">
        <v>0</v>
      </c>
      <c r="J65" s="36" t="s">
        <v>571</v>
      </c>
      <c r="K65" s="41">
        <v>63.38</v>
      </c>
      <c r="L65" s="105">
        <v>0</v>
      </c>
      <c r="M65" s="44">
        <v>500</v>
      </c>
      <c r="N65" s="41">
        <v>31690</v>
      </c>
      <c r="O65" s="92">
        <v>0</v>
      </c>
      <c r="P65" s="43">
        <v>500</v>
      </c>
      <c r="Q65" s="43">
        <v>77.5</v>
      </c>
      <c r="R65" s="43">
        <v>4911.95</v>
      </c>
      <c r="S65" s="44">
        <v>577.5</v>
      </c>
      <c r="T65" s="45">
        <f t="shared" si="12"/>
        <v>36601.950000000004</v>
      </c>
      <c r="U65" s="50">
        <v>500</v>
      </c>
      <c r="V65" s="106">
        <v>31690</v>
      </c>
      <c r="W65" s="97">
        <v>63.38</v>
      </c>
      <c r="X65" s="44">
        <v>0</v>
      </c>
      <c r="Y65" s="41">
        <f t="shared" si="7"/>
        <v>0</v>
      </c>
      <c r="Z65" s="44">
        <f t="shared" si="8"/>
        <v>525</v>
      </c>
      <c r="AA65" s="44">
        <f t="shared" si="9"/>
        <v>525</v>
      </c>
      <c r="AB65" s="111">
        <f t="shared" si="10"/>
        <v>33274.5</v>
      </c>
      <c r="AC65" s="115"/>
      <c r="AD65" s="169">
        <v>0</v>
      </c>
      <c r="AE65" s="170">
        <v>0</v>
      </c>
      <c r="AF65" s="171">
        <v>525</v>
      </c>
      <c r="AG65" s="172">
        <f t="shared" si="11"/>
        <v>525</v>
      </c>
    </row>
    <row r="66" spans="1:33" x14ac:dyDescent="0.2">
      <c r="A66" s="35" t="s">
        <v>165</v>
      </c>
      <c r="B66" s="36" t="s">
        <v>567</v>
      </c>
      <c r="C66" s="36" t="s">
        <v>578</v>
      </c>
      <c r="D66" s="36" t="s">
        <v>821</v>
      </c>
      <c r="E66" s="36" t="s">
        <v>920</v>
      </c>
      <c r="F66" s="39">
        <v>251</v>
      </c>
      <c r="G66" s="40">
        <v>3827.0600000000004</v>
      </c>
      <c r="H66" s="39">
        <v>1750</v>
      </c>
      <c r="I66" s="40">
        <v>28875</v>
      </c>
      <c r="J66" s="36" t="s">
        <v>578</v>
      </c>
      <c r="K66" s="41">
        <v>16.89</v>
      </c>
      <c r="L66" s="105">
        <v>0</v>
      </c>
      <c r="M66" s="44">
        <v>500</v>
      </c>
      <c r="N66" s="41">
        <v>8865</v>
      </c>
      <c r="O66" s="92">
        <v>901</v>
      </c>
      <c r="P66" s="43">
        <v>-401</v>
      </c>
      <c r="Q66" s="43">
        <v>366.25000000000011</v>
      </c>
      <c r="R66" s="43">
        <v>6185.9625000000024</v>
      </c>
      <c r="S66" s="44">
        <v>866.25000000000011</v>
      </c>
      <c r="T66" s="45">
        <f t="shared" si="12"/>
        <v>14630.962500000003</v>
      </c>
      <c r="U66" s="50">
        <v>1000</v>
      </c>
      <c r="V66" s="106">
        <v>16890</v>
      </c>
      <c r="W66" s="97">
        <v>18.34</v>
      </c>
      <c r="X66" s="44">
        <v>750</v>
      </c>
      <c r="Y66" s="41">
        <f t="shared" ref="Y66:Y97" si="13">X66*W66</f>
        <v>13755</v>
      </c>
      <c r="Z66" s="44">
        <f t="shared" ref="Z66:Z97" si="14">AG66</f>
        <v>1048.25</v>
      </c>
      <c r="AA66" s="44">
        <f t="shared" ref="AA66:AA97" si="15">Z66+X66</f>
        <v>1798.25</v>
      </c>
      <c r="AB66" s="111">
        <f t="shared" ref="AB66:AB97" si="16">AA66*W66</f>
        <v>32979.904999999999</v>
      </c>
      <c r="AC66" s="115"/>
      <c r="AD66" s="169">
        <v>0</v>
      </c>
      <c r="AE66" s="170">
        <v>0</v>
      </c>
      <c r="AF66" s="171">
        <v>1048.25</v>
      </c>
      <c r="AG66" s="172">
        <f t="shared" ref="AG66:AG97" si="17">SUM(AD66:AF66)</f>
        <v>1048.25</v>
      </c>
    </row>
    <row r="67" spans="1:33" x14ac:dyDescent="0.2">
      <c r="A67" s="35" t="s">
        <v>163</v>
      </c>
      <c r="B67" s="36" t="s">
        <v>566</v>
      </c>
      <c r="C67" s="36" t="s">
        <v>578</v>
      </c>
      <c r="D67" s="36" t="s">
        <v>820</v>
      </c>
      <c r="E67" s="36" t="s">
        <v>920</v>
      </c>
      <c r="F67" s="39">
        <v>3750</v>
      </c>
      <c r="G67" s="40">
        <v>31585</v>
      </c>
      <c r="H67" s="39">
        <v>10350</v>
      </c>
      <c r="I67" s="40">
        <v>90346.5</v>
      </c>
      <c r="J67" s="36" t="s">
        <v>578</v>
      </c>
      <c r="K67" s="41">
        <v>11.220974477958237</v>
      </c>
      <c r="L67" s="105">
        <v>0</v>
      </c>
      <c r="M67" s="44">
        <v>2100</v>
      </c>
      <c r="N67" s="41">
        <v>20289.5</v>
      </c>
      <c r="O67" s="92">
        <v>7600</v>
      </c>
      <c r="P67" s="43">
        <v>-5500</v>
      </c>
      <c r="Q67" s="43">
        <v>4085.875</v>
      </c>
      <c r="R67" s="43">
        <v>45847.499095127612</v>
      </c>
      <c r="S67" s="44">
        <v>6185.875</v>
      </c>
      <c r="T67" s="45">
        <f t="shared" si="12"/>
        <v>69411.5454988399</v>
      </c>
      <c r="U67" s="50">
        <v>2155</v>
      </c>
      <c r="V67" s="106">
        <v>24181.200000000001</v>
      </c>
      <c r="W67" s="97">
        <v>9.8000000000000007</v>
      </c>
      <c r="X67" s="44">
        <v>0</v>
      </c>
      <c r="Y67" s="41">
        <f t="shared" si="13"/>
        <v>0</v>
      </c>
      <c r="Z67" s="44">
        <f t="shared" si="14"/>
        <v>3353.75</v>
      </c>
      <c r="AA67" s="44">
        <f t="shared" si="15"/>
        <v>3353.75</v>
      </c>
      <c r="AB67" s="111">
        <f t="shared" si="16"/>
        <v>32866.75</v>
      </c>
      <c r="AC67" s="115"/>
      <c r="AD67" s="169">
        <v>0</v>
      </c>
      <c r="AE67" s="170">
        <v>300</v>
      </c>
      <c r="AF67" s="171">
        <v>3053.75</v>
      </c>
      <c r="AG67" s="172">
        <f t="shared" si="17"/>
        <v>3353.75</v>
      </c>
    </row>
    <row r="68" spans="1:33" x14ac:dyDescent="0.2">
      <c r="A68" s="35" t="s">
        <v>99</v>
      </c>
      <c r="B68" s="36" t="s">
        <v>1031</v>
      </c>
      <c r="C68" s="36" t="s">
        <v>571</v>
      </c>
      <c r="D68" s="36" t="s">
        <v>814</v>
      </c>
      <c r="E68" s="36" t="s">
        <v>920</v>
      </c>
      <c r="F68" s="39">
        <v>500</v>
      </c>
      <c r="G68" s="40">
        <v>6120</v>
      </c>
      <c r="H68" s="39">
        <v>1000</v>
      </c>
      <c r="I68" s="40">
        <v>14490</v>
      </c>
      <c r="J68" s="36" t="s">
        <v>571</v>
      </c>
      <c r="K68" s="41">
        <v>12.6</v>
      </c>
      <c r="L68" s="105">
        <v>0</v>
      </c>
      <c r="M68" s="44">
        <v>1370</v>
      </c>
      <c r="N68" s="41">
        <v>17262</v>
      </c>
      <c r="O68" s="92">
        <v>550</v>
      </c>
      <c r="P68" s="43">
        <v>820</v>
      </c>
      <c r="Q68" s="43">
        <v>212.35000000000036</v>
      </c>
      <c r="R68" s="43">
        <v>2675.6100000000047</v>
      </c>
      <c r="S68" s="44">
        <v>1582.3500000000004</v>
      </c>
      <c r="T68" s="45">
        <f t="shared" si="12"/>
        <v>19937.610000000004</v>
      </c>
      <c r="U68" s="50">
        <v>1870</v>
      </c>
      <c r="V68" s="106">
        <v>23562</v>
      </c>
      <c r="W68" s="97">
        <v>12.6</v>
      </c>
      <c r="X68" s="44">
        <v>580</v>
      </c>
      <c r="Y68" s="41">
        <f t="shared" si="13"/>
        <v>7308</v>
      </c>
      <c r="Z68" s="44">
        <f t="shared" si="14"/>
        <v>1963.5</v>
      </c>
      <c r="AA68" s="44">
        <f t="shared" si="15"/>
        <v>2543.5</v>
      </c>
      <c r="AB68" s="111">
        <f t="shared" si="16"/>
        <v>32048.1</v>
      </c>
      <c r="AC68" s="115"/>
      <c r="AD68" s="169">
        <v>0</v>
      </c>
      <c r="AE68" s="170">
        <v>0</v>
      </c>
      <c r="AF68" s="171">
        <v>1963.5</v>
      </c>
      <c r="AG68" s="172">
        <f t="shared" si="17"/>
        <v>1963.5</v>
      </c>
    </row>
    <row r="69" spans="1:33" x14ac:dyDescent="0.2">
      <c r="A69" s="35" t="s">
        <v>9</v>
      </c>
      <c r="B69" s="36" t="s">
        <v>566</v>
      </c>
      <c r="C69" s="36" t="s">
        <v>578</v>
      </c>
      <c r="D69" s="36" t="s">
        <v>820</v>
      </c>
      <c r="E69" s="36" t="s">
        <v>920</v>
      </c>
      <c r="F69" s="39">
        <v>2404</v>
      </c>
      <c r="G69" s="40">
        <v>16652.68</v>
      </c>
      <c r="H69" s="39">
        <v>6850</v>
      </c>
      <c r="I69" s="40">
        <v>58621.500000000007</v>
      </c>
      <c r="J69" s="36" t="s">
        <v>578</v>
      </c>
      <c r="K69" s="41">
        <v>9.2817851416354884</v>
      </c>
      <c r="L69" s="105">
        <v>240</v>
      </c>
      <c r="M69" s="44">
        <v>2750</v>
      </c>
      <c r="N69" s="41">
        <v>15389.5</v>
      </c>
      <c r="O69" s="92">
        <v>7992.6666666666661</v>
      </c>
      <c r="P69" s="43">
        <v>-5242.6666666666661</v>
      </c>
      <c r="Q69" s="43">
        <v>3093.25</v>
      </c>
      <c r="R69" s="43">
        <v>28710.881889363973</v>
      </c>
      <c r="S69" s="44">
        <v>6083.25</v>
      </c>
      <c r="T69" s="45">
        <f t="shared" si="12"/>
        <v>56463.419462854086</v>
      </c>
      <c r="U69" s="50">
        <v>3742</v>
      </c>
      <c r="V69" s="106">
        <v>34732.439999999995</v>
      </c>
      <c r="W69" s="97">
        <v>8.64</v>
      </c>
      <c r="X69" s="44">
        <v>7000</v>
      </c>
      <c r="Y69" s="41">
        <f t="shared" si="13"/>
        <v>60480.000000000007</v>
      </c>
      <c r="Z69" s="44">
        <f t="shared" si="14"/>
        <v>1500</v>
      </c>
      <c r="AA69" s="44">
        <f t="shared" si="15"/>
        <v>8500</v>
      </c>
      <c r="AB69" s="111">
        <f t="shared" si="16"/>
        <v>73440</v>
      </c>
      <c r="AC69" s="115"/>
      <c r="AD69" s="169">
        <v>0</v>
      </c>
      <c r="AE69" s="170">
        <v>0</v>
      </c>
      <c r="AF69" s="171">
        <v>1500</v>
      </c>
      <c r="AG69" s="172">
        <f t="shared" si="17"/>
        <v>1500</v>
      </c>
    </row>
    <row r="70" spans="1:33" x14ac:dyDescent="0.2">
      <c r="A70" s="35" t="s">
        <v>117</v>
      </c>
      <c r="B70" s="36" t="s">
        <v>567</v>
      </c>
      <c r="C70" s="36" t="s">
        <v>578</v>
      </c>
      <c r="D70" s="36" t="s">
        <v>821</v>
      </c>
      <c r="E70" s="36" t="s">
        <v>920</v>
      </c>
      <c r="F70" s="39">
        <v>1212</v>
      </c>
      <c r="G70" s="40">
        <v>26942.84</v>
      </c>
      <c r="H70" s="39">
        <v>72</v>
      </c>
      <c r="I70" s="40">
        <v>2343.4</v>
      </c>
      <c r="J70" s="36" t="s">
        <v>578</v>
      </c>
      <c r="K70" s="41">
        <v>22.46</v>
      </c>
      <c r="L70" s="105">
        <v>0</v>
      </c>
      <c r="M70" s="44">
        <v>1000</v>
      </c>
      <c r="N70" s="41">
        <v>22460</v>
      </c>
      <c r="O70" s="92">
        <v>500</v>
      </c>
      <c r="P70" s="43">
        <v>500</v>
      </c>
      <c r="Q70" s="43">
        <v>155</v>
      </c>
      <c r="R70" s="43">
        <v>3481.3</v>
      </c>
      <c r="S70" s="44">
        <v>1155</v>
      </c>
      <c r="T70" s="45">
        <f t="shared" si="12"/>
        <v>25941.3</v>
      </c>
      <c r="U70" s="50">
        <v>1000</v>
      </c>
      <c r="V70" s="106">
        <v>22460</v>
      </c>
      <c r="W70" s="97">
        <v>22.5</v>
      </c>
      <c r="X70" s="44">
        <v>0</v>
      </c>
      <c r="Y70" s="41">
        <f t="shared" si="13"/>
        <v>0</v>
      </c>
      <c r="Z70" s="44">
        <f t="shared" si="14"/>
        <v>1338.75</v>
      </c>
      <c r="AA70" s="44">
        <f t="shared" si="15"/>
        <v>1338.75</v>
      </c>
      <c r="AB70" s="111">
        <f t="shared" si="16"/>
        <v>30121.875</v>
      </c>
      <c r="AC70" s="115"/>
      <c r="AD70" s="169">
        <v>0</v>
      </c>
      <c r="AE70" s="170">
        <v>0</v>
      </c>
      <c r="AF70" s="171">
        <v>1338.75</v>
      </c>
      <c r="AG70" s="172">
        <f t="shared" si="17"/>
        <v>1338.75</v>
      </c>
    </row>
    <row r="71" spans="1:33" x14ac:dyDescent="0.2">
      <c r="A71" s="35" t="s">
        <v>848</v>
      </c>
      <c r="B71" s="36" t="s">
        <v>554</v>
      </c>
      <c r="C71" s="36"/>
      <c r="D71" s="36"/>
      <c r="E71" s="36" t="s">
        <v>920</v>
      </c>
      <c r="F71" s="39"/>
      <c r="G71" s="40"/>
      <c r="H71" s="39">
        <v>60</v>
      </c>
      <c r="I71" s="40">
        <v>49980</v>
      </c>
      <c r="J71" s="36"/>
      <c r="K71" s="41">
        <v>833</v>
      </c>
      <c r="L71" s="105"/>
      <c r="M71" s="44"/>
      <c r="N71" s="41"/>
      <c r="O71" s="92"/>
      <c r="P71" s="36"/>
      <c r="Q71" s="36"/>
      <c r="R71" s="36"/>
      <c r="S71" s="44"/>
      <c r="T71" s="36"/>
      <c r="U71" s="36">
        <v>24</v>
      </c>
      <c r="V71" s="106">
        <v>19992</v>
      </c>
      <c r="W71" s="97">
        <v>833</v>
      </c>
      <c r="X71" s="44">
        <v>36</v>
      </c>
      <c r="Y71" s="41">
        <f t="shared" si="13"/>
        <v>29988</v>
      </c>
      <c r="Z71" s="44">
        <f t="shared" si="14"/>
        <v>0</v>
      </c>
      <c r="AA71" s="44">
        <f t="shared" si="15"/>
        <v>36</v>
      </c>
      <c r="AB71" s="111">
        <f t="shared" si="16"/>
        <v>29988</v>
      </c>
      <c r="AC71" s="115"/>
      <c r="AD71" s="169">
        <v>0</v>
      </c>
      <c r="AE71" s="170">
        <v>0</v>
      </c>
      <c r="AF71" s="171">
        <v>0</v>
      </c>
      <c r="AG71" s="172">
        <f t="shared" si="17"/>
        <v>0</v>
      </c>
    </row>
    <row r="72" spans="1:33" x14ac:dyDescent="0.2">
      <c r="A72" s="35" t="s">
        <v>456</v>
      </c>
      <c r="B72" s="36" t="s">
        <v>567</v>
      </c>
      <c r="C72" s="36" t="s">
        <v>578</v>
      </c>
      <c r="D72" s="36" t="s">
        <v>821</v>
      </c>
      <c r="E72" s="36" t="s">
        <v>920</v>
      </c>
      <c r="F72" s="39">
        <v>1355</v>
      </c>
      <c r="G72" s="40">
        <v>33155.54</v>
      </c>
      <c r="H72" s="39">
        <v>800</v>
      </c>
      <c r="I72" s="40">
        <v>21168</v>
      </c>
      <c r="J72" s="36" t="s">
        <v>578</v>
      </c>
      <c r="K72" s="41">
        <v>27.393473389355737</v>
      </c>
      <c r="L72" s="105">
        <v>0</v>
      </c>
      <c r="M72" s="44">
        <v>0</v>
      </c>
      <c r="N72" s="41">
        <v>0</v>
      </c>
      <c r="O72" s="92">
        <v>993.33333333333337</v>
      </c>
      <c r="P72" s="43">
        <v>-993.33333333333337</v>
      </c>
      <c r="Q72" s="43">
        <v>993.33333333333337</v>
      </c>
      <c r="R72" s="43">
        <v>27210.8502334267</v>
      </c>
      <c r="S72" s="44">
        <v>993.33333333333337</v>
      </c>
      <c r="T72" s="45">
        <f t="shared" ref="T72:T80" si="18">S72*K72</f>
        <v>27210.8502334267</v>
      </c>
      <c r="U72" s="50">
        <v>1071</v>
      </c>
      <c r="V72" s="106">
        <v>29338.409999999996</v>
      </c>
      <c r="W72" s="97">
        <v>26.29</v>
      </c>
      <c r="X72" s="44">
        <v>500</v>
      </c>
      <c r="Y72" s="41">
        <f t="shared" si="13"/>
        <v>13145</v>
      </c>
      <c r="Z72" s="44">
        <f t="shared" si="14"/>
        <v>627.34999999999991</v>
      </c>
      <c r="AA72" s="44">
        <f t="shared" si="15"/>
        <v>1127.3499999999999</v>
      </c>
      <c r="AB72" s="111">
        <f t="shared" si="16"/>
        <v>29638.031499999997</v>
      </c>
      <c r="AC72" s="115"/>
      <c r="AD72" s="169">
        <v>0</v>
      </c>
      <c r="AE72" s="170">
        <v>0</v>
      </c>
      <c r="AF72" s="171">
        <v>627.34999999999991</v>
      </c>
      <c r="AG72" s="172">
        <f t="shared" si="17"/>
        <v>627.34999999999991</v>
      </c>
    </row>
    <row r="73" spans="1:33" x14ac:dyDescent="0.2">
      <c r="A73" s="35" t="s">
        <v>457</v>
      </c>
      <c r="B73" s="36" t="s">
        <v>567</v>
      </c>
      <c r="C73" s="36" t="s">
        <v>578</v>
      </c>
      <c r="D73" s="36" t="s">
        <v>821</v>
      </c>
      <c r="E73" s="36" t="s">
        <v>920</v>
      </c>
      <c r="F73" s="39">
        <v>0</v>
      </c>
      <c r="G73" s="40">
        <v>0</v>
      </c>
      <c r="H73" s="39">
        <v>600</v>
      </c>
      <c r="I73" s="40">
        <v>12180</v>
      </c>
      <c r="J73" s="36" t="s">
        <v>571</v>
      </c>
      <c r="K73" s="41" t="e">
        <v>#DIV/0!</v>
      </c>
      <c r="L73" s="105">
        <v>0</v>
      </c>
      <c r="M73" s="44">
        <v>0</v>
      </c>
      <c r="N73" s="41">
        <v>0</v>
      </c>
      <c r="O73" s="92">
        <v>1050</v>
      </c>
      <c r="P73" s="43">
        <v>-1050</v>
      </c>
      <c r="Q73" s="43">
        <v>1050</v>
      </c>
      <c r="R73" s="43" t="e">
        <v>#DIV/0!</v>
      </c>
      <c r="S73" s="44">
        <v>1050</v>
      </c>
      <c r="T73" s="45" t="e">
        <f t="shared" si="18"/>
        <v>#DIV/0!</v>
      </c>
      <c r="U73" s="50">
        <v>0</v>
      </c>
      <c r="V73" s="106">
        <v>0</v>
      </c>
      <c r="W73" s="97">
        <v>46</v>
      </c>
      <c r="X73" s="44">
        <v>0</v>
      </c>
      <c r="Y73" s="41">
        <f t="shared" si="13"/>
        <v>0</v>
      </c>
      <c r="Z73" s="44">
        <f t="shared" si="14"/>
        <v>630</v>
      </c>
      <c r="AA73" s="44">
        <f t="shared" si="15"/>
        <v>630</v>
      </c>
      <c r="AB73" s="111">
        <f t="shared" si="16"/>
        <v>28980</v>
      </c>
      <c r="AC73" s="115"/>
      <c r="AD73" s="169">
        <v>0</v>
      </c>
      <c r="AE73" s="170">
        <v>0</v>
      </c>
      <c r="AF73" s="171">
        <v>630</v>
      </c>
      <c r="AG73" s="172">
        <f t="shared" si="17"/>
        <v>630</v>
      </c>
    </row>
    <row r="74" spans="1:33" x14ac:dyDescent="0.2">
      <c r="A74" s="35" t="s">
        <v>189</v>
      </c>
      <c r="B74" s="36" t="s">
        <v>567</v>
      </c>
      <c r="C74" s="36" t="s">
        <v>571</v>
      </c>
      <c r="D74" s="36" t="s">
        <v>823</v>
      </c>
      <c r="E74" s="36" t="s">
        <v>920</v>
      </c>
      <c r="F74" s="39">
        <v>500</v>
      </c>
      <c r="G74" s="40">
        <v>33790</v>
      </c>
      <c r="H74" s="39">
        <v>131</v>
      </c>
      <c r="I74" s="40">
        <v>8855.6</v>
      </c>
      <c r="J74" s="36" t="s">
        <v>571</v>
      </c>
      <c r="K74" s="41">
        <v>60.3</v>
      </c>
      <c r="L74" s="105">
        <v>0</v>
      </c>
      <c r="M74" s="44">
        <v>500</v>
      </c>
      <c r="N74" s="41">
        <v>30150</v>
      </c>
      <c r="O74" s="92">
        <v>0</v>
      </c>
      <c r="P74" s="43">
        <v>500</v>
      </c>
      <c r="Q74" s="43">
        <v>77.5</v>
      </c>
      <c r="R74" s="43">
        <v>4673.25</v>
      </c>
      <c r="S74" s="44">
        <v>577.5</v>
      </c>
      <c r="T74" s="45">
        <f t="shared" si="18"/>
        <v>34823.25</v>
      </c>
      <c r="U74" s="50">
        <v>500</v>
      </c>
      <c r="V74" s="106">
        <v>30150</v>
      </c>
      <c r="W74" s="97">
        <v>65</v>
      </c>
      <c r="X74" s="44">
        <v>0</v>
      </c>
      <c r="Y74" s="41">
        <f t="shared" si="13"/>
        <v>0</v>
      </c>
      <c r="Z74" s="44">
        <f t="shared" si="14"/>
        <v>406.27499999999998</v>
      </c>
      <c r="AA74" s="44">
        <f t="shared" si="15"/>
        <v>406.27499999999998</v>
      </c>
      <c r="AB74" s="111">
        <f t="shared" si="16"/>
        <v>26407.875</v>
      </c>
      <c r="AC74" s="115"/>
      <c r="AD74" s="169">
        <v>0</v>
      </c>
      <c r="AE74" s="170">
        <v>75</v>
      </c>
      <c r="AF74" s="171">
        <v>331.27499999999998</v>
      </c>
      <c r="AG74" s="172">
        <f t="shared" si="17"/>
        <v>406.27499999999998</v>
      </c>
    </row>
    <row r="75" spans="1:33" x14ac:dyDescent="0.2">
      <c r="A75" s="35" t="s">
        <v>15</v>
      </c>
      <c r="B75" s="36" t="s">
        <v>566</v>
      </c>
      <c r="C75" s="36" t="s">
        <v>578</v>
      </c>
      <c r="D75" s="36" t="s">
        <v>824</v>
      </c>
      <c r="E75" s="36" t="s">
        <v>920</v>
      </c>
      <c r="F75" s="39">
        <v>8597</v>
      </c>
      <c r="G75" s="40">
        <v>92438.86</v>
      </c>
      <c r="H75" s="39">
        <v>8040</v>
      </c>
      <c r="I75" s="40">
        <v>166290.01999999999</v>
      </c>
      <c r="J75" s="36" t="s">
        <v>578</v>
      </c>
      <c r="K75" s="41">
        <v>17.04567421790723</v>
      </c>
      <c r="L75" s="105">
        <v>0</v>
      </c>
      <c r="M75" s="44">
        <v>2840</v>
      </c>
      <c r="N75" s="41">
        <v>41407.199999999997</v>
      </c>
      <c r="O75" s="92">
        <v>21754.333333333332</v>
      </c>
      <c r="P75" s="43">
        <v>-18914.333333333332</v>
      </c>
      <c r="Q75" s="43">
        <v>4677.6650000000009</v>
      </c>
      <c r="R75" s="43">
        <v>79733.953690507042</v>
      </c>
      <c r="S75" s="44">
        <v>7517.6650000000009</v>
      </c>
      <c r="T75" s="45">
        <f t="shared" si="18"/>
        <v>128143.66846936358</v>
      </c>
      <c r="U75" s="50">
        <v>7416</v>
      </c>
      <c r="V75" s="106">
        <v>126410.72000000002</v>
      </c>
      <c r="W75" s="97">
        <v>12.75</v>
      </c>
      <c r="X75" s="44">
        <v>250</v>
      </c>
      <c r="Y75" s="41">
        <f t="shared" si="13"/>
        <v>3187.5</v>
      </c>
      <c r="Z75" s="44">
        <f t="shared" si="14"/>
        <v>1662.5</v>
      </c>
      <c r="AA75" s="44">
        <f t="shared" si="15"/>
        <v>1912.5</v>
      </c>
      <c r="AB75" s="111">
        <f t="shared" si="16"/>
        <v>24384.375</v>
      </c>
      <c r="AC75" s="115"/>
      <c r="AD75" s="169">
        <v>0</v>
      </c>
      <c r="AE75" s="170">
        <v>0</v>
      </c>
      <c r="AF75" s="171">
        <v>1662.5</v>
      </c>
      <c r="AG75" s="172">
        <f t="shared" si="17"/>
        <v>1662.5</v>
      </c>
    </row>
    <row r="76" spans="1:33" x14ac:dyDescent="0.2">
      <c r="A76" s="35" t="s">
        <v>167</v>
      </c>
      <c r="B76" s="36" t="s">
        <v>567</v>
      </c>
      <c r="C76" s="36" t="s">
        <v>578</v>
      </c>
      <c r="D76" s="36" t="s">
        <v>821</v>
      </c>
      <c r="E76" s="36" t="s">
        <v>920</v>
      </c>
      <c r="F76" s="39">
        <v>1500</v>
      </c>
      <c r="G76" s="40">
        <v>24375</v>
      </c>
      <c r="H76" s="39">
        <v>1800</v>
      </c>
      <c r="I76" s="40">
        <v>29394</v>
      </c>
      <c r="J76" s="36" t="s">
        <v>571</v>
      </c>
      <c r="K76" s="41">
        <v>17.3</v>
      </c>
      <c r="L76" s="105">
        <v>0</v>
      </c>
      <c r="M76" s="44">
        <v>700</v>
      </c>
      <c r="N76" s="41">
        <v>11711</v>
      </c>
      <c r="O76" s="92">
        <v>1030</v>
      </c>
      <c r="P76" s="43">
        <v>-330</v>
      </c>
      <c r="Q76" s="43">
        <v>1032.5000000000002</v>
      </c>
      <c r="R76" s="43">
        <v>17862.250000000004</v>
      </c>
      <c r="S76" s="44">
        <v>1732.5000000000002</v>
      </c>
      <c r="T76" s="45">
        <f t="shared" si="18"/>
        <v>29972.250000000004</v>
      </c>
      <c r="U76" s="50">
        <v>700</v>
      </c>
      <c r="V76" s="106">
        <v>12110</v>
      </c>
      <c r="W76" s="97">
        <v>16.59</v>
      </c>
      <c r="X76" s="44">
        <v>0</v>
      </c>
      <c r="Y76" s="41">
        <f t="shared" si="13"/>
        <v>0</v>
      </c>
      <c r="Z76" s="44">
        <f t="shared" si="14"/>
        <v>1400</v>
      </c>
      <c r="AA76" s="44">
        <f t="shared" si="15"/>
        <v>1400</v>
      </c>
      <c r="AB76" s="111">
        <f t="shared" si="16"/>
        <v>23226</v>
      </c>
      <c r="AC76" s="115"/>
      <c r="AD76" s="169">
        <v>0</v>
      </c>
      <c r="AE76" s="170">
        <v>0</v>
      </c>
      <c r="AF76" s="171">
        <v>1400</v>
      </c>
      <c r="AG76" s="172">
        <f t="shared" si="17"/>
        <v>1400</v>
      </c>
    </row>
    <row r="77" spans="1:33" x14ac:dyDescent="0.2">
      <c r="A77" s="35" t="s">
        <v>159</v>
      </c>
      <c r="B77" s="36" t="s">
        <v>567</v>
      </c>
      <c r="C77" s="36" t="s">
        <v>571</v>
      </c>
      <c r="D77" s="36" t="s">
        <v>776</v>
      </c>
      <c r="E77" s="36" t="s">
        <v>920</v>
      </c>
      <c r="F77" s="39">
        <v>0</v>
      </c>
      <c r="G77" s="40">
        <v>0</v>
      </c>
      <c r="H77" s="39">
        <v>0</v>
      </c>
      <c r="I77" s="40">
        <v>0</v>
      </c>
      <c r="J77" s="36" t="s">
        <v>571</v>
      </c>
      <c r="K77" s="41">
        <v>30.91</v>
      </c>
      <c r="L77" s="105">
        <v>0</v>
      </c>
      <c r="M77" s="44">
        <v>650</v>
      </c>
      <c r="N77" s="41">
        <v>20091.5</v>
      </c>
      <c r="O77" s="92">
        <v>650</v>
      </c>
      <c r="P77" s="43">
        <v>0</v>
      </c>
      <c r="Q77" s="43">
        <v>100.75000000000011</v>
      </c>
      <c r="R77" s="43">
        <v>3114.1825000000035</v>
      </c>
      <c r="S77" s="44">
        <v>750.75000000000011</v>
      </c>
      <c r="T77" s="45">
        <f t="shared" si="18"/>
        <v>23205.682500000003</v>
      </c>
      <c r="U77" s="50">
        <v>650</v>
      </c>
      <c r="V77" s="106">
        <v>20091.5</v>
      </c>
      <c r="W77" s="97">
        <v>40.869999999999997</v>
      </c>
      <c r="X77" s="44">
        <v>60</v>
      </c>
      <c r="Y77" s="41">
        <f t="shared" si="13"/>
        <v>2452.1999999999998</v>
      </c>
      <c r="Z77" s="44">
        <f t="shared" si="14"/>
        <v>500</v>
      </c>
      <c r="AA77" s="44">
        <f t="shared" si="15"/>
        <v>560</v>
      </c>
      <c r="AB77" s="111">
        <f t="shared" si="16"/>
        <v>22887.199999999997</v>
      </c>
      <c r="AC77" s="115"/>
      <c r="AD77" s="169">
        <v>0</v>
      </c>
      <c r="AE77" s="170">
        <v>0</v>
      </c>
      <c r="AF77" s="171">
        <v>500</v>
      </c>
      <c r="AG77" s="172">
        <f t="shared" si="17"/>
        <v>500</v>
      </c>
    </row>
    <row r="78" spans="1:33" x14ac:dyDescent="0.2">
      <c r="A78" s="35" t="s">
        <v>175</v>
      </c>
      <c r="B78" s="36" t="s">
        <v>567</v>
      </c>
      <c r="C78" s="36" t="s">
        <v>571</v>
      </c>
      <c r="D78" s="36" t="s">
        <v>776</v>
      </c>
      <c r="E78" s="36" t="s">
        <v>920</v>
      </c>
      <c r="F78" s="39">
        <v>0</v>
      </c>
      <c r="G78" s="40">
        <v>0</v>
      </c>
      <c r="H78" s="39">
        <v>0</v>
      </c>
      <c r="I78" s="40">
        <v>0</v>
      </c>
      <c r="J78" s="36" t="s">
        <v>571</v>
      </c>
      <c r="K78" s="41">
        <v>34</v>
      </c>
      <c r="L78" s="105">
        <v>0</v>
      </c>
      <c r="M78" s="44">
        <v>631</v>
      </c>
      <c r="N78" s="41">
        <v>21454</v>
      </c>
      <c r="O78" s="92">
        <v>631</v>
      </c>
      <c r="P78" s="43">
        <v>0</v>
      </c>
      <c r="Q78" s="43">
        <v>97.805000000000064</v>
      </c>
      <c r="R78" s="43">
        <v>3325.3700000000022</v>
      </c>
      <c r="S78" s="44">
        <v>728.80500000000006</v>
      </c>
      <c r="T78" s="45">
        <f t="shared" si="18"/>
        <v>24779.370000000003</v>
      </c>
      <c r="U78" s="50">
        <v>631</v>
      </c>
      <c r="V78" s="106">
        <v>21454</v>
      </c>
      <c r="W78" s="97">
        <v>34</v>
      </c>
      <c r="X78" s="44">
        <v>0</v>
      </c>
      <c r="Y78" s="41">
        <f t="shared" si="13"/>
        <v>0</v>
      </c>
      <c r="Z78" s="44">
        <f t="shared" si="14"/>
        <v>662.55</v>
      </c>
      <c r="AA78" s="44">
        <f t="shared" si="15"/>
        <v>662.55</v>
      </c>
      <c r="AB78" s="111">
        <f t="shared" si="16"/>
        <v>22526.699999999997</v>
      </c>
      <c r="AC78" s="115"/>
      <c r="AD78" s="169">
        <v>0</v>
      </c>
      <c r="AE78" s="170">
        <v>0</v>
      </c>
      <c r="AF78" s="171">
        <v>662.55</v>
      </c>
      <c r="AG78" s="172">
        <f t="shared" si="17"/>
        <v>662.55</v>
      </c>
    </row>
    <row r="79" spans="1:33" x14ac:dyDescent="0.2">
      <c r="A79" s="35" t="s">
        <v>27</v>
      </c>
      <c r="B79" s="36" t="s">
        <v>567</v>
      </c>
      <c r="C79" s="36" t="s">
        <v>571</v>
      </c>
      <c r="D79" s="36" t="s">
        <v>761</v>
      </c>
      <c r="E79" s="36" t="s">
        <v>920</v>
      </c>
      <c r="F79" s="39">
        <v>30</v>
      </c>
      <c r="G79" s="40">
        <v>1699.2</v>
      </c>
      <c r="H79" s="39">
        <v>0</v>
      </c>
      <c r="I79" s="40">
        <v>0</v>
      </c>
      <c r="J79" s="36" t="s">
        <v>571</v>
      </c>
      <c r="K79" s="41">
        <v>41.88</v>
      </c>
      <c r="L79" s="105">
        <v>0</v>
      </c>
      <c r="M79" s="44">
        <v>500</v>
      </c>
      <c r="N79" s="41">
        <v>20940</v>
      </c>
      <c r="O79" s="92">
        <v>500</v>
      </c>
      <c r="P79" s="43">
        <v>0</v>
      </c>
      <c r="Q79" s="43">
        <v>77.5</v>
      </c>
      <c r="R79" s="43">
        <v>3245.7000000000003</v>
      </c>
      <c r="S79" s="44">
        <v>577.5</v>
      </c>
      <c r="T79" s="45">
        <f t="shared" si="18"/>
        <v>24185.7</v>
      </c>
      <c r="U79" s="50">
        <v>500</v>
      </c>
      <c r="V79" s="106">
        <v>20940</v>
      </c>
      <c r="W79" s="97">
        <v>42</v>
      </c>
      <c r="X79" s="44">
        <v>0</v>
      </c>
      <c r="Y79" s="41">
        <f t="shared" si="13"/>
        <v>0</v>
      </c>
      <c r="Z79" s="44">
        <f t="shared" si="14"/>
        <v>525</v>
      </c>
      <c r="AA79" s="44">
        <f t="shared" si="15"/>
        <v>525</v>
      </c>
      <c r="AB79" s="111">
        <f t="shared" si="16"/>
        <v>22050</v>
      </c>
      <c r="AC79" s="115"/>
      <c r="AD79" s="169">
        <v>0</v>
      </c>
      <c r="AE79" s="170">
        <v>0</v>
      </c>
      <c r="AF79" s="171">
        <v>525</v>
      </c>
      <c r="AG79" s="172">
        <f t="shared" si="17"/>
        <v>525</v>
      </c>
    </row>
    <row r="80" spans="1:33" x14ac:dyDescent="0.2">
      <c r="A80" s="35" t="s">
        <v>39</v>
      </c>
      <c r="B80" s="36" t="s">
        <v>566</v>
      </c>
      <c r="C80" s="36" t="s">
        <v>578</v>
      </c>
      <c r="D80" s="36" t="s">
        <v>821</v>
      </c>
      <c r="E80" s="36" t="s">
        <v>920</v>
      </c>
      <c r="F80" s="39">
        <v>247</v>
      </c>
      <c r="G80" s="40">
        <v>2153.84</v>
      </c>
      <c r="H80" s="39">
        <v>2500</v>
      </c>
      <c r="I80" s="40">
        <v>23540</v>
      </c>
      <c r="J80" s="36" t="s">
        <v>571</v>
      </c>
      <c r="K80" s="41">
        <v>10.246</v>
      </c>
      <c r="L80" s="105">
        <v>0</v>
      </c>
      <c r="M80" s="44">
        <v>250</v>
      </c>
      <c r="N80" s="41">
        <v>2180</v>
      </c>
      <c r="O80" s="92">
        <v>500</v>
      </c>
      <c r="P80" s="43">
        <v>-250</v>
      </c>
      <c r="Q80" s="43">
        <v>327.5</v>
      </c>
      <c r="R80" s="43">
        <v>3355.5650000000001</v>
      </c>
      <c r="S80" s="44">
        <v>577.5</v>
      </c>
      <c r="T80" s="45">
        <f t="shared" si="18"/>
        <v>5917.0650000000005</v>
      </c>
      <c r="U80" s="50">
        <v>3750</v>
      </c>
      <c r="V80" s="106">
        <v>38422.5</v>
      </c>
      <c r="W80" s="97">
        <v>9</v>
      </c>
      <c r="X80" s="44">
        <v>1000</v>
      </c>
      <c r="Y80" s="41">
        <f t="shared" si="13"/>
        <v>9000</v>
      </c>
      <c r="Z80" s="44">
        <f t="shared" si="14"/>
        <v>1500</v>
      </c>
      <c r="AA80" s="44">
        <f t="shared" si="15"/>
        <v>2500</v>
      </c>
      <c r="AB80" s="111">
        <f t="shared" si="16"/>
        <v>22500</v>
      </c>
      <c r="AC80" s="115"/>
      <c r="AD80" s="169">
        <v>0</v>
      </c>
      <c r="AE80" s="170">
        <v>0</v>
      </c>
      <c r="AF80" s="171">
        <v>1500</v>
      </c>
      <c r="AG80" s="172">
        <f t="shared" si="17"/>
        <v>1500</v>
      </c>
    </row>
    <row r="81" spans="1:33" x14ac:dyDescent="0.2">
      <c r="A81" s="35" t="s">
        <v>894</v>
      </c>
      <c r="B81" s="36" t="s">
        <v>1031</v>
      </c>
      <c r="C81" s="36"/>
      <c r="D81" s="36"/>
      <c r="E81" s="36" t="s">
        <v>920</v>
      </c>
      <c r="F81" s="39"/>
      <c r="G81" s="40"/>
      <c r="H81" s="39">
        <v>0</v>
      </c>
      <c r="I81" s="40">
        <v>0</v>
      </c>
      <c r="J81" s="36"/>
      <c r="K81" s="41">
        <v>32.22904761904762</v>
      </c>
      <c r="L81" s="105"/>
      <c r="M81" s="44"/>
      <c r="N81" s="41"/>
      <c r="O81" s="92"/>
      <c r="P81" s="36"/>
      <c r="Q81" s="36"/>
      <c r="R81" s="36"/>
      <c r="S81" s="44"/>
      <c r="T81" s="36"/>
      <c r="U81" s="36">
        <v>504</v>
      </c>
      <c r="V81" s="106">
        <v>16243.439999999999</v>
      </c>
      <c r="W81" s="97">
        <v>32.22</v>
      </c>
      <c r="X81" s="44">
        <v>0</v>
      </c>
      <c r="Y81" s="41">
        <f t="shared" si="13"/>
        <v>0</v>
      </c>
      <c r="Z81" s="44">
        <f t="shared" si="14"/>
        <v>634</v>
      </c>
      <c r="AA81" s="44">
        <f t="shared" si="15"/>
        <v>634</v>
      </c>
      <c r="AB81" s="111">
        <f t="shared" si="16"/>
        <v>20427.48</v>
      </c>
      <c r="AC81" s="115"/>
      <c r="AD81" s="169">
        <v>0</v>
      </c>
      <c r="AE81" s="170">
        <v>0</v>
      </c>
      <c r="AF81" s="171">
        <v>634</v>
      </c>
      <c r="AG81" s="172">
        <f t="shared" si="17"/>
        <v>634</v>
      </c>
    </row>
    <row r="82" spans="1:33" x14ac:dyDescent="0.2">
      <c r="A82" s="35" t="s">
        <v>462</v>
      </c>
      <c r="B82" s="36" t="s">
        <v>1031</v>
      </c>
      <c r="C82" s="36" t="s">
        <v>578</v>
      </c>
      <c r="D82" s="36" t="s">
        <v>821</v>
      </c>
      <c r="E82" s="36" t="s">
        <v>920</v>
      </c>
      <c r="F82" s="39">
        <v>0</v>
      </c>
      <c r="G82" s="40">
        <v>0</v>
      </c>
      <c r="H82" s="39">
        <v>600</v>
      </c>
      <c r="I82" s="40">
        <v>12290</v>
      </c>
      <c r="J82" s="36" t="s">
        <v>571</v>
      </c>
      <c r="K82" s="41" t="e">
        <v>#DIV/0!</v>
      </c>
      <c r="L82" s="105">
        <v>0</v>
      </c>
      <c r="M82" s="44">
        <v>0</v>
      </c>
      <c r="N82" s="41">
        <v>0</v>
      </c>
      <c r="O82" s="92">
        <v>329</v>
      </c>
      <c r="P82" s="43">
        <v>-329</v>
      </c>
      <c r="Q82" s="43">
        <v>329</v>
      </c>
      <c r="R82" s="43" t="e">
        <v>#DIV/0!</v>
      </c>
      <c r="S82" s="44">
        <v>329</v>
      </c>
      <c r="T82" s="45" t="e">
        <f t="shared" ref="T82:T95" si="19">S82*K82</f>
        <v>#DIV/0!</v>
      </c>
      <c r="U82" s="50">
        <v>0</v>
      </c>
      <c r="V82" s="106">
        <v>0</v>
      </c>
      <c r="W82" s="97">
        <v>28.45</v>
      </c>
      <c r="X82" s="44">
        <v>200</v>
      </c>
      <c r="Y82" s="41">
        <f t="shared" si="13"/>
        <v>5690</v>
      </c>
      <c r="Z82" s="44">
        <f t="shared" si="14"/>
        <v>500</v>
      </c>
      <c r="AA82" s="44">
        <f t="shared" si="15"/>
        <v>700</v>
      </c>
      <c r="AB82" s="111">
        <f t="shared" si="16"/>
        <v>19915</v>
      </c>
      <c r="AC82" s="115"/>
      <c r="AD82" s="169">
        <v>0</v>
      </c>
      <c r="AE82" s="170">
        <v>0</v>
      </c>
      <c r="AF82" s="171">
        <v>500</v>
      </c>
      <c r="AG82" s="172">
        <f t="shared" si="17"/>
        <v>500</v>
      </c>
    </row>
    <row r="83" spans="1:33" x14ac:dyDescent="0.2">
      <c r="A83" s="35" t="s">
        <v>157</v>
      </c>
      <c r="B83" s="36" t="s">
        <v>567</v>
      </c>
      <c r="C83" s="36" t="s">
        <v>571</v>
      </c>
      <c r="D83" s="36" t="s">
        <v>757</v>
      </c>
      <c r="E83" s="36" t="s">
        <v>920</v>
      </c>
      <c r="F83" s="39">
        <v>0</v>
      </c>
      <c r="G83" s="40">
        <v>0</v>
      </c>
      <c r="H83" s="39">
        <v>500</v>
      </c>
      <c r="I83" s="40">
        <v>6590</v>
      </c>
      <c r="J83" s="36" t="s">
        <v>571</v>
      </c>
      <c r="K83" s="41">
        <v>12.9</v>
      </c>
      <c r="L83" s="105">
        <v>0</v>
      </c>
      <c r="M83" s="44">
        <v>1000</v>
      </c>
      <c r="N83" s="41">
        <v>12900</v>
      </c>
      <c r="O83" s="92">
        <v>0</v>
      </c>
      <c r="P83" s="43">
        <v>1000</v>
      </c>
      <c r="Q83" s="43">
        <v>155</v>
      </c>
      <c r="R83" s="43">
        <v>1999.5</v>
      </c>
      <c r="S83" s="44">
        <v>1155</v>
      </c>
      <c r="T83" s="45">
        <f t="shared" si="19"/>
        <v>14899.5</v>
      </c>
      <c r="U83" s="50">
        <v>2168</v>
      </c>
      <c r="V83" s="106">
        <v>27967.200000000001</v>
      </c>
      <c r="W83" s="97">
        <v>13</v>
      </c>
      <c r="X83" s="44">
        <v>0</v>
      </c>
      <c r="Y83" s="41">
        <f t="shared" si="13"/>
        <v>0</v>
      </c>
      <c r="Z83" s="44">
        <f t="shared" si="14"/>
        <v>1400.7</v>
      </c>
      <c r="AA83" s="44">
        <f t="shared" si="15"/>
        <v>1400.7</v>
      </c>
      <c r="AB83" s="111">
        <f t="shared" si="16"/>
        <v>18209.100000000002</v>
      </c>
      <c r="AC83" s="115"/>
      <c r="AD83" s="169">
        <v>0</v>
      </c>
      <c r="AE83" s="170">
        <v>0</v>
      </c>
      <c r="AF83" s="171">
        <v>1400.7</v>
      </c>
      <c r="AG83" s="172">
        <f t="shared" si="17"/>
        <v>1400.7</v>
      </c>
    </row>
    <row r="84" spans="1:33" x14ac:dyDescent="0.2">
      <c r="A84" s="35" t="s">
        <v>458</v>
      </c>
      <c r="B84" s="36" t="s">
        <v>1031</v>
      </c>
      <c r="C84" s="36" t="s">
        <v>578</v>
      </c>
      <c r="D84" s="36" t="s">
        <v>821</v>
      </c>
      <c r="E84" s="36" t="s">
        <v>920</v>
      </c>
      <c r="F84" s="39">
        <v>1725</v>
      </c>
      <c r="G84" s="40">
        <v>27480.25</v>
      </c>
      <c r="H84" s="39">
        <v>722</v>
      </c>
      <c r="I84" s="40">
        <v>11458.400000000001</v>
      </c>
      <c r="J84" s="36" t="s">
        <v>571</v>
      </c>
      <c r="K84" s="41" t="e">
        <v>#DIV/0!</v>
      </c>
      <c r="L84" s="105">
        <v>0</v>
      </c>
      <c r="M84" s="44">
        <v>0</v>
      </c>
      <c r="N84" s="41">
        <v>0</v>
      </c>
      <c r="O84" s="92">
        <v>1285</v>
      </c>
      <c r="P84" s="43">
        <v>-1285</v>
      </c>
      <c r="Q84" s="43">
        <v>1285</v>
      </c>
      <c r="R84" s="43" t="e">
        <v>#DIV/0!</v>
      </c>
      <c r="S84" s="44">
        <v>1285</v>
      </c>
      <c r="T84" s="45" t="e">
        <f t="shared" si="19"/>
        <v>#DIV/0!</v>
      </c>
      <c r="U84" s="50">
        <v>0</v>
      </c>
      <c r="V84" s="106">
        <v>0</v>
      </c>
      <c r="W84" s="97">
        <v>12.65</v>
      </c>
      <c r="X84" s="44">
        <v>210</v>
      </c>
      <c r="Y84" s="41">
        <f t="shared" si="13"/>
        <v>2656.5</v>
      </c>
      <c r="Z84" s="44">
        <f t="shared" si="14"/>
        <v>1219.05</v>
      </c>
      <c r="AA84" s="44">
        <f t="shared" si="15"/>
        <v>1429.05</v>
      </c>
      <c r="AB84" s="111">
        <f t="shared" si="16"/>
        <v>18077.482499999998</v>
      </c>
      <c r="AC84" s="115"/>
      <c r="AD84" s="169">
        <v>0</v>
      </c>
      <c r="AE84" s="170">
        <v>0</v>
      </c>
      <c r="AF84" s="171">
        <v>1219.05</v>
      </c>
      <c r="AG84" s="172">
        <f t="shared" si="17"/>
        <v>1219.05</v>
      </c>
    </row>
    <row r="85" spans="1:33" x14ac:dyDescent="0.2">
      <c r="A85" s="35" t="s">
        <v>53</v>
      </c>
      <c r="B85" s="36" t="s">
        <v>1031</v>
      </c>
      <c r="C85" s="36" t="s">
        <v>578</v>
      </c>
      <c r="D85" s="36" t="s">
        <v>820</v>
      </c>
      <c r="E85" s="36" t="s">
        <v>920</v>
      </c>
      <c r="F85" s="39">
        <v>4547</v>
      </c>
      <c r="G85" s="40">
        <v>39081.520000000004</v>
      </c>
      <c r="H85" s="39">
        <v>10277</v>
      </c>
      <c r="I85" s="40">
        <v>87763.99</v>
      </c>
      <c r="J85" s="36" t="s">
        <v>578</v>
      </c>
      <c r="K85" s="41">
        <v>8.9579015837104077</v>
      </c>
      <c r="L85" s="105">
        <v>0</v>
      </c>
      <c r="M85" s="44">
        <v>0</v>
      </c>
      <c r="N85" s="41">
        <v>0</v>
      </c>
      <c r="O85" s="92">
        <v>3672.666666666667</v>
      </c>
      <c r="P85" s="43">
        <v>-3672.666666666667</v>
      </c>
      <c r="Q85" s="43">
        <v>1840.5000000000002</v>
      </c>
      <c r="R85" s="43">
        <v>16487.017864819009</v>
      </c>
      <c r="S85" s="44">
        <v>1840.5000000000002</v>
      </c>
      <c r="T85" s="45">
        <f t="shared" si="19"/>
        <v>16487.017864819009</v>
      </c>
      <c r="U85" s="50">
        <v>1768</v>
      </c>
      <c r="V85" s="106">
        <v>15837.57</v>
      </c>
      <c r="W85" s="97">
        <v>7.79</v>
      </c>
      <c r="X85" s="44">
        <v>800</v>
      </c>
      <c r="Y85" s="41">
        <f t="shared" si="13"/>
        <v>6232</v>
      </c>
      <c r="Z85" s="44">
        <f t="shared" si="14"/>
        <v>1505</v>
      </c>
      <c r="AA85" s="44">
        <f t="shared" si="15"/>
        <v>2305</v>
      </c>
      <c r="AB85" s="111">
        <f t="shared" si="16"/>
        <v>17955.95</v>
      </c>
      <c r="AC85" s="115"/>
      <c r="AD85" s="169">
        <v>700</v>
      </c>
      <c r="AE85" s="170">
        <v>0</v>
      </c>
      <c r="AF85" s="171">
        <v>805</v>
      </c>
      <c r="AG85" s="172">
        <f t="shared" si="17"/>
        <v>1505</v>
      </c>
    </row>
    <row r="86" spans="1:33" x14ac:dyDescent="0.2">
      <c r="A86" s="35" t="s">
        <v>133</v>
      </c>
      <c r="B86" s="36" t="s">
        <v>1031</v>
      </c>
      <c r="C86" s="36" t="s">
        <v>571</v>
      </c>
      <c r="D86" s="36" t="s">
        <v>814</v>
      </c>
      <c r="E86" s="36" t="s">
        <v>920</v>
      </c>
      <c r="F86" s="39">
        <v>0</v>
      </c>
      <c r="G86" s="40">
        <v>0</v>
      </c>
      <c r="H86" s="39">
        <v>0</v>
      </c>
      <c r="I86" s="40">
        <v>0</v>
      </c>
      <c r="J86" s="36" t="s">
        <v>571</v>
      </c>
      <c r="K86" s="41">
        <v>32.049999999999997</v>
      </c>
      <c r="L86" s="105">
        <v>0</v>
      </c>
      <c r="M86" s="44">
        <v>500</v>
      </c>
      <c r="N86" s="41">
        <v>16024.999999999998</v>
      </c>
      <c r="O86" s="92">
        <v>0</v>
      </c>
      <c r="P86" s="43">
        <v>500</v>
      </c>
      <c r="Q86" s="43">
        <v>77.5</v>
      </c>
      <c r="R86" s="43">
        <v>2483.875</v>
      </c>
      <c r="S86" s="44">
        <v>577.5</v>
      </c>
      <c r="T86" s="45">
        <f t="shared" si="19"/>
        <v>18508.875</v>
      </c>
      <c r="U86" s="50">
        <v>500</v>
      </c>
      <c r="V86" s="106">
        <v>16025</v>
      </c>
      <c r="W86" s="97">
        <v>32.049999999999997</v>
      </c>
      <c r="X86" s="44">
        <v>0</v>
      </c>
      <c r="Y86" s="41">
        <f t="shared" si="13"/>
        <v>0</v>
      </c>
      <c r="Z86" s="44">
        <f t="shared" si="14"/>
        <v>525</v>
      </c>
      <c r="AA86" s="44">
        <f t="shared" si="15"/>
        <v>525</v>
      </c>
      <c r="AB86" s="111">
        <f t="shared" si="16"/>
        <v>16826.25</v>
      </c>
      <c r="AC86" s="115"/>
      <c r="AD86" s="169">
        <v>0</v>
      </c>
      <c r="AE86" s="170">
        <v>0</v>
      </c>
      <c r="AF86" s="171">
        <v>525</v>
      </c>
      <c r="AG86" s="172">
        <f t="shared" si="17"/>
        <v>525</v>
      </c>
    </row>
    <row r="87" spans="1:33" x14ac:dyDescent="0.2">
      <c r="A87" s="35" t="s">
        <v>55</v>
      </c>
      <c r="B87" s="36" t="s">
        <v>566</v>
      </c>
      <c r="C87" s="36" t="s">
        <v>578</v>
      </c>
      <c r="D87" s="36" t="s">
        <v>820</v>
      </c>
      <c r="E87" s="36" t="s">
        <v>920</v>
      </c>
      <c r="F87" s="39">
        <v>2667</v>
      </c>
      <c r="G87" s="40">
        <v>21828.62</v>
      </c>
      <c r="H87" s="39">
        <v>6380</v>
      </c>
      <c r="I87" s="40">
        <v>60704.1</v>
      </c>
      <c r="J87" s="36" t="s">
        <v>578</v>
      </c>
      <c r="K87" s="41">
        <v>11.609976967370441</v>
      </c>
      <c r="L87" s="105">
        <v>0</v>
      </c>
      <c r="M87" s="44">
        <v>2350</v>
      </c>
      <c r="N87" s="41">
        <v>26395.5</v>
      </c>
      <c r="O87" s="92">
        <v>1606.3333333333335</v>
      </c>
      <c r="P87" s="43">
        <v>743.66666666666652</v>
      </c>
      <c r="Q87" s="43">
        <v>1504.7500000000005</v>
      </c>
      <c r="R87" s="43">
        <v>17470.112841650676</v>
      </c>
      <c r="S87" s="44">
        <v>3854.7500000000005</v>
      </c>
      <c r="T87" s="45">
        <f t="shared" si="19"/>
        <v>44753.558714971216</v>
      </c>
      <c r="U87" s="50">
        <v>2605</v>
      </c>
      <c r="V87" s="106">
        <v>30243.989999999998</v>
      </c>
      <c r="W87" s="97">
        <v>11</v>
      </c>
      <c r="X87" s="44">
        <v>0</v>
      </c>
      <c r="Y87" s="41">
        <f t="shared" si="13"/>
        <v>0</v>
      </c>
      <c r="Z87" s="44">
        <f t="shared" si="14"/>
        <v>1505</v>
      </c>
      <c r="AA87" s="44">
        <f t="shared" si="15"/>
        <v>1505</v>
      </c>
      <c r="AB87" s="111">
        <f t="shared" si="16"/>
        <v>16555</v>
      </c>
      <c r="AC87" s="115"/>
      <c r="AD87" s="169">
        <v>0</v>
      </c>
      <c r="AE87" s="170">
        <v>0</v>
      </c>
      <c r="AF87" s="171">
        <v>1505</v>
      </c>
      <c r="AG87" s="172">
        <f t="shared" si="17"/>
        <v>1505</v>
      </c>
    </row>
    <row r="88" spans="1:33" x14ac:dyDescent="0.2">
      <c r="A88" s="35" t="s">
        <v>461</v>
      </c>
      <c r="B88" s="36" t="s">
        <v>567</v>
      </c>
      <c r="C88" s="36" t="s">
        <v>578</v>
      </c>
      <c r="D88" s="36" t="s">
        <v>821</v>
      </c>
      <c r="E88" s="36" t="s">
        <v>920</v>
      </c>
      <c r="F88" s="39">
        <v>547</v>
      </c>
      <c r="G88" s="40">
        <v>8244.33</v>
      </c>
      <c r="H88" s="39">
        <v>533</v>
      </c>
      <c r="I88" s="40">
        <v>5949.58</v>
      </c>
      <c r="J88" s="36" t="s">
        <v>571</v>
      </c>
      <c r="K88" s="41" t="e">
        <v>#DIV/0!</v>
      </c>
      <c r="L88" s="105">
        <v>0</v>
      </c>
      <c r="M88" s="44">
        <v>0</v>
      </c>
      <c r="N88" s="41">
        <v>0</v>
      </c>
      <c r="O88" s="92">
        <v>805</v>
      </c>
      <c r="P88" s="43">
        <v>-805</v>
      </c>
      <c r="Q88" s="43">
        <v>805</v>
      </c>
      <c r="R88" s="43" t="e">
        <v>#DIV/0!</v>
      </c>
      <c r="S88" s="44">
        <v>805</v>
      </c>
      <c r="T88" s="45" t="e">
        <f t="shared" si="19"/>
        <v>#DIV/0!</v>
      </c>
      <c r="U88" s="50">
        <v>0</v>
      </c>
      <c r="V88" s="106">
        <v>0</v>
      </c>
      <c r="W88" s="97">
        <v>32</v>
      </c>
      <c r="X88" s="44">
        <v>0</v>
      </c>
      <c r="Y88" s="41">
        <f t="shared" si="13"/>
        <v>0</v>
      </c>
      <c r="Z88" s="44">
        <f t="shared" si="14"/>
        <v>500</v>
      </c>
      <c r="AA88" s="44">
        <f t="shared" si="15"/>
        <v>500</v>
      </c>
      <c r="AB88" s="111">
        <f t="shared" si="16"/>
        <v>16000</v>
      </c>
      <c r="AC88" s="115"/>
      <c r="AD88" s="169">
        <v>0</v>
      </c>
      <c r="AE88" s="170">
        <v>0</v>
      </c>
      <c r="AF88" s="171">
        <v>500</v>
      </c>
      <c r="AG88" s="172">
        <f t="shared" si="17"/>
        <v>500</v>
      </c>
    </row>
    <row r="89" spans="1:33" x14ac:dyDescent="0.2">
      <c r="A89" s="35" t="s">
        <v>19</v>
      </c>
      <c r="B89" s="36" t="s">
        <v>567</v>
      </c>
      <c r="C89" s="36" t="s">
        <v>578</v>
      </c>
      <c r="D89" s="36" t="s">
        <v>828</v>
      </c>
      <c r="E89" s="36" t="s">
        <v>920</v>
      </c>
      <c r="F89" s="39">
        <v>500</v>
      </c>
      <c r="G89" s="40">
        <v>11230</v>
      </c>
      <c r="H89" s="39">
        <v>780</v>
      </c>
      <c r="I89" s="40">
        <v>17366.399999999998</v>
      </c>
      <c r="J89" s="36" t="s">
        <v>571</v>
      </c>
      <c r="K89" s="41">
        <v>22.033899721448467</v>
      </c>
      <c r="L89" s="105">
        <v>427</v>
      </c>
      <c r="M89" s="44">
        <v>417</v>
      </c>
      <c r="N89" s="41">
        <v>15820.34</v>
      </c>
      <c r="O89" s="92">
        <v>550</v>
      </c>
      <c r="P89" s="43">
        <v>-133</v>
      </c>
      <c r="Q89" s="43">
        <v>-427</v>
      </c>
      <c r="R89" s="43">
        <v>-9408.4751810584949</v>
      </c>
      <c r="S89" s="44">
        <v>417</v>
      </c>
      <c r="T89" s="45">
        <f t="shared" si="19"/>
        <v>9188.1361838440116</v>
      </c>
      <c r="U89" s="50">
        <v>718</v>
      </c>
      <c r="V89" s="106">
        <v>15820.34</v>
      </c>
      <c r="W89" s="97">
        <v>21.130000000000003</v>
      </c>
      <c r="X89" s="44">
        <v>84</v>
      </c>
      <c r="Y89" s="41">
        <f t="shared" si="13"/>
        <v>1774.9200000000003</v>
      </c>
      <c r="Z89" s="44">
        <f t="shared" si="14"/>
        <v>630</v>
      </c>
      <c r="AA89" s="44">
        <f t="shared" si="15"/>
        <v>714</v>
      </c>
      <c r="AB89" s="111">
        <f t="shared" si="16"/>
        <v>15086.820000000002</v>
      </c>
      <c r="AC89" s="115"/>
      <c r="AD89" s="169">
        <v>0</v>
      </c>
      <c r="AE89" s="170">
        <v>0</v>
      </c>
      <c r="AF89" s="171">
        <v>630</v>
      </c>
      <c r="AG89" s="172">
        <f t="shared" si="17"/>
        <v>630</v>
      </c>
    </row>
    <row r="90" spans="1:33" x14ac:dyDescent="0.2">
      <c r="A90" s="35" t="s">
        <v>453</v>
      </c>
      <c r="B90" s="36" t="s">
        <v>567</v>
      </c>
      <c r="C90" s="36" t="s">
        <v>578</v>
      </c>
      <c r="D90" s="36" t="s">
        <v>821</v>
      </c>
      <c r="E90" s="36" t="s">
        <v>920</v>
      </c>
      <c r="F90" s="39">
        <v>1619</v>
      </c>
      <c r="G90" s="40">
        <v>14495.36</v>
      </c>
      <c r="H90" s="39">
        <v>3646</v>
      </c>
      <c r="I90" s="40">
        <v>31603.200000000001</v>
      </c>
      <c r="J90" s="36" t="s">
        <v>578</v>
      </c>
      <c r="K90" s="41">
        <v>10.945</v>
      </c>
      <c r="L90" s="105">
        <v>0</v>
      </c>
      <c r="M90" s="44">
        <v>500</v>
      </c>
      <c r="N90" s="41">
        <v>3957.3401534526852</v>
      </c>
      <c r="O90" s="92">
        <v>4210</v>
      </c>
      <c r="P90" s="43">
        <v>-3710</v>
      </c>
      <c r="Q90" s="43">
        <v>3710</v>
      </c>
      <c r="R90" s="43">
        <v>40605.950000000004</v>
      </c>
      <c r="S90" s="44">
        <v>4210</v>
      </c>
      <c r="T90" s="45">
        <f t="shared" si="19"/>
        <v>46078.450000000004</v>
      </c>
      <c r="U90" s="50">
        <v>600</v>
      </c>
      <c r="V90" s="106">
        <v>6567</v>
      </c>
      <c r="W90" s="97">
        <v>8.1199999999999992</v>
      </c>
      <c r="X90" s="44">
        <v>2000</v>
      </c>
      <c r="Y90" s="41">
        <f t="shared" si="13"/>
        <v>16239.999999999998</v>
      </c>
      <c r="Z90" s="44">
        <f t="shared" si="14"/>
        <v>1000</v>
      </c>
      <c r="AA90" s="44">
        <f t="shared" si="15"/>
        <v>3000</v>
      </c>
      <c r="AB90" s="111">
        <f t="shared" si="16"/>
        <v>24359.999999999996</v>
      </c>
      <c r="AC90" s="115"/>
      <c r="AD90" s="169">
        <v>0</v>
      </c>
      <c r="AE90" s="170">
        <v>0</v>
      </c>
      <c r="AF90" s="171">
        <v>1000</v>
      </c>
      <c r="AG90" s="172">
        <f t="shared" si="17"/>
        <v>1000</v>
      </c>
    </row>
    <row r="91" spans="1:33" x14ac:dyDescent="0.2">
      <c r="A91" s="35" t="s">
        <v>455</v>
      </c>
      <c r="B91" s="36" t="s">
        <v>567</v>
      </c>
      <c r="C91" s="36" t="s">
        <v>578</v>
      </c>
      <c r="D91" s="36" t="s">
        <v>821</v>
      </c>
      <c r="E91" s="36" t="s">
        <v>920</v>
      </c>
      <c r="F91" s="39">
        <v>501</v>
      </c>
      <c r="G91" s="40">
        <v>12982.17</v>
      </c>
      <c r="H91" s="39">
        <v>774</v>
      </c>
      <c r="I91" s="40">
        <v>26044.21</v>
      </c>
      <c r="J91" s="36" t="s">
        <v>571</v>
      </c>
      <c r="K91" s="41">
        <v>40.971847133757962</v>
      </c>
      <c r="L91" s="105">
        <v>0</v>
      </c>
      <c r="M91" s="44">
        <v>0</v>
      </c>
      <c r="N91" s="41">
        <v>0</v>
      </c>
      <c r="O91" s="92">
        <v>916</v>
      </c>
      <c r="P91" s="43">
        <v>-916</v>
      </c>
      <c r="Q91" s="43">
        <v>916</v>
      </c>
      <c r="R91" s="43">
        <v>37530.211974522295</v>
      </c>
      <c r="S91" s="44">
        <v>916</v>
      </c>
      <c r="T91" s="45">
        <f t="shared" si="19"/>
        <v>37530.211974522295</v>
      </c>
      <c r="U91" s="50">
        <v>314</v>
      </c>
      <c r="V91" s="106">
        <v>12865.16</v>
      </c>
      <c r="W91" s="97">
        <v>32</v>
      </c>
      <c r="X91" s="44">
        <v>0</v>
      </c>
      <c r="Y91" s="41">
        <f t="shared" si="13"/>
        <v>0</v>
      </c>
      <c r="Z91" s="44">
        <f t="shared" si="14"/>
        <v>472.5</v>
      </c>
      <c r="AA91" s="44">
        <f t="shared" si="15"/>
        <v>472.5</v>
      </c>
      <c r="AB91" s="111">
        <f t="shared" si="16"/>
        <v>15120</v>
      </c>
      <c r="AC91" s="115"/>
      <c r="AD91" s="169">
        <v>0</v>
      </c>
      <c r="AE91" s="170">
        <v>0</v>
      </c>
      <c r="AF91" s="171">
        <v>472.5</v>
      </c>
      <c r="AG91" s="172">
        <f t="shared" si="17"/>
        <v>472.5</v>
      </c>
    </row>
    <row r="92" spans="1:33" x14ac:dyDescent="0.2">
      <c r="A92" s="35" t="s">
        <v>35</v>
      </c>
      <c r="B92" s="36" t="s">
        <v>567</v>
      </c>
      <c r="C92" s="36" t="s">
        <v>578</v>
      </c>
      <c r="D92" s="36" t="s">
        <v>821</v>
      </c>
      <c r="E92" s="36" t="s">
        <v>920</v>
      </c>
      <c r="F92" s="39">
        <v>750</v>
      </c>
      <c r="G92" s="40">
        <v>6907.5</v>
      </c>
      <c r="H92" s="39">
        <v>1750</v>
      </c>
      <c r="I92" s="40">
        <v>16807.5</v>
      </c>
      <c r="J92" s="36" t="s">
        <v>578</v>
      </c>
      <c r="K92" s="41">
        <v>10.032023928215352</v>
      </c>
      <c r="L92" s="105">
        <v>0</v>
      </c>
      <c r="M92" s="44">
        <v>1000</v>
      </c>
      <c r="N92" s="41">
        <v>9900</v>
      </c>
      <c r="O92" s="92">
        <v>613.66666666666663</v>
      </c>
      <c r="P92" s="43">
        <v>386.33333333333337</v>
      </c>
      <c r="Q92" s="43">
        <v>155</v>
      </c>
      <c r="R92" s="43">
        <v>1554.9637088733796</v>
      </c>
      <c r="S92" s="44">
        <v>1155</v>
      </c>
      <c r="T92" s="45">
        <f t="shared" si="19"/>
        <v>11586.987637088732</v>
      </c>
      <c r="U92" s="50">
        <v>1003</v>
      </c>
      <c r="V92" s="106">
        <v>10062.119999999999</v>
      </c>
      <c r="W92" s="97">
        <v>10.24</v>
      </c>
      <c r="X92" s="44">
        <v>500</v>
      </c>
      <c r="Y92" s="41">
        <f t="shared" si="13"/>
        <v>5120</v>
      </c>
      <c r="Z92" s="44">
        <f t="shared" si="14"/>
        <v>1225</v>
      </c>
      <c r="AA92" s="44">
        <f t="shared" si="15"/>
        <v>1725</v>
      </c>
      <c r="AB92" s="111">
        <f t="shared" si="16"/>
        <v>17664</v>
      </c>
      <c r="AC92" s="115"/>
      <c r="AD92" s="169">
        <v>0</v>
      </c>
      <c r="AE92" s="170">
        <v>0</v>
      </c>
      <c r="AF92" s="171">
        <v>1225</v>
      </c>
      <c r="AG92" s="172">
        <f t="shared" si="17"/>
        <v>1225</v>
      </c>
    </row>
    <row r="93" spans="1:33" x14ac:dyDescent="0.2">
      <c r="A93" s="35" t="s">
        <v>151</v>
      </c>
      <c r="B93" s="36" t="s">
        <v>1031</v>
      </c>
      <c r="C93" s="36" t="s">
        <v>571</v>
      </c>
      <c r="D93" s="36" t="s">
        <v>776</v>
      </c>
      <c r="E93" s="36" t="s">
        <v>920</v>
      </c>
      <c r="F93" s="39">
        <v>790</v>
      </c>
      <c r="G93" s="40">
        <v>12034</v>
      </c>
      <c r="H93" s="39">
        <v>810</v>
      </c>
      <c r="I93" s="40">
        <v>12291</v>
      </c>
      <c r="J93" s="36" t="s">
        <v>571</v>
      </c>
      <c r="K93" s="41">
        <v>12.85</v>
      </c>
      <c r="L93" s="105">
        <v>0</v>
      </c>
      <c r="M93" s="44">
        <v>0</v>
      </c>
      <c r="N93" s="41">
        <v>0</v>
      </c>
      <c r="O93" s="92">
        <v>560</v>
      </c>
      <c r="P93" s="43">
        <v>-560</v>
      </c>
      <c r="Q93" s="43">
        <v>646.80000000000007</v>
      </c>
      <c r="R93" s="43">
        <v>8311.380000000001</v>
      </c>
      <c r="S93" s="44">
        <v>646.80000000000007</v>
      </c>
      <c r="T93" s="45">
        <f t="shared" si="19"/>
        <v>8311.380000000001</v>
      </c>
      <c r="U93" s="50">
        <v>550</v>
      </c>
      <c r="V93" s="106">
        <v>7067.5</v>
      </c>
      <c r="W93" s="97">
        <v>12.85</v>
      </c>
      <c r="X93" s="44">
        <v>600</v>
      </c>
      <c r="Y93" s="41">
        <f t="shared" si="13"/>
        <v>7710</v>
      </c>
      <c r="Z93" s="44">
        <f t="shared" si="14"/>
        <v>556.5</v>
      </c>
      <c r="AA93" s="44">
        <f t="shared" si="15"/>
        <v>1156.5</v>
      </c>
      <c r="AB93" s="111">
        <f t="shared" si="16"/>
        <v>14861.025</v>
      </c>
      <c r="AC93" s="115"/>
      <c r="AD93" s="169">
        <v>0</v>
      </c>
      <c r="AE93" s="170">
        <v>0</v>
      </c>
      <c r="AF93" s="171">
        <v>556.5</v>
      </c>
      <c r="AG93" s="172">
        <f t="shared" si="17"/>
        <v>556.5</v>
      </c>
    </row>
    <row r="94" spans="1:33" x14ac:dyDescent="0.2">
      <c r="A94" s="35" t="s">
        <v>161</v>
      </c>
      <c r="B94" s="36" t="s">
        <v>567</v>
      </c>
      <c r="C94" s="36" t="s">
        <v>578</v>
      </c>
      <c r="D94" s="36" t="s">
        <v>821</v>
      </c>
      <c r="E94" s="36" t="s">
        <v>920</v>
      </c>
      <c r="F94" s="39">
        <v>631</v>
      </c>
      <c r="G94" s="40">
        <v>15186.369999999999</v>
      </c>
      <c r="H94" s="39">
        <v>1006</v>
      </c>
      <c r="I94" s="40">
        <v>28614.559999999998</v>
      </c>
      <c r="J94" s="36" t="s">
        <v>571</v>
      </c>
      <c r="K94" s="41">
        <v>25.76</v>
      </c>
      <c r="L94" s="105">
        <v>0</v>
      </c>
      <c r="M94" s="44">
        <v>500</v>
      </c>
      <c r="N94" s="41">
        <v>12880</v>
      </c>
      <c r="O94" s="92">
        <v>5239</v>
      </c>
      <c r="P94" s="43">
        <v>-4739</v>
      </c>
      <c r="Q94" s="43">
        <v>655</v>
      </c>
      <c r="R94" s="43">
        <v>16872.8</v>
      </c>
      <c r="S94" s="44">
        <v>1155</v>
      </c>
      <c r="T94" s="45">
        <f t="shared" si="19"/>
        <v>29752.800000000003</v>
      </c>
      <c r="U94" s="50">
        <v>500</v>
      </c>
      <c r="V94" s="106">
        <v>12880</v>
      </c>
      <c r="W94" s="97">
        <v>25.76</v>
      </c>
      <c r="X94" s="44">
        <v>0</v>
      </c>
      <c r="Y94" s="41">
        <f t="shared" si="13"/>
        <v>0</v>
      </c>
      <c r="Z94" s="44">
        <f t="shared" si="14"/>
        <v>527.1</v>
      </c>
      <c r="AA94" s="44">
        <f t="shared" si="15"/>
        <v>527.1</v>
      </c>
      <c r="AB94" s="111">
        <f t="shared" si="16"/>
        <v>13578.096000000001</v>
      </c>
      <c r="AC94" s="115"/>
      <c r="AD94" s="169">
        <v>0</v>
      </c>
      <c r="AE94" s="170">
        <v>0</v>
      </c>
      <c r="AF94" s="171">
        <v>527.1</v>
      </c>
      <c r="AG94" s="172">
        <f t="shared" si="17"/>
        <v>527.1</v>
      </c>
    </row>
    <row r="95" spans="1:33" x14ac:dyDescent="0.2">
      <c r="A95" s="35" t="s">
        <v>121</v>
      </c>
      <c r="B95" s="36" t="s">
        <v>567</v>
      </c>
      <c r="C95" s="36" t="s">
        <v>571</v>
      </c>
      <c r="D95" s="36" t="s">
        <v>757</v>
      </c>
      <c r="E95" s="36" t="s">
        <v>920</v>
      </c>
      <c r="F95" s="39">
        <v>0</v>
      </c>
      <c r="G95" s="40">
        <v>0</v>
      </c>
      <c r="H95" s="39">
        <v>87</v>
      </c>
      <c r="I95" s="40">
        <v>2282.0100000000002</v>
      </c>
      <c r="J95" s="36" t="s">
        <v>571</v>
      </c>
      <c r="K95" s="41">
        <v>26.23</v>
      </c>
      <c r="L95" s="105">
        <v>0</v>
      </c>
      <c r="M95" s="44">
        <v>413</v>
      </c>
      <c r="N95" s="41">
        <v>10832.99</v>
      </c>
      <c r="O95" s="92">
        <v>0</v>
      </c>
      <c r="P95" s="43">
        <v>413</v>
      </c>
      <c r="Q95" s="43">
        <v>64.015000000000043</v>
      </c>
      <c r="R95" s="43">
        <v>1679.1134500000012</v>
      </c>
      <c r="S95" s="44">
        <v>477.01500000000004</v>
      </c>
      <c r="T95" s="45">
        <f t="shared" si="19"/>
        <v>12512.103450000001</v>
      </c>
      <c r="U95" s="50">
        <v>413</v>
      </c>
      <c r="V95" s="106">
        <v>10832.99</v>
      </c>
      <c r="W95" s="97">
        <v>26.25</v>
      </c>
      <c r="X95" s="44">
        <v>0</v>
      </c>
      <c r="Y95" s="41">
        <f t="shared" si="13"/>
        <v>0</v>
      </c>
      <c r="Z95" s="44">
        <f t="shared" si="14"/>
        <v>500</v>
      </c>
      <c r="AA95" s="44">
        <f t="shared" si="15"/>
        <v>500</v>
      </c>
      <c r="AB95" s="111">
        <f t="shared" si="16"/>
        <v>13125</v>
      </c>
      <c r="AC95" s="115"/>
      <c r="AD95" s="169">
        <v>0</v>
      </c>
      <c r="AE95" s="170">
        <v>0</v>
      </c>
      <c r="AF95" s="171">
        <v>500</v>
      </c>
      <c r="AG95" s="172">
        <f t="shared" si="17"/>
        <v>500</v>
      </c>
    </row>
    <row r="96" spans="1:33" x14ac:dyDescent="0.2">
      <c r="A96" s="35" t="s">
        <v>844</v>
      </c>
      <c r="B96" s="36" t="s">
        <v>566</v>
      </c>
      <c r="C96" s="36"/>
      <c r="D96" s="36"/>
      <c r="E96" s="36" t="s">
        <v>920</v>
      </c>
      <c r="F96" s="39"/>
      <c r="G96" s="40"/>
      <c r="H96" s="39">
        <v>393</v>
      </c>
      <c r="I96" s="40">
        <v>78631.580000000016</v>
      </c>
      <c r="J96" s="36"/>
      <c r="K96" s="41">
        <v>201.80035971223018</v>
      </c>
      <c r="L96" s="105"/>
      <c r="M96" s="44"/>
      <c r="N96" s="41"/>
      <c r="O96" s="92"/>
      <c r="P96" s="36"/>
      <c r="Q96" s="36"/>
      <c r="R96" s="36"/>
      <c r="S96" s="44"/>
      <c r="T96" s="36"/>
      <c r="U96" s="36">
        <v>139</v>
      </c>
      <c r="V96" s="106">
        <v>28050.249999999996</v>
      </c>
      <c r="W96" s="97">
        <v>50</v>
      </c>
      <c r="X96" s="44">
        <v>0</v>
      </c>
      <c r="Y96" s="41">
        <f t="shared" si="13"/>
        <v>0</v>
      </c>
      <c r="Z96" s="44">
        <f t="shared" si="14"/>
        <v>262.5</v>
      </c>
      <c r="AA96" s="44">
        <f t="shared" si="15"/>
        <v>262.5</v>
      </c>
      <c r="AB96" s="111">
        <f t="shared" si="16"/>
        <v>13125</v>
      </c>
      <c r="AC96" s="115"/>
      <c r="AD96" s="169">
        <v>0</v>
      </c>
      <c r="AE96" s="170">
        <v>0</v>
      </c>
      <c r="AF96" s="171">
        <v>262.5</v>
      </c>
      <c r="AG96" s="172">
        <f t="shared" si="17"/>
        <v>262.5</v>
      </c>
    </row>
    <row r="97" spans="1:33" x14ac:dyDescent="0.2">
      <c r="A97" s="35" t="s">
        <v>37</v>
      </c>
      <c r="B97" s="36" t="s">
        <v>1031</v>
      </c>
      <c r="C97" s="36" t="s">
        <v>571</v>
      </c>
      <c r="D97" s="36" t="s">
        <v>776</v>
      </c>
      <c r="E97" s="36" t="s">
        <v>920</v>
      </c>
      <c r="F97" s="39">
        <v>0</v>
      </c>
      <c r="G97" s="40">
        <v>0</v>
      </c>
      <c r="H97" s="39">
        <v>0</v>
      </c>
      <c r="I97" s="40">
        <v>0</v>
      </c>
      <c r="J97" s="36" t="s">
        <v>571</v>
      </c>
      <c r="K97" s="41">
        <v>24.22</v>
      </c>
      <c r="L97" s="105">
        <v>0</v>
      </c>
      <c r="M97" s="44">
        <v>500</v>
      </c>
      <c r="N97" s="41">
        <v>12110</v>
      </c>
      <c r="O97" s="92">
        <v>0</v>
      </c>
      <c r="P97" s="43">
        <v>500</v>
      </c>
      <c r="Q97" s="43">
        <v>77.5</v>
      </c>
      <c r="R97" s="43">
        <v>1877.05</v>
      </c>
      <c r="S97" s="44">
        <v>577.5</v>
      </c>
      <c r="T97" s="45">
        <f t="shared" ref="T97:T102" si="20">S97*K97</f>
        <v>13987.05</v>
      </c>
      <c r="U97" s="50">
        <v>500</v>
      </c>
      <c r="V97" s="106">
        <v>12110</v>
      </c>
      <c r="W97" s="97">
        <v>24.22</v>
      </c>
      <c r="X97" s="44">
        <v>0</v>
      </c>
      <c r="Y97" s="41">
        <f t="shared" si="13"/>
        <v>0</v>
      </c>
      <c r="Z97" s="44">
        <f t="shared" si="14"/>
        <v>500</v>
      </c>
      <c r="AA97" s="44">
        <f t="shared" si="15"/>
        <v>500</v>
      </c>
      <c r="AB97" s="111">
        <f t="shared" si="16"/>
        <v>12110</v>
      </c>
      <c r="AC97" s="115"/>
      <c r="AD97" s="169">
        <v>0</v>
      </c>
      <c r="AE97" s="170">
        <v>0</v>
      </c>
      <c r="AF97" s="171">
        <v>500</v>
      </c>
      <c r="AG97" s="172">
        <f t="shared" si="17"/>
        <v>500</v>
      </c>
    </row>
    <row r="98" spans="1:33" x14ac:dyDescent="0.2">
      <c r="A98" s="35" t="s">
        <v>45</v>
      </c>
      <c r="B98" s="36" t="s">
        <v>1031</v>
      </c>
      <c r="C98" s="36" t="s">
        <v>571</v>
      </c>
      <c r="D98" s="36" t="s">
        <v>822</v>
      </c>
      <c r="E98" s="36" t="s">
        <v>920</v>
      </c>
      <c r="F98" s="39">
        <v>541</v>
      </c>
      <c r="G98" s="40">
        <v>6118.71</v>
      </c>
      <c r="H98" s="39">
        <v>699</v>
      </c>
      <c r="I98" s="40">
        <v>9229.6899999999987</v>
      </c>
      <c r="J98" s="36" t="s">
        <v>571</v>
      </c>
      <c r="K98" s="41">
        <v>18.458571428571428</v>
      </c>
      <c r="L98" s="105">
        <v>0</v>
      </c>
      <c r="M98" s="44">
        <v>450</v>
      </c>
      <c r="N98" s="41">
        <v>8253.5</v>
      </c>
      <c r="O98" s="92">
        <v>0</v>
      </c>
      <c r="P98" s="43">
        <v>450</v>
      </c>
      <c r="Q98" s="43">
        <v>69.750000000000114</v>
      </c>
      <c r="R98" s="43">
        <v>1287.4853571428591</v>
      </c>
      <c r="S98" s="44">
        <v>519.75000000000011</v>
      </c>
      <c r="T98" s="45">
        <f t="shared" si="20"/>
        <v>9593.8425000000025</v>
      </c>
      <c r="U98" s="50">
        <v>700</v>
      </c>
      <c r="V98" s="106">
        <v>12921</v>
      </c>
      <c r="W98" s="97">
        <v>18.34</v>
      </c>
      <c r="X98" s="44">
        <v>0</v>
      </c>
      <c r="Y98" s="41">
        <f t="shared" ref="Y98:Y128" si="21">X98*W98</f>
        <v>0</v>
      </c>
      <c r="Z98" s="44">
        <f t="shared" ref="Z98:Z128" si="22">AG98</f>
        <v>500</v>
      </c>
      <c r="AA98" s="44">
        <f t="shared" ref="AA98:AA128" si="23">Z98+X98</f>
        <v>500</v>
      </c>
      <c r="AB98" s="111">
        <f t="shared" ref="AB98:AB128" si="24">AA98*W98</f>
        <v>9170</v>
      </c>
      <c r="AC98" s="115"/>
      <c r="AD98" s="169">
        <v>500</v>
      </c>
      <c r="AE98" s="170">
        <v>0</v>
      </c>
      <c r="AF98" s="171">
        <v>0</v>
      </c>
      <c r="AG98" s="172">
        <f t="shared" ref="AG98:AG128" si="25">SUM(AD98:AF98)</f>
        <v>500</v>
      </c>
    </row>
    <row r="99" spans="1:33" x14ac:dyDescent="0.2">
      <c r="A99" s="35" t="s">
        <v>17</v>
      </c>
      <c r="B99" s="36" t="s">
        <v>565</v>
      </c>
      <c r="C99" s="36" t="s">
        <v>571</v>
      </c>
      <c r="D99" s="36" t="s">
        <v>829</v>
      </c>
      <c r="E99" s="36" t="s">
        <v>920</v>
      </c>
      <c r="F99" s="39">
        <v>100</v>
      </c>
      <c r="G99" s="40">
        <v>8640</v>
      </c>
      <c r="H99" s="39">
        <v>100</v>
      </c>
      <c r="I99" s="40">
        <v>8640</v>
      </c>
      <c r="J99" s="36" t="s">
        <v>571</v>
      </c>
      <c r="K99" s="41">
        <v>88.413333333333327</v>
      </c>
      <c r="L99" s="105">
        <v>0</v>
      </c>
      <c r="M99" s="44">
        <v>450</v>
      </c>
      <c r="N99" s="41">
        <v>38880</v>
      </c>
      <c r="O99" s="92">
        <v>250</v>
      </c>
      <c r="P99" s="43">
        <v>200</v>
      </c>
      <c r="Q99" s="43">
        <v>50</v>
      </c>
      <c r="R99" s="43">
        <v>4420.6666666666661</v>
      </c>
      <c r="S99" s="44">
        <v>500</v>
      </c>
      <c r="T99" s="45">
        <f t="shared" si="20"/>
        <v>44206.666666666664</v>
      </c>
      <c r="U99" s="50">
        <v>450</v>
      </c>
      <c r="V99" s="106">
        <v>39786</v>
      </c>
      <c r="W99" s="97">
        <v>87.26</v>
      </c>
      <c r="X99" s="44">
        <v>0</v>
      </c>
      <c r="Y99" s="41">
        <f t="shared" si="21"/>
        <v>0</v>
      </c>
      <c r="Z99" s="44">
        <f t="shared" si="22"/>
        <v>100</v>
      </c>
      <c r="AA99" s="44">
        <f t="shared" si="23"/>
        <v>100</v>
      </c>
      <c r="AB99" s="111">
        <f t="shared" si="24"/>
        <v>8726</v>
      </c>
      <c r="AC99" s="115"/>
      <c r="AD99" s="169">
        <v>0</v>
      </c>
      <c r="AE99" s="170">
        <v>100</v>
      </c>
      <c r="AF99" s="171">
        <v>0</v>
      </c>
      <c r="AG99" s="172">
        <f t="shared" si="25"/>
        <v>100</v>
      </c>
    </row>
    <row r="100" spans="1:33" x14ac:dyDescent="0.2">
      <c r="A100" s="35" t="s">
        <v>31</v>
      </c>
      <c r="B100" s="36" t="s">
        <v>567</v>
      </c>
      <c r="C100" s="36" t="s">
        <v>578</v>
      </c>
      <c r="D100" s="36" t="s">
        <v>829</v>
      </c>
      <c r="E100" s="36" t="s">
        <v>920</v>
      </c>
      <c r="F100" s="39">
        <v>235</v>
      </c>
      <c r="G100" s="40">
        <v>14696.9</v>
      </c>
      <c r="H100" s="39">
        <v>595</v>
      </c>
      <c r="I100" s="40">
        <v>37211.300000000003</v>
      </c>
      <c r="J100" s="36" t="s">
        <v>578</v>
      </c>
      <c r="K100" s="41">
        <v>63.43</v>
      </c>
      <c r="L100" s="105">
        <v>0</v>
      </c>
      <c r="M100" s="44">
        <v>200</v>
      </c>
      <c r="N100" s="41">
        <v>12508</v>
      </c>
      <c r="O100" s="92">
        <v>200</v>
      </c>
      <c r="P100" s="43">
        <v>0</v>
      </c>
      <c r="Q100" s="43">
        <v>262.00000000000006</v>
      </c>
      <c r="R100" s="43">
        <v>16618.660000000003</v>
      </c>
      <c r="S100" s="44">
        <v>462.00000000000006</v>
      </c>
      <c r="T100" s="45">
        <f t="shared" si="20"/>
        <v>29304.660000000003</v>
      </c>
      <c r="U100" s="50">
        <v>400</v>
      </c>
      <c r="V100" s="106">
        <v>25372</v>
      </c>
      <c r="W100" s="97">
        <v>62.85</v>
      </c>
      <c r="X100" s="44">
        <v>0</v>
      </c>
      <c r="Y100" s="41">
        <f t="shared" si="21"/>
        <v>0</v>
      </c>
      <c r="Z100" s="44">
        <f t="shared" si="22"/>
        <v>100</v>
      </c>
      <c r="AA100" s="44">
        <f t="shared" si="23"/>
        <v>100</v>
      </c>
      <c r="AB100" s="111">
        <f t="shared" si="24"/>
        <v>6285</v>
      </c>
      <c r="AC100" s="115"/>
      <c r="AD100" s="169">
        <v>0</v>
      </c>
      <c r="AE100" s="170">
        <v>100</v>
      </c>
      <c r="AF100" s="171">
        <v>0</v>
      </c>
      <c r="AG100" s="172">
        <f t="shared" si="25"/>
        <v>100</v>
      </c>
    </row>
    <row r="101" spans="1:33" x14ac:dyDescent="0.2">
      <c r="A101" s="35" t="s">
        <v>463</v>
      </c>
      <c r="B101" s="36" t="s">
        <v>567</v>
      </c>
      <c r="C101" s="36" t="s">
        <v>571</v>
      </c>
      <c r="D101" s="36" t="s">
        <v>761</v>
      </c>
      <c r="E101" s="36" t="s">
        <v>920</v>
      </c>
      <c r="F101" s="39">
        <v>0</v>
      </c>
      <c r="G101" s="40">
        <v>0</v>
      </c>
      <c r="H101" s="39">
        <v>500</v>
      </c>
      <c r="I101" s="40">
        <v>5900</v>
      </c>
      <c r="J101" s="36" t="s">
        <v>571</v>
      </c>
      <c r="K101" s="41" t="e">
        <v>#DIV/0!</v>
      </c>
      <c r="L101" s="105">
        <v>0</v>
      </c>
      <c r="M101" s="44">
        <v>0</v>
      </c>
      <c r="N101" s="41">
        <v>0</v>
      </c>
      <c r="O101" s="92">
        <v>500</v>
      </c>
      <c r="P101" s="43">
        <v>-500</v>
      </c>
      <c r="Q101" s="43">
        <v>500</v>
      </c>
      <c r="R101" s="43" t="e">
        <v>#DIV/0!</v>
      </c>
      <c r="S101" s="44">
        <v>500</v>
      </c>
      <c r="T101" s="45" t="e">
        <f t="shared" si="20"/>
        <v>#DIV/0!</v>
      </c>
      <c r="U101" s="50">
        <v>0</v>
      </c>
      <c r="V101" s="106">
        <v>0</v>
      </c>
      <c r="W101" s="97">
        <v>12</v>
      </c>
      <c r="X101" s="44">
        <v>0</v>
      </c>
      <c r="Y101" s="41">
        <f t="shared" si="21"/>
        <v>0</v>
      </c>
      <c r="Z101" s="44">
        <f t="shared" si="22"/>
        <v>500</v>
      </c>
      <c r="AA101" s="44">
        <f t="shared" si="23"/>
        <v>500</v>
      </c>
      <c r="AB101" s="111">
        <f t="shared" si="24"/>
        <v>6000</v>
      </c>
      <c r="AC101" s="115"/>
      <c r="AD101" s="169">
        <v>0</v>
      </c>
      <c r="AE101" s="170">
        <v>0</v>
      </c>
      <c r="AF101" s="171">
        <v>500</v>
      </c>
      <c r="AG101" s="172">
        <f t="shared" si="25"/>
        <v>500</v>
      </c>
    </row>
    <row r="102" spans="1:33" x14ac:dyDescent="0.2">
      <c r="A102" s="35" t="s">
        <v>5</v>
      </c>
      <c r="B102" s="36" t="s">
        <v>1031</v>
      </c>
      <c r="C102" s="36" t="s">
        <v>578</v>
      </c>
      <c r="D102" s="36" t="s">
        <v>821</v>
      </c>
      <c r="E102" s="36" t="s">
        <v>920</v>
      </c>
      <c r="F102" s="39">
        <v>1000</v>
      </c>
      <c r="G102" s="40">
        <v>9635</v>
      </c>
      <c r="H102" s="39">
        <v>670</v>
      </c>
      <c r="I102" s="40">
        <v>6465.5</v>
      </c>
      <c r="J102" s="36" t="s">
        <v>578</v>
      </c>
      <c r="K102" s="41">
        <v>11.795</v>
      </c>
      <c r="L102" s="105">
        <v>0</v>
      </c>
      <c r="M102" s="44">
        <v>1000</v>
      </c>
      <c r="N102" s="41">
        <v>11630</v>
      </c>
      <c r="O102" s="92">
        <v>1350</v>
      </c>
      <c r="P102" s="43">
        <v>-350</v>
      </c>
      <c r="Q102" s="43">
        <v>155</v>
      </c>
      <c r="R102" s="43">
        <v>1828.2249999999999</v>
      </c>
      <c r="S102" s="44">
        <v>1155</v>
      </c>
      <c r="T102" s="45">
        <f t="shared" si="20"/>
        <v>13623.225</v>
      </c>
      <c r="U102" s="50">
        <v>1000</v>
      </c>
      <c r="V102" s="106">
        <v>11795</v>
      </c>
      <c r="W102" s="97">
        <v>10</v>
      </c>
      <c r="X102" s="44">
        <v>0</v>
      </c>
      <c r="Y102" s="41">
        <f t="shared" si="21"/>
        <v>0</v>
      </c>
      <c r="Z102" s="44">
        <f t="shared" si="22"/>
        <v>500</v>
      </c>
      <c r="AA102" s="44">
        <f t="shared" si="23"/>
        <v>500</v>
      </c>
      <c r="AB102" s="111">
        <f t="shared" si="24"/>
        <v>5000</v>
      </c>
      <c r="AC102" s="115"/>
      <c r="AD102" s="169">
        <v>0</v>
      </c>
      <c r="AE102" s="170">
        <v>0</v>
      </c>
      <c r="AF102" s="171">
        <v>500</v>
      </c>
      <c r="AG102" s="172">
        <f t="shared" si="25"/>
        <v>500</v>
      </c>
    </row>
    <row r="103" spans="1:33" x14ac:dyDescent="0.2">
      <c r="A103" s="35" t="s">
        <v>945</v>
      </c>
      <c r="B103" s="36" t="s">
        <v>1031</v>
      </c>
      <c r="C103" s="36"/>
      <c r="D103" s="36"/>
      <c r="E103" s="36" t="s">
        <v>920</v>
      </c>
      <c r="F103" s="39"/>
      <c r="G103" s="40"/>
      <c r="H103" s="39"/>
      <c r="I103" s="40"/>
      <c r="J103" s="36"/>
      <c r="K103" s="41"/>
      <c r="L103" s="105"/>
      <c r="M103" s="44"/>
      <c r="N103" s="41"/>
      <c r="O103" s="92"/>
      <c r="P103" s="36"/>
      <c r="Q103" s="36"/>
      <c r="R103" s="36"/>
      <c r="S103" s="44"/>
      <c r="T103" s="36"/>
      <c r="U103" s="36"/>
      <c r="V103" s="106"/>
      <c r="W103" s="97">
        <v>48.87</v>
      </c>
      <c r="X103" s="44">
        <v>100</v>
      </c>
      <c r="Y103" s="41">
        <f t="shared" si="21"/>
        <v>4887</v>
      </c>
      <c r="Z103" s="44">
        <f t="shared" si="22"/>
        <v>0</v>
      </c>
      <c r="AA103" s="44">
        <f t="shared" si="23"/>
        <v>100</v>
      </c>
      <c r="AB103" s="111">
        <f t="shared" si="24"/>
        <v>4887</v>
      </c>
      <c r="AC103" s="115"/>
      <c r="AD103" s="169">
        <v>0</v>
      </c>
      <c r="AE103" s="170">
        <v>0</v>
      </c>
      <c r="AF103" s="171">
        <v>0</v>
      </c>
      <c r="AG103" s="172">
        <f t="shared" si="25"/>
        <v>0</v>
      </c>
    </row>
    <row r="104" spans="1:33" x14ac:dyDescent="0.2">
      <c r="A104" s="35" t="s">
        <v>115</v>
      </c>
      <c r="B104" s="36" t="s">
        <v>1031</v>
      </c>
      <c r="C104" s="36" t="s">
        <v>571</v>
      </c>
      <c r="D104" s="36" t="s">
        <v>822</v>
      </c>
      <c r="E104" s="36" t="s">
        <v>920</v>
      </c>
      <c r="F104" s="39">
        <v>500</v>
      </c>
      <c r="G104" s="40">
        <v>7165</v>
      </c>
      <c r="H104" s="39">
        <v>450</v>
      </c>
      <c r="I104" s="40">
        <v>10036.5</v>
      </c>
      <c r="J104" s="36" t="s">
        <v>571</v>
      </c>
      <c r="K104" s="41">
        <v>20.362745098039216</v>
      </c>
      <c r="L104" s="105">
        <v>0</v>
      </c>
      <c r="M104" s="44">
        <v>300</v>
      </c>
      <c r="N104" s="41">
        <v>4731</v>
      </c>
      <c r="O104" s="92">
        <v>400</v>
      </c>
      <c r="P104" s="43">
        <v>-100</v>
      </c>
      <c r="Q104" s="43">
        <v>46.5</v>
      </c>
      <c r="R104" s="43">
        <v>946.86764705882354</v>
      </c>
      <c r="S104" s="44">
        <v>346.5</v>
      </c>
      <c r="T104" s="45">
        <f t="shared" ref="T104:T114" si="26">S104*K104</f>
        <v>7055.6911764705883</v>
      </c>
      <c r="U104" s="50">
        <v>306</v>
      </c>
      <c r="V104" s="106">
        <v>6231</v>
      </c>
      <c r="W104" s="97">
        <v>15.77</v>
      </c>
      <c r="X104" s="44">
        <v>0</v>
      </c>
      <c r="Y104" s="41">
        <f t="shared" si="21"/>
        <v>0</v>
      </c>
      <c r="Z104" s="44">
        <f t="shared" si="22"/>
        <v>300</v>
      </c>
      <c r="AA104" s="44">
        <f t="shared" si="23"/>
        <v>300</v>
      </c>
      <c r="AB104" s="111">
        <f t="shared" si="24"/>
        <v>4731</v>
      </c>
      <c r="AC104" s="115"/>
      <c r="AD104" s="169">
        <v>300</v>
      </c>
      <c r="AE104" s="170">
        <v>0</v>
      </c>
      <c r="AF104" s="171">
        <v>0</v>
      </c>
      <c r="AG104" s="172">
        <f t="shared" si="25"/>
        <v>300</v>
      </c>
    </row>
    <row r="105" spans="1:33" x14ac:dyDescent="0.2">
      <c r="A105" s="35" t="s">
        <v>13</v>
      </c>
      <c r="B105" s="36" t="s">
        <v>566</v>
      </c>
      <c r="C105" s="36" t="s">
        <v>571</v>
      </c>
      <c r="D105" s="36" t="s">
        <v>814</v>
      </c>
      <c r="E105" s="36" t="s">
        <v>920</v>
      </c>
      <c r="F105" s="39">
        <v>1940</v>
      </c>
      <c r="G105" s="40">
        <v>36158.1</v>
      </c>
      <c r="H105" s="39">
        <v>2290</v>
      </c>
      <c r="I105" s="40">
        <v>57615.100000000006</v>
      </c>
      <c r="J105" s="36" t="s">
        <v>571</v>
      </c>
      <c r="K105" s="41">
        <v>26.24</v>
      </c>
      <c r="L105" s="105">
        <v>0</v>
      </c>
      <c r="M105" s="44">
        <v>1000</v>
      </c>
      <c r="N105" s="41">
        <v>6220</v>
      </c>
      <c r="O105" s="92">
        <v>0</v>
      </c>
      <c r="P105" s="43">
        <v>1000</v>
      </c>
      <c r="Q105" s="43">
        <v>155</v>
      </c>
      <c r="R105" s="43">
        <v>4067.2</v>
      </c>
      <c r="S105" s="44">
        <v>1155</v>
      </c>
      <c r="T105" s="45">
        <f t="shared" si="26"/>
        <v>30307.199999999997</v>
      </c>
      <c r="U105" s="50">
        <v>1000</v>
      </c>
      <c r="V105" s="106">
        <v>26240</v>
      </c>
      <c r="W105" s="97">
        <v>12.5</v>
      </c>
      <c r="X105" s="44">
        <v>0</v>
      </c>
      <c r="Y105" s="41">
        <f t="shared" si="21"/>
        <v>0</v>
      </c>
      <c r="Z105" s="44">
        <f t="shared" si="22"/>
        <v>341.25</v>
      </c>
      <c r="AA105" s="44">
        <f t="shared" si="23"/>
        <v>341.25</v>
      </c>
      <c r="AB105" s="111">
        <f t="shared" si="24"/>
        <v>4265.625</v>
      </c>
      <c r="AC105" s="115"/>
      <c r="AD105" s="169">
        <v>0</v>
      </c>
      <c r="AE105" s="170">
        <v>0</v>
      </c>
      <c r="AF105" s="171">
        <v>341.25</v>
      </c>
      <c r="AG105" s="172">
        <f t="shared" si="25"/>
        <v>341.25</v>
      </c>
    </row>
    <row r="106" spans="1:33" x14ac:dyDescent="0.2">
      <c r="A106" s="35" t="s">
        <v>69</v>
      </c>
      <c r="B106" s="36" t="s">
        <v>1031</v>
      </c>
      <c r="C106" s="36" t="s">
        <v>578</v>
      </c>
      <c r="D106" s="36" t="s">
        <v>828</v>
      </c>
      <c r="E106" s="36" t="s">
        <v>920</v>
      </c>
      <c r="F106" s="39">
        <v>0</v>
      </c>
      <c r="G106" s="40">
        <v>0</v>
      </c>
      <c r="H106" s="39">
        <v>0</v>
      </c>
      <c r="I106" s="40">
        <v>0</v>
      </c>
      <c r="J106" s="36" t="s">
        <v>571</v>
      </c>
      <c r="K106" s="41">
        <v>16.55</v>
      </c>
      <c r="L106" s="105">
        <v>0</v>
      </c>
      <c r="M106" s="44">
        <v>540</v>
      </c>
      <c r="N106" s="41">
        <v>5461.5</v>
      </c>
      <c r="O106" s="92">
        <v>0</v>
      </c>
      <c r="P106" s="43">
        <v>540</v>
      </c>
      <c r="Q106" s="43">
        <v>0</v>
      </c>
      <c r="R106" s="43">
        <v>0</v>
      </c>
      <c r="S106" s="44">
        <v>540</v>
      </c>
      <c r="T106" s="45">
        <f t="shared" si="26"/>
        <v>8937</v>
      </c>
      <c r="U106" s="50">
        <v>330</v>
      </c>
      <c r="V106" s="106">
        <v>5461.5</v>
      </c>
      <c r="W106" s="97">
        <v>16.55</v>
      </c>
      <c r="X106" s="44">
        <v>140</v>
      </c>
      <c r="Y106" s="41">
        <f t="shared" si="21"/>
        <v>2317</v>
      </c>
      <c r="Z106" s="44">
        <f t="shared" si="22"/>
        <v>0</v>
      </c>
      <c r="AA106" s="44">
        <f t="shared" si="23"/>
        <v>140</v>
      </c>
      <c r="AB106" s="111">
        <f t="shared" si="24"/>
        <v>2317</v>
      </c>
      <c r="AC106" s="115"/>
      <c r="AD106" s="169">
        <v>0</v>
      </c>
      <c r="AE106" s="170">
        <v>0</v>
      </c>
      <c r="AF106" s="171">
        <v>0</v>
      </c>
      <c r="AG106" s="172">
        <f t="shared" si="25"/>
        <v>0</v>
      </c>
    </row>
    <row r="107" spans="1:33" x14ac:dyDescent="0.2">
      <c r="A107" s="35" t="s">
        <v>93</v>
      </c>
      <c r="B107" s="36" t="s">
        <v>1031</v>
      </c>
      <c r="C107" s="36" t="s">
        <v>571</v>
      </c>
      <c r="D107" s="36" t="s">
        <v>814</v>
      </c>
      <c r="E107" s="36" t="s">
        <v>920</v>
      </c>
      <c r="F107" s="39">
        <v>450</v>
      </c>
      <c r="G107" s="40">
        <v>6771.5</v>
      </c>
      <c r="H107" s="39">
        <v>350</v>
      </c>
      <c r="I107" s="40">
        <v>4432</v>
      </c>
      <c r="J107" s="36" t="s">
        <v>571</v>
      </c>
      <c r="K107" s="41">
        <v>20.079335038363169</v>
      </c>
      <c r="L107" s="105">
        <v>0</v>
      </c>
      <c r="M107" s="44">
        <v>150</v>
      </c>
      <c r="N107" s="41">
        <v>1524</v>
      </c>
      <c r="O107" s="92">
        <v>150</v>
      </c>
      <c r="P107" s="43">
        <v>0</v>
      </c>
      <c r="Q107" s="43">
        <v>138.75</v>
      </c>
      <c r="R107" s="43">
        <v>2786.0077365728898</v>
      </c>
      <c r="S107" s="44">
        <v>288.75</v>
      </c>
      <c r="T107" s="45">
        <f t="shared" si="26"/>
        <v>5797.9079923273648</v>
      </c>
      <c r="U107" s="50">
        <v>391</v>
      </c>
      <c r="V107" s="106">
        <v>7851.0199999999995</v>
      </c>
      <c r="W107" s="97">
        <v>10.16</v>
      </c>
      <c r="X107" s="44">
        <v>460</v>
      </c>
      <c r="Y107" s="41">
        <f t="shared" si="21"/>
        <v>4673.6000000000004</v>
      </c>
      <c r="Z107" s="44">
        <f t="shared" si="22"/>
        <v>112.35</v>
      </c>
      <c r="AA107" s="44">
        <f t="shared" si="23"/>
        <v>572.35</v>
      </c>
      <c r="AB107" s="111">
        <f t="shared" si="24"/>
        <v>5815.076</v>
      </c>
      <c r="AC107" s="115"/>
      <c r="AD107" s="169">
        <v>0</v>
      </c>
      <c r="AE107" s="170">
        <v>0</v>
      </c>
      <c r="AF107" s="171">
        <v>112.35</v>
      </c>
      <c r="AG107" s="172">
        <f t="shared" si="25"/>
        <v>112.35</v>
      </c>
    </row>
    <row r="108" spans="1:33" x14ac:dyDescent="0.2">
      <c r="A108" s="35" t="s">
        <v>123</v>
      </c>
      <c r="B108" s="36" t="s">
        <v>1031</v>
      </c>
      <c r="C108" s="36" t="s">
        <v>571</v>
      </c>
      <c r="D108" s="36" t="s">
        <v>828</v>
      </c>
      <c r="E108" s="36" t="s">
        <v>920</v>
      </c>
      <c r="F108" s="39">
        <v>0</v>
      </c>
      <c r="G108" s="40">
        <v>0</v>
      </c>
      <c r="H108" s="39">
        <v>20</v>
      </c>
      <c r="I108" s="40">
        <v>553.6</v>
      </c>
      <c r="J108" s="36" t="s">
        <v>571</v>
      </c>
      <c r="K108" s="41">
        <v>27.68</v>
      </c>
      <c r="L108" s="105">
        <v>0</v>
      </c>
      <c r="M108" s="44">
        <v>196</v>
      </c>
      <c r="N108" s="41">
        <v>3100.16</v>
      </c>
      <c r="O108" s="92">
        <v>0</v>
      </c>
      <c r="P108" s="43">
        <v>196</v>
      </c>
      <c r="Q108" s="43">
        <v>0</v>
      </c>
      <c r="R108" s="43">
        <v>0</v>
      </c>
      <c r="S108" s="44">
        <v>196</v>
      </c>
      <c r="T108" s="45">
        <f t="shared" si="26"/>
        <v>5425.28</v>
      </c>
      <c r="U108" s="50">
        <v>112</v>
      </c>
      <c r="V108" s="106">
        <v>3100.16</v>
      </c>
      <c r="W108" s="97">
        <v>27.68</v>
      </c>
      <c r="X108" s="44">
        <v>56</v>
      </c>
      <c r="Y108" s="41">
        <f t="shared" si="21"/>
        <v>1550.08</v>
      </c>
      <c r="Z108" s="44">
        <f t="shared" si="22"/>
        <v>0</v>
      </c>
      <c r="AA108" s="44">
        <f t="shared" si="23"/>
        <v>56</v>
      </c>
      <c r="AB108" s="111">
        <f t="shared" si="24"/>
        <v>1550.08</v>
      </c>
      <c r="AC108" s="115"/>
      <c r="AD108" s="169">
        <v>0</v>
      </c>
      <c r="AE108" s="170">
        <v>0</v>
      </c>
      <c r="AF108" s="171">
        <v>0</v>
      </c>
      <c r="AG108" s="172">
        <f t="shared" si="25"/>
        <v>0</v>
      </c>
    </row>
    <row r="109" spans="1:33" x14ac:dyDescent="0.2">
      <c r="A109" s="35" t="s">
        <v>127</v>
      </c>
      <c r="B109" s="36" t="s">
        <v>1031</v>
      </c>
      <c r="C109" s="36" t="s">
        <v>578</v>
      </c>
      <c r="D109" s="36" t="s">
        <v>828</v>
      </c>
      <c r="E109" s="36" t="s">
        <v>920</v>
      </c>
      <c r="F109" s="39">
        <v>0</v>
      </c>
      <c r="G109" s="40">
        <v>0</v>
      </c>
      <c r="H109" s="39">
        <v>0</v>
      </c>
      <c r="I109" s="40">
        <v>0</v>
      </c>
      <c r="J109" s="36" t="s">
        <v>571</v>
      </c>
      <c r="K109" s="41">
        <v>26.93</v>
      </c>
      <c r="L109" s="105">
        <v>0</v>
      </c>
      <c r="M109" s="44">
        <v>216</v>
      </c>
      <c r="N109" s="41">
        <v>3554.7599999999998</v>
      </c>
      <c r="O109" s="92">
        <v>0</v>
      </c>
      <c r="P109" s="43">
        <v>216</v>
      </c>
      <c r="Q109" s="43">
        <v>0</v>
      </c>
      <c r="R109" s="43">
        <v>0</v>
      </c>
      <c r="S109" s="44">
        <v>216</v>
      </c>
      <c r="T109" s="45">
        <f t="shared" si="26"/>
        <v>5816.88</v>
      </c>
      <c r="U109" s="50">
        <v>132</v>
      </c>
      <c r="V109" s="106">
        <v>3554.7599999999998</v>
      </c>
      <c r="W109" s="97">
        <v>26.93</v>
      </c>
      <c r="X109" s="44">
        <v>56</v>
      </c>
      <c r="Y109" s="41">
        <f t="shared" si="21"/>
        <v>1508.08</v>
      </c>
      <c r="Z109" s="44">
        <f t="shared" si="22"/>
        <v>0</v>
      </c>
      <c r="AA109" s="44">
        <f t="shared" si="23"/>
        <v>56</v>
      </c>
      <c r="AB109" s="111">
        <f t="shared" si="24"/>
        <v>1508.08</v>
      </c>
      <c r="AC109" s="115"/>
      <c r="AD109" s="169">
        <v>0</v>
      </c>
      <c r="AE109" s="170">
        <v>0</v>
      </c>
      <c r="AF109" s="171">
        <v>0</v>
      </c>
      <c r="AG109" s="172">
        <f t="shared" si="25"/>
        <v>0</v>
      </c>
    </row>
    <row r="110" spans="1:33" x14ac:dyDescent="0.2">
      <c r="A110" s="35" t="s">
        <v>75</v>
      </c>
      <c r="B110" s="36" t="s">
        <v>567</v>
      </c>
      <c r="C110" s="36" t="s">
        <v>578</v>
      </c>
      <c r="D110" s="36" t="s">
        <v>828</v>
      </c>
      <c r="E110" s="36" t="s">
        <v>920</v>
      </c>
      <c r="F110" s="39">
        <v>0</v>
      </c>
      <c r="G110" s="40">
        <v>0</v>
      </c>
      <c r="H110" s="39">
        <v>0</v>
      </c>
      <c r="I110" s="40">
        <v>0</v>
      </c>
      <c r="J110" s="36" t="s">
        <v>571</v>
      </c>
      <c r="K110" s="41">
        <v>12.080000000000002</v>
      </c>
      <c r="L110" s="105">
        <v>0</v>
      </c>
      <c r="M110" s="44">
        <v>216</v>
      </c>
      <c r="N110" s="41">
        <v>1594.5600000000002</v>
      </c>
      <c r="O110" s="92">
        <v>0</v>
      </c>
      <c r="P110" s="43">
        <v>216</v>
      </c>
      <c r="Q110" s="43">
        <v>0</v>
      </c>
      <c r="R110" s="43">
        <v>0</v>
      </c>
      <c r="S110" s="44">
        <v>216</v>
      </c>
      <c r="T110" s="45">
        <f t="shared" si="26"/>
        <v>2609.2800000000002</v>
      </c>
      <c r="U110" s="50">
        <v>132</v>
      </c>
      <c r="V110" s="106">
        <v>1594.5600000000002</v>
      </c>
      <c r="W110" s="97">
        <v>12.08</v>
      </c>
      <c r="X110" s="44">
        <v>56</v>
      </c>
      <c r="Y110" s="41">
        <f t="shared" si="21"/>
        <v>676.48</v>
      </c>
      <c r="Z110" s="44">
        <f t="shared" si="22"/>
        <v>0</v>
      </c>
      <c r="AA110" s="44">
        <f t="shared" si="23"/>
        <v>56</v>
      </c>
      <c r="AB110" s="111">
        <f t="shared" si="24"/>
        <v>676.48</v>
      </c>
      <c r="AC110" s="115"/>
      <c r="AD110" s="169">
        <v>0</v>
      </c>
      <c r="AE110" s="170">
        <v>0</v>
      </c>
      <c r="AF110" s="171">
        <v>0</v>
      </c>
      <c r="AG110" s="172">
        <f t="shared" si="25"/>
        <v>0</v>
      </c>
    </row>
    <row r="111" spans="1:33" x14ac:dyDescent="0.2">
      <c r="A111" s="35" t="s">
        <v>95</v>
      </c>
      <c r="B111" s="36" t="s">
        <v>1031</v>
      </c>
      <c r="C111" s="36" t="s">
        <v>578</v>
      </c>
      <c r="D111" s="36" t="s">
        <v>828</v>
      </c>
      <c r="E111" s="36" t="s">
        <v>920</v>
      </c>
      <c r="F111" s="39">
        <v>0</v>
      </c>
      <c r="G111" s="40">
        <v>0</v>
      </c>
      <c r="H111" s="39">
        <v>0</v>
      </c>
      <c r="I111" s="40">
        <v>0</v>
      </c>
      <c r="J111" s="36" t="s">
        <v>571</v>
      </c>
      <c r="K111" s="41">
        <v>19.259999999999998</v>
      </c>
      <c r="L111" s="105">
        <v>0</v>
      </c>
      <c r="M111" s="44">
        <v>108</v>
      </c>
      <c r="N111" s="41">
        <v>1271.1599999999999</v>
      </c>
      <c r="O111" s="92">
        <v>0</v>
      </c>
      <c r="P111" s="43">
        <v>108</v>
      </c>
      <c r="Q111" s="43">
        <v>0</v>
      </c>
      <c r="R111" s="43">
        <v>0</v>
      </c>
      <c r="S111" s="44">
        <v>108</v>
      </c>
      <c r="T111" s="45">
        <f t="shared" si="26"/>
        <v>2080.08</v>
      </c>
      <c r="U111" s="50">
        <v>66</v>
      </c>
      <c r="V111" s="106">
        <v>1271.1599999999999</v>
      </c>
      <c r="W111" s="97">
        <v>19.259999999999998</v>
      </c>
      <c r="X111" s="44">
        <v>28</v>
      </c>
      <c r="Y111" s="41">
        <f t="shared" si="21"/>
        <v>539.28</v>
      </c>
      <c r="Z111" s="44">
        <f t="shared" si="22"/>
        <v>0</v>
      </c>
      <c r="AA111" s="44">
        <f t="shared" si="23"/>
        <v>28</v>
      </c>
      <c r="AB111" s="111">
        <f t="shared" si="24"/>
        <v>539.28</v>
      </c>
      <c r="AC111" s="115"/>
      <c r="AD111" s="169">
        <v>0</v>
      </c>
      <c r="AE111" s="170">
        <v>0</v>
      </c>
      <c r="AF111" s="171">
        <v>0</v>
      </c>
      <c r="AG111" s="172">
        <f t="shared" si="25"/>
        <v>0</v>
      </c>
    </row>
    <row r="112" spans="1:33" x14ac:dyDescent="0.2">
      <c r="A112" s="35" t="s">
        <v>191</v>
      </c>
      <c r="B112" s="36" t="s">
        <v>562</v>
      </c>
      <c r="C112" s="36" t="s">
        <v>571</v>
      </c>
      <c r="D112" s="36" t="s">
        <v>814</v>
      </c>
      <c r="E112" s="36" t="s">
        <v>920</v>
      </c>
      <c r="F112" s="39">
        <v>0</v>
      </c>
      <c r="G112" s="40">
        <v>0</v>
      </c>
      <c r="H112" s="39">
        <v>0</v>
      </c>
      <c r="I112" s="40">
        <v>0</v>
      </c>
      <c r="J112" s="36" t="s">
        <v>571</v>
      </c>
      <c r="K112" s="41">
        <v>127.77777777777777</v>
      </c>
      <c r="L112" s="105">
        <v>0</v>
      </c>
      <c r="M112" s="44">
        <v>500</v>
      </c>
      <c r="N112" s="41">
        <v>50000</v>
      </c>
      <c r="O112" s="92">
        <v>0</v>
      </c>
      <c r="P112" s="43">
        <v>500</v>
      </c>
      <c r="Q112" s="43">
        <v>77.5</v>
      </c>
      <c r="R112" s="43">
        <v>9902.7777777777774</v>
      </c>
      <c r="S112" s="44">
        <v>577.5</v>
      </c>
      <c r="T112" s="45">
        <f t="shared" si="26"/>
        <v>73791.666666666657</v>
      </c>
      <c r="U112" s="50">
        <v>540</v>
      </c>
      <c r="V112" s="106">
        <v>69000</v>
      </c>
      <c r="W112" s="97"/>
      <c r="X112" s="44">
        <v>0</v>
      </c>
      <c r="Y112" s="41">
        <f t="shared" si="21"/>
        <v>0</v>
      </c>
      <c r="Z112" s="44">
        <f t="shared" si="22"/>
        <v>0</v>
      </c>
      <c r="AA112" s="44">
        <f t="shared" si="23"/>
        <v>0</v>
      </c>
      <c r="AB112" s="111">
        <f t="shared" si="24"/>
        <v>0</v>
      </c>
      <c r="AC112" s="115"/>
      <c r="AD112" s="169">
        <v>0</v>
      </c>
      <c r="AE112" s="170">
        <v>0</v>
      </c>
      <c r="AF112" s="171">
        <v>0</v>
      </c>
      <c r="AG112" s="172">
        <f t="shared" si="25"/>
        <v>0</v>
      </c>
    </row>
    <row r="113" spans="1:33" x14ac:dyDescent="0.2">
      <c r="A113" s="35" t="s">
        <v>139</v>
      </c>
      <c r="B113" s="36" t="s">
        <v>567</v>
      </c>
      <c r="C113" s="36" t="s">
        <v>571</v>
      </c>
      <c r="D113" s="36" t="s">
        <v>829</v>
      </c>
      <c r="E113" s="36" t="s">
        <v>920</v>
      </c>
      <c r="F113" s="39">
        <v>0</v>
      </c>
      <c r="G113" s="40">
        <v>0</v>
      </c>
      <c r="H113" s="39">
        <v>0</v>
      </c>
      <c r="I113" s="40">
        <v>0</v>
      </c>
      <c r="J113" s="36" t="s">
        <v>571</v>
      </c>
      <c r="K113" s="41">
        <v>140</v>
      </c>
      <c r="L113" s="105">
        <v>0</v>
      </c>
      <c r="M113" s="44">
        <v>250</v>
      </c>
      <c r="N113" s="41">
        <v>35000</v>
      </c>
      <c r="O113" s="92">
        <v>0</v>
      </c>
      <c r="P113" s="43">
        <v>250</v>
      </c>
      <c r="Q113" s="43">
        <v>38.75</v>
      </c>
      <c r="R113" s="43">
        <v>5425</v>
      </c>
      <c r="S113" s="44">
        <v>288.75</v>
      </c>
      <c r="T113" s="45">
        <f t="shared" si="26"/>
        <v>40425</v>
      </c>
      <c r="U113" s="50">
        <v>465</v>
      </c>
      <c r="V113" s="106">
        <v>65100</v>
      </c>
      <c r="W113" s="97">
        <v>0</v>
      </c>
      <c r="X113" s="44">
        <v>0</v>
      </c>
      <c r="Y113" s="41">
        <f t="shared" si="21"/>
        <v>0</v>
      </c>
      <c r="Z113" s="44">
        <f t="shared" si="22"/>
        <v>0</v>
      </c>
      <c r="AA113" s="44">
        <f t="shared" si="23"/>
        <v>0</v>
      </c>
      <c r="AB113" s="111">
        <f t="shared" si="24"/>
        <v>0</v>
      </c>
      <c r="AC113" s="115"/>
      <c r="AD113" s="169">
        <v>0</v>
      </c>
      <c r="AE113" s="170">
        <v>0</v>
      </c>
      <c r="AF113" s="171">
        <v>0</v>
      </c>
      <c r="AG113" s="172">
        <f t="shared" si="25"/>
        <v>0</v>
      </c>
    </row>
    <row r="114" spans="1:33" x14ac:dyDescent="0.2">
      <c r="A114" s="35" t="s">
        <v>179</v>
      </c>
      <c r="B114" s="36" t="s">
        <v>566</v>
      </c>
      <c r="C114" s="36" t="s">
        <v>571</v>
      </c>
      <c r="D114" s="36" t="s">
        <v>759</v>
      </c>
      <c r="E114" s="36" t="s">
        <v>920</v>
      </c>
      <c r="F114" s="39">
        <v>0</v>
      </c>
      <c r="G114" s="40">
        <v>0</v>
      </c>
      <c r="H114" s="39">
        <v>169</v>
      </c>
      <c r="I114" s="40">
        <v>33025.980000000003</v>
      </c>
      <c r="J114" s="36" t="s">
        <v>571</v>
      </c>
      <c r="K114" s="41">
        <v>195.42000000000002</v>
      </c>
      <c r="L114" s="105">
        <v>0</v>
      </c>
      <c r="M114" s="44">
        <v>331</v>
      </c>
      <c r="N114" s="41">
        <v>64684.020000000004</v>
      </c>
      <c r="O114" s="92">
        <v>350</v>
      </c>
      <c r="P114" s="43">
        <v>-19</v>
      </c>
      <c r="Q114" s="43">
        <v>51.305000000000064</v>
      </c>
      <c r="R114" s="43">
        <v>10026.023100000013</v>
      </c>
      <c r="S114" s="44">
        <v>382.30500000000006</v>
      </c>
      <c r="T114" s="45">
        <f t="shared" si="26"/>
        <v>74710.043100000024</v>
      </c>
      <c r="U114" s="50">
        <v>331</v>
      </c>
      <c r="V114" s="106">
        <v>64684.020000000004</v>
      </c>
      <c r="W114" s="97">
        <v>0</v>
      </c>
      <c r="X114" s="44">
        <v>0</v>
      </c>
      <c r="Y114" s="41">
        <f t="shared" si="21"/>
        <v>0</v>
      </c>
      <c r="Z114" s="44">
        <f t="shared" si="22"/>
        <v>0</v>
      </c>
      <c r="AA114" s="44">
        <f t="shared" si="23"/>
        <v>0</v>
      </c>
      <c r="AB114" s="111">
        <f t="shared" si="24"/>
        <v>0</v>
      </c>
      <c r="AC114" s="115"/>
      <c r="AD114" s="169">
        <v>0</v>
      </c>
      <c r="AE114" s="170">
        <v>0</v>
      </c>
      <c r="AF114" s="171">
        <v>0</v>
      </c>
      <c r="AG114" s="172">
        <f t="shared" si="25"/>
        <v>0</v>
      </c>
    </row>
    <row r="115" spans="1:33" x14ac:dyDescent="0.2">
      <c r="A115" s="49" t="s">
        <v>886</v>
      </c>
      <c r="B115" s="36" t="s">
        <v>554</v>
      </c>
      <c r="C115" s="36"/>
      <c r="D115" s="36"/>
      <c r="E115" s="36" t="s">
        <v>920</v>
      </c>
      <c r="F115" s="39"/>
      <c r="G115" s="40"/>
      <c r="H115" s="39">
        <v>0</v>
      </c>
      <c r="I115" s="40">
        <v>0</v>
      </c>
      <c r="J115" s="36"/>
      <c r="K115" s="41">
        <v>30.38</v>
      </c>
      <c r="L115" s="105"/>
      <c r="M115" s="44"/>
      <c r="N115" s="41"/>
      <c r="O115" s="92"/>
      <c r="P115" s="36"/>
      <c r="Q115" s="36"/>
      <c r="R115" s="36"/>
      <c r="S115" s="44"/>
      <c r="T115" s="36"/>
      <c r="U115" s="36">
        <v>1000</v>
      </c>
      <c r="V115" s="106">
        <v>30380</v>
      </c>
      <c r="W115" s="97">
        <v>0</v>
      </c>
      <c r="X115" s="44">
        <v>0</v>
      </c>
      <c r="Y115" s="41">
        <f t="shared" si="21"/>
        <v>0</v>
      </c>
      <c r="Z115" s="44">
        <f t="shared" si="22"/>
        <v>0</v>
      </c>
      <c r="AA115" s="44">
        <f t="shared" si="23"/>
        <v>0</v>
      </c>
      <c r="AB115" s="111">
        <f t="shared" si="24"/>
        <v>0</v>
      </c>
      <c r="AC115" s="115"/>
      <c r="AD115" s="169">
        <v>0</v>
      </c>
      <c r="AE115" s="170">
        <v>0</v>
      </c>
      <c r="AF115" s="171">
        <v>0</v>
      </c>
      <c r="AG115" s="172">
        <f t="shared" si="25"/>
        <v>0</v>
      </c>
    </row>
    <row r="116" spans="1:33" x14ac:dyDescent="0.2">
      <c r="A116" s="35" t="s">
        <v>849</v>
      </c>
      <c r="B116" s="36" t="s">
        <v>565</v>
      </c>
      <c r="C116" s="36"/>
      <c r="D116" s="36"/>
      <c r="E116" s="36" t="s">
        <v>920</v>
      </c>
      <c r="F116" s="39"/>
      <c r="G116" s="40"/>
      <c r="H116" s="39">
        <v>428</v>
      </c>
      <c r="I116" s="40">
        <v>46378.080000000002</v>
      </c>
      <c r="J116" s="36"/>
      <c r="K116" s="41">
        <v>112.15</v>
      </c>
      <c r="L116" s="105"/>
      <c r="M116" s="44"/>
      <c r="N116" s="41"/>
      <c r="O116" s="92"/>
      <c r="P116" s="36"/>
      <c r="Q116" s="36"/>
      <c r="R116" s="36"/>
      <c r="S116" s="44"/>
      <c r="T116" s="36"/>
      <c r="U116" s="36">
        <v>250</v>
      </c>
      <c r="V116" s="106">
        <v>28037.5</v>
      </c>
      <c r="W116" s="97">
        <v>0</v>
      </c>
      <c r="X116" s="44">
        <v>0</v>
      </c>
      <c r="Y116" s="41">
        <f t="shared" si="21"/>
        <v>0</v>
      </c>
      <c r="Z116" s="44">
        <f t="shared" si="22"/>
        <v>0</v>
      </c>
      <c r="AA116" s="44">
        <f t="shared" si="23"/>
        <v>0</v>
      </c>
      <c r="AB116" s="111">
        <f t="shared" si="24"/>
        <v>0</v>
      </c>
      <c r="AC116" s="115"/>
      <c r="AD116" s="169">
        <v>0</v>
      </c>
      <c r="AE116" s="170">
        <v>0</v>
      </c>
      <c r="AF116" s="171">
        <v>0</v>
      </c>
      <c r="AG116" s="172">
        <f t="shared" si="25"/>
        <v>0</v>
      </c>
    </row>
    <row r="117" spans="1:33" x14ac:dyDescent="0.2">
      <c r="A117" s="35" t="s">
        <v>57</v>
      </c>
      <c r="B117" s="36" t="s">
        <v>1031</v>
      </c>
      <c r="C117" s="36" t="s">
        <v>571</v>
      </c>
      <c r="D117" s="36" t="s">
        <v>831</v>
      </c>
      <c r="E117" s="36" t="s">
        <v>920</v>
      </c>
      <c r="F117" s="39">
        <v>0</v>
      </c>
      <c r="G117" s="40">
        <v>0</v>
      </c>
      <c r="H117" s="39">
        <v>0</v>
      </c>
      <c r="I117" s="40">
        <v>0</v>
      </c>
      <c r="J117" s="36" t="s">
        <v>571</v>
      </c>
      <c r="K117" s="41">
        <v>19.93</v>
      </c>
      <c r="L117" s="105">
        <v>0</v>
      </c>
      <c r="M117" s="44">
        <v>500</v>
      </c>
      <c r="N117" s="41">
        <v>9965</v>
      </c>
      <c r="O117" s="92">
        <v>0</v>
      </c>
      <c r="P117" s="43">
        <v>500</v>
      </c>
      <c r="Q117" s="43">
        <v>77.5</v>
      </c>
      <c r="R117" s="43">
        <v>1544.575</v>
      </c>
      <c r="S117" s="44">
        <v>577.5</v>
      </c>
      <c r="T117" s="45">
        <f>S117*K117</f>
        <v>11509.575000000001</v>
      </c>
      <c r="U117" s="50">
        <v>1000</v>
      </c>
      <c r="V117" s="106">
        <v>19930</v>
      </c>
      <c r="W117" s="97">
        <v>0</v>
      </c>
      <c r="X117" s="44">
        <v>0</v>
      </c>
      <c r="Y117" s="41">
        <f t="shared" si="21"/>
        <v>0</v>
      </c>
      <c r="Z117" s="44">
        <f t="shared" si="22"/>
        <v>0</v>
      </c>
      <c r="AA117" s="44">
        <f t="shared" si="23"/>
        <v>0</v>
      </c>
      <c r="AB117" s="111">
        <f t="shared" si="24"/>
        <v>0</v>
      </c>
      <c r="AC117" s="115"/>
      <c r="AD117" s="169">
        <v>0</v>
      </c>
      <c r="AE117" s="170">
        <v>0</v>
      </c>
      <c r="AF117" s="171">
        <v>0</v>
      </c>
      <c r="AG117" s="172">
        <f t="shared" si="25"/>
        <v>0</v>
      </c>
    </row>
    <row r="118" spans="1:33" x14ac:dyDescent="0.2">
      <c r="A118" s="35" t="s">
        <v>47</v>
      </c>
      <c r="B118" s="36" t="s">
        <v>567</v>
      </c>
      <c r="C118" s="36" t="s">
        <v>571</v>
      </c>
      <c r="D118" s="36" t="s">
        <v>829</v>
      </c>
      <c r="E118" s="36" t="s">
        <v>920</v>
      </c>
      <c r="F118" s="39">
        <v>0</v>
      </c>
      <c r="G118" s="40">
        <v>0</v>
      </c>
      <c r="H118" s="39">
        <v>250</v>
      </c>
      <c r="I118" s="40">
        <v>6252.5</v>
      </c>
      <c r="J118" s="36" t="s">
        <v>571</v>
      </c>
      <c r="K118" s="41">
        <v>25.89</v>
      </c>
      <c r="L118" s="105">
        <v>0</v>
      </c>
      <c r="M118" s="44">
        <v>750</v>
      </c>
      <c r="N118" s="41">
        <v>18757.5</v>
      </c>
      <c r="O118" s="92">
        <v>250</v>
      </c>
      <c r="P118" s="43">
        <v>500</v>
      </c>
      <c r="Q118" s="43">
        <v>0</v>
      </c>
      <c r="R118" s="43">
        <v>0</v>
      </c>
      <c r="S118" s="44">
        <v>750</v>
      </c>
      <c r="T118" s="45">
        <f>S118*K118</f>
        <v>19417.5</v>
      </c>
      <c r="U118" s="50">
        <v>750</v>
      </c>
      <c r="V118" s="106">
        <v>19417.5</v>
      </c>
      <c r="W118" s="97">
        <v>0</v>
      </c>
      <c r="X118" s="44">
        <v>0</v>
      </c>
      <c r="Y118" s="41">
        <f t="shared" si="21"/>
        <v>0</v>
      </c>
      <c r="Z118" s="44">
        <f t="shared" si="22"/>
        <v>0</v>
      </c>
      <c r="AA118" s="44">
        <f t="shared" si="23"/>
        <v>0</v>
      </c>
      <c r="AB118" s="111">
        <f t="shared" si="24"/>
        <v>0</v>
      </c>
      <c r="AC118" s="115"/>
      <c r="AD118" s="169">
        <v>0</v>
      </c>
      <c r="AE118" s="170">
        <v>0</v>
      </c>
      <c r="AF118" s="171">
        <v>0</v>
      </c>
      <c r="AG118" s="172">
        <f t="shared" si="25"/>
        <v>0</v>
      </c>
    </row>
    <row r="119" spans="1:33" x14ac:dyDescent="0.2">
      <c r="A119" s="35" t="s">
        <v>173</v>
      </c>
      <c r="B119" s="36" t="s">
        <v>567</v>
      </c>
      <c r="C119" s="36" t="s">
        <v>578</v>
      </c>
      <c r="D119" s="36" t="s">
        <v>822</v>
      </c>
      <c r="E119" s="36" t="s">
        <v>920</v>
      </c>
      <c r="F119" s="39">
        <v>109</v>
      </c>
      <c r="G119" s="40">
        <v>3122.85</v>
      </c>
      <c r="H119" s="39">
        <v>576</v>
      </c>
      <c r="I119" s="40">
        <v>23880.959999999999</v>
      </c>
      <c r="J119" s="36" t="s">
        <v>571</v>
      </c>
      <c r="K119" s="41">
        <v>59.8</v>
      </c>
      <c r="L119" s="105">
        <v>0</v>
      </c>
      <c r="M119" s="44">
        <v>250</v>
      </c>
      <c r="N119" s="41">
        <v>14950</v>
      </c>
      <c r="O119" s="92">
        <v>330</v>
      </c>
      <c r="P119" s="43">
        <v>-80</v>
      </c>
      <c r="Q119" s="43">
        <v>38.75</v>
      </c>
      <c r="R119" s="43">
        <v>2317.25</v>
      </c>
      <c r="S119" s="44">
        <v>288.75</v>
      </c>
      <c r="T119" s="45">
        <f>S119*K119</f>
        <v>17267.25</v>
      </c>
      <c r="U119" s="50">
        <v>250</v>
      </c>
      <c r="V119" s="106">
        <v>14950</v>
      </c>
      <c r="W119" s="97">
        <v>0</v>
      </c>
      <c r="X119" s="44">
        <v>0</v>
      </c>
      <c r="Y119" s="41">
        <f t="shared" si="21"/>
        <v>0</v>
      </c>
      <c r="Z119" s="44">
        <f t="shared" si="22"/>
        <v>0</v>
      </c>
      <c r="AA119" s="44">
        <f t="shared" si="23"/>
        <v>0</v>
      </c>
      <c r="AB119" s="111">
        <f t="shared" si="24"/>
        <v>0</v>
      </c>
      <c r="AC119" s="115"/>
      <c r="AD119" s="169">
        <v>0</v>
      </c>
      <c r="AE119" s="170">
        <v>0</v>
      </c>
      <c r="AF119" s="171">
        <v>0</v>
      </c>
      <c r="AG119" s="172">
        <f t="shared" si="25"/>
        <v>0</v>
      </c>
    </row>
    <row r="120" spans="1:33" x14ac:dyDescent="0.2">
      <c r="A120" s="35" t="s">
        <v>61</v>
      </c>
      <c r="B120" s="36" t="s">
        <v>1031</v>
      </c>
      <c r="C120" s="36" t="s">
        <v>571</v>
      </c>
      <c r="D120" s="36" t="s">
        <v>831</v>
      </c>
      <c r="E120" s="36" t="s">
        <v>920</v>
      </c>
      <c r="F120" s="39">
        <v>0</v>
      </c>
      <c r="G120" s="40">
        <v>0</v>
      </c>
      <c r="H120" s="39">
        <v>0</v>
      </c>
      <c r="I120" s="40">
        <v>0</v>
      </c>
      <c r="J120" s="36" t="s">
        <v>571</v>
      </c>
      <c r="K120" s="41">
        <v>28.11</v>
      </c>
      <c r="L120" s="105">
        <v>0</v>
      </c>
      <c r="M120" s="44">
        <v>500</v>
      </c>
      <c r="N120" s="41">
        <v>14055</v>
      </c>
      <c r="O120" s="92">
        <v>0</v>
      </c>
      <c r="P120" s="43">
        <v>500</v>
      </c>
      <c r="Q120" s="43">
        <v>77.5</v>
      </c>
      <c r="R120" s="43">
        <v>2178.5250000000001</v>
      </c>
      <c r="S120" s="44">
        <v>577.5</v>
      </c>
      <c r="T120" s="45">
        <f>S120*K120</f>
        <v>16233.525</v>
      </c>
      <c r="U120" s="50">
        <v>500</v>
      </c>
      <c r="V120" s="106">
        <v>14055</v>
      </c>
      <c r="W120" s="97">
        <v>0</v>
      </c>
      <c r="X120" s="44">
        <v>0</v>
      </c>
      <c r="Y120" s="41">
        <f t="shared" si="21"/>
        <v>0</v>
      </c>
      <c r="Z120" s="44">
        <f t="shared" si="22"/>
        <v>0</v>
      </c>
      <c r="AA120" s="44">
        <f t="shared" si="23"/>
        <v>0</v>
      </c>
      <c r="AB120" s="111">
        <f t="shared" si="24"/>
        <v>0</v>
      </c>
      <c r="AC120" s="115"/>
      <c r="AD120" s="169">
        <v>0</v>
      </c>
      <c r="AE120" s="170">
        <v>0</v>
      </c>
      <c r="AF120" s="171">
        <v>0</v>
      </c>
      <c r="AG120" s="172">
        <f t="shared" si="25"/>
        <v>0</v>
      </c>
    </row>
    <row r="121" spans="1:33" x14ac:dyDescent="0.2">
      <c r="A121" s="49" t="s">
        <v>899</v>
      </c>
      <c r="B121" s="36" t="s">
        <v>567</v>
      </c>
      <c r="C121" s="36"/>
      <c r="D121" s="36"/>
      <c r="E121" s="36" t="s">
        <v>920</v>
      </c>
      <c r="F121" s="39"/>
      <c r="G121" s="40"/>
      <c r="H121" s="39">
        <v>0</v>
      </c>
      <c r="I121" s="40">
        <v>0</v>
      </c>
      <c r="J121" s="36"/>
      <c r="K121" s="41">
        <v>66.209999999999994</v>
      </c>
      <c r="L121" s="105"/>
      <c r="M121" s="44"/>
      <c r="N121" s="41"/>
      <c r="O121" s="92"/>
      <c r="P121" s="36"/>
      <c r="Q121" s="36"/>
      <c r="R121" s="36"/>
      <c r="S121" s="44"/>
      <c r="T121" s="36"/>
      <c r="U121" s="36">
        <v>200</v>
      </c>
      <c r="V121" s="106">
        <v>13242</v>
      </c>
      <c r="W121" s="97">
        <v>0</v>
      </c>
      <c r="X121" s="44">
        <v>0</v>
      </c>
      <c r="Y121" s="41">
        <f t="shared" si="21"/>
        <v>0</v>
      </c>
      <c r="Z121" s="44">
        <f t="shared" si="22"/>
        <v>0</v>
      </c>
      <c r="AA121" s="44">
        <f t="shared" si="23"/>
        <v>0</v>
      </c>
      <c r="AB121" s="111">
        <f t="shared" si="24"/>
        <v>0</v>
      </c>
      <c r="AC121" s="115"/>
      <c r="AD121" s="169">
        <v>0</v>
      </c>
      <c r="AE121" s="170">
        <v>0</v>
      </c>
      <c r="AF121" s="171">
        <v>0</v>
      </c>
      <c r="AG121" s="172">
        <f t="shared" si="25"/>
        <v>0</v>
      </c>
    </row>
    <row r="122" spans="1:33" x14ac:dyDescent="0.2">
      <c r="A122" s="35" t="s">
        <v>459</v>
      </c>
      <c r="B122" s="36" t="s">
        <v>567</v>
      </c>
      <c r="C122" s="36" t="s">
        <v>571</v>
      </c>
      <c r="D122" s="36" t="s">
        <v>830</v>
      </c>
      <c r="E122" s="36" t="s">
        <v>920</v>
      </c>
      <c r="F122" s="39">
        <v>209</v>
      </c>
      <c r="G122" s="40">
        <v>37128.850000000006</v>
      </c>
      <c r="H122" s="39">
        <v>500</v>
      </c>
      <c r="I122" s="40">
        <v>71915</v>
      </c>
      <c r="J122" s="36" t="s">
        <v>571</v>
      </c>
      <c r="K122" s="41">
        <v>60</v>
      </c>
      <c r="L122" s="105">
        <v>0</v>
      </c>
      <c r="M122" s="44">
        <v>0</v>
      </c>
      <c r="N122" s="41">
        <v>0</v>
      </c>
      <c r="O122" s="92">
        <v>140</v>
      </c>
      <c r="P122" s="43">
        <v>-140</v>
      </c>
      <c r="Q122" s="43">
        <v>140</v>
      </c>
      <c r="R122" s="43">
        <v>8400</v>
      </c>
      <c r="S122" s="44">
        <v>140</v>
      </c>
      <c r="T122" s="45">
        <f>S122*K122</f>
        <v>8400</v>
      </c>
      <c r="U122" s="50">
        <v>64</v>
      </c>
      <c r="V122" s="106">
        <v>3840</v>
      </c>
      <c r="W122" s="97">
        <v>0</v>
      </c>
      <c r="X122" s="44">
        <v>0</v>
      </c>
      <c r="Y122" s="41">
        <f t="shared" si="21"/>
        <v>0</v>
      </c>
      <c r="Z122" s="44">
        <f t="shared" si="22"/>
        <v>0</v>
      </c>
      <c r="AA122" s="44">
        <f t="shared" si="23"/>
        <v>0</v>
      </c>
      <c r="AB122" s="111">
        <f t="shared" si="24"/>
        <v>0</v>
      </c>
      <c r="AC122" s="115"/>
      <c r="AD122" s="169">
        <v>0</v>
      </c>
      <c r="AE122" s="170">
        <v>0</v>
      </c>
      <c r="AF122" s="171">
        <v>0</v>
      </c>
      <c r="AG122" s="172">
        <f t="shared" si="25"/>
        <v>0</v>
      </c>
    </row>
    <row r="123" spans="1:33" x14ac:dyDescent="0.2">
      <c r="A123" s="35" t="s">
        <v>915</v>
      </c>
      <c r="B123" s="36" t="s">
        <v>1031</v>
      </c>
      <c r="C123" s="36"/>
      <c r="D123" s="36"/>
      <c r="E123" s="36" t="s">
        <v>920</v>
      </c>
      <c r="F123" s="39"/>
      <c r="G123" s="40"/>
      <c r="H123" s="39">
        <v>0</v>
      </c>
      <c r="I123" s="40">
        <v>0</v>
      </c>
      <c r="J123" s="36"/>
      <c r="K123" s="41">
        <v>26.400000000000002</v>
      </c>
      <c r="L123" s="105"/>
      <c r="M123" s="44"/>
      <c r="N123" s="41"/>
      <c r="O123" s="92"/>
      <c r="P123" s="36"/>
      <c r="Q123" s="36"/>
      <c r="R123" s="36"/>
      <c r="S123" s="44"/>
      <c r="T123" s="36"/>
      <c r="U123" s="36">
        <v>87</v>
      </c>
      <c r="V123" s="106">
        <v>2296.8000000000002</v>
      </c>
      <c r="W123" s="97">
        <v>0</v>
      </c>
      <c r="X123" s="44">
        <v>0</v>
      </c>
      <c r="Y123" s="41">
        <f t="shared" si="21"/>
        <v>0</v>
      </c>
      <c r="Z123" s="44">
        <f t="shared" si="22"/>
        <v>0</v>
      </c>
      <c r="AA123" s="44">
        <f t="shared" si="23"/>
        <v>0</v>
      </c>
      <c r="AB123" s="111">
        <f t="shared" si="24"/>
        <v>0</v>
      </c>
      <c r="AC123" s="115"/>
      <c r="AD123" s="169">
        <v>0</v>
      </c>
      <c r="AE123" s="170">
        <v>0</v>
      </c>
      <c r="AF123" s="171">
        <v>0</v>
      </c>
      <c r="AG123" s="172">
        <f t="shared" si="25"/>
        <v>0</v>
      </c>
    </row>
    <row r="124" spans="1:33" x14ac:dyDescent="0.2">
      <c r="A124" s="49" t="s">
        <v>918</v>
      </c>
      <c r="B124" s="36" t="s">
        <v>567</v>
      </c>
      <c r="C124" s="36"/>
      <c r="D124" s="36"/>
      <c r="E124" s="36" t="s">
        <v>920</v>
      </c>
      <c r="F124" s="39"/>
      <c r="G124" s="40"/>
      <c r="H124" s="39">
        <v>0</v>
      </c>
      <c r="I124" s="40">
        <v>0</v>
      </c>
      <c r="J124" s="36"/>
      <c r="K124" s="41">
        <v>53.55</v>
      </c>
      <c r="L124" s="105"/>
      <c r="M124" s="44"/>
      <c r="N124" s="41"/>
      <c r="O124" s="92"/>
      <c r="P124" s="36"/>
      <c r="Q124" s="36"/>
      <c r="R124" s="36"/>
      <c r="S124" s="44"/>
      <c r="T124" s="36"/>
      <c r="U124" s="36">
        <v>31</v>
      </c>
      <c r="V124" s="106">
        <v>1660.05</v>
      </c>
      <c r="W124" s="97">
        <v>0</v>
      </c>
      <c r="X124" s="44">
        <v>0</v>
      </c>
      <c r="Y124" s="41">
        <f t="shared" si="21"/>
        <v>0</v>
      </c>
      <c r="Z124" s="44">
        <f t="shared" si="22"/>
        <v>0</v>
      </c>
      <c r="AA124" s="44">
        <f t="shared" si="23"/>
        <v>0</v>
      </c>
      <c r="AB124" s="111">
        <f t="shared" si="24"/>
        <v>0</v>
      </c>
      <c r="AC124" s="115"/>
      <c r="AD124" s="169">
        <v>0</v>
      </c>
      <c r="AE124" s="170">
        <v>0</v>
      </c>
      <c r="AF124" s="171">
        <v>0</v>
      </c>
      <c r="AG124" s="172">
        <f t="shared" si="25"/>
        <v>0</v>
      </c>
    </row>
    <row r="125" spans="1:33" x14ac:dyDescent="0.2">
      <c r="A125" s="35" t="s">
        <v>23</v>
      </c>
      <c r="B125" s="36" t="s">
        <v>1031</v>
      </c>
      <c r="C125" s="36" t="s">
        <v>571</v>
      </c>
      <c r="D125" s="36" t="s">
        <v>829</v>
      </c>
      <c r="E125" s="36" t="s">
        <v>920</v>
      </c>
      <c r="F125" s="39">
        <v>0</v>
      </c>
      <c r="G125" s="40">
        <v>0</v>
      </c>
      <c r="H125" s="39">
        <v>0</v>
      </c>
      <c r="I125" s="40">
        <v>0</v>
      </c>
      <c r="J125" s="36" t="s">
        <v>571</v>
      </c>
      <c r="K125" s="41">
        <v>750</v>
      </c>
      <c r="L125" s="105">
        <v>0</v>
      </c>
      <c r="M125" s="44">
        <v>2</v>
      </c>
      <c r="N125" s="41">
        <v>1500</v>
      </c>
      <c r="O125" s="92">
        <v>0</v>
      </c>
      <c r="P125" s="43">
        <v>2</v>
      </c>
      <c r="Q125" s="43">
        <v>0.3100000000000005</v>
      </c>
      <c r="R125" s="43">
        <v>232.50000000000037</v>
      </c>
      <c r="S125" s="44">
        <v>2.3100000000000005</v>
      </c>
      <c r="T125" s="45">
        <f>S125*K125</f>
        <v>1732.5000000000005</v>
      </c>
      <c r="U125" s="50">
        <v>2</v>
      </c>
      <c r="V125" s="106">
        <v>1500</v>
      </c>
      <c r="W125" s="97">
        <v>0</v>
      </c>
      <c r="X125" s="44">
        <v>0</v>
      </c>
      <c r="Y125" s="41">
        <f t="shared" si="21"/>
        <v>0</v>
      </c>
      <c r="Z125" s="44">
        <f t="shared" si="22"/>
        <v>0</v>
      </c>
      <c r="AA125" s="44">
        <f t="shared" si="23"/>
        <v>0</v>
      </c>
      <c r="AB125" s="111">
        <f t="shared" si="24"/>
        <v>0</v>
      </c>
      <c r="AC125" s="115"/>
      <c r="AD125" s="169">
        <v>0</v>
      </c>
      <c r="AE125" s="170">
        <v>0</v>
      </c>
      <c r="AF125" s="171">
        <v>0</v>
      </c>
      <c r="AG125" s="172">
        <f t="shared" si="25"/>
        <v>0</v>
      </c>
    </row>
    <row r="126" spans="1:33" x14ac:dyDescent="0.2">
      <c r="A126" s="35" t="s">
        <v>919</v>
      </c>
      <c r="B126" s="36" t="s">
        <v>1031</v>
      </c>
      <c r="C126" s="36"/>
      <c r="D126" s="36"/>
      <c r="E126" s="36" t="s">
        <v>920</v>
      </c>
      <c r="F126" s="39"/>
      <c r="G126" s="40"/>
      <c r="H126" s="39">
        <v>0</v>
      </c>
      <c r="I126" s="40">
        <v>0</v>
      </c>
      <c r="J126" s="36"/>
      <c r="K126" s="41">
        <v>68.180000000000007</v>
      </c>
      <c r="L126" s="105"/>
      <c r="M126" s="44"/>
      <c r="N126" s="41"/>
      <c r="O126" s="92"/>
      <c r="P126" s="36"/>
      <c r="Q126" s="36"/>
      <c r="R126" s="36"/>
      <c r="S126" s="44"/>
      <c r="T126" s="36"/>
      <c r="U126" s="36">
        <v>22</v>
      </c>
      <c r="V126" s="106">
        <v>1499.96</v>
      </c>
      <c r="W126" s="97">
        <v>0</v>
      </c>
      <c r="X126" s="44">
        <v>0</v>
      </c>
      <c r="Y126" s="41">
        <f t="shared" si="21"/>
        <v>0</v>
      </c>
      <c r="Z126" s="44">
        <f t="shared" si="22"/>
        <v>0</v>
      </c>
      <c r="AA126" s="44">
        <f t="shared" si="23"/>
        <v>0</v>
      </c>
      <c r="AB126" s="111">
        <f t="shared" si="24"/>
        <v>0</v>
      </c>
      <c r="AC126" s="115"/>
      <c r="AD126" s="169">
        <v>0</v>
      </c>
      <c r="AE126" s="170">
        <v>0</v>
      </c>
      <c r="AF126" s="171">
        <v>0</v>
      </c>
      <c r="AG126" s="172">
        <f t="shared" si="25"/>
        <v>0</v>
      </c>
    </row>
    <row r="127" spans="1:33" x14ac:dyDescent="0.2">
      <c r="A127" s="35" t="s">
        <v>447</v>
      </c>
      <c r="B127" s="177" t="s">
        <v>1031</v>
      </c>
      <c r="C127" s="36" t="s">
        <v>578</v>
      </c>
      <c r="D127" s="36" t="s">
        <v>822</v>
      </c>
      <c r="E127" s="36" t="s">
        <v>920</v>
      </c>
      <c r="F127" s="39">
        <v>4041</v>
      </c>
      <c r="G127" s="40">
        <v>62352.630000000005</v>
      </c>
      <c r="H127" s="39">
        <v>4832</v>
      </c>
      <c r="I127" s="40">
        <v>74557.759999999995</v>
      </c>
      <c r="J127" s="36" t="s">
        <v>578</v>
      </c>
      <c r="K127" s="41">
        <v>15.429999999999998</v>
      </c>
      <c r="L127" s="105">
        <v>0</v>
      </c>
      <c r="M127" s="44">
        <v>77</v>
      </c>
      <c r="N127" s="41">
        <v>1188.1099999999999</v>
      </c>
      <c r="O127" s="92">
        <v>5568</v>
      </c>
      <c r="P127" s="43">
        <v>-5491</v>
      </c>
      <c r="Q127" s="43">
        <v>5491</v>
      </c>
      <c r="R127" s="43">
        <v>84726.12999999999</v>
      </c>
      <c r="S127" s="44">
        <v>5568</v>
      </c>
      <c r="T127" s="45">
        <f>S127*K127</f>
        <v>85914.239999999991</v>
      </c>
      <c r="U127" s="50">
        <v>77</v>
      </c>
      <c r="V127" s="106">
        <v>1188.1099999999999</v>
      </c>
      <c r="W127" s="97">
        <v>0</v>
      </c>
      <c r="X127" s="44">
        <v>0</v>
      </c>
      <c r="Y127" s="41">
        <f t="shared" si="21"/>
        <v>0</v>
      </c>
      <c r="Z127" s="44">
        <f t="shared" si="22"/>
        <v>0</v>
      </c>
      <c r="AA127" s="44">
        <f t="shared" si="23"/>
        <v>0</v>
      </c>
      <c r="AB127" s="111">
        <f t="shared" si="24"/>
        <v>0</v>
      </c>
      <c r="AC127" s="115"/>
      <c r="AD127" s="169">
        <v>0</v>
      </c>
      <c r="AE127" s="170">
        <v>0</v>
      </c>
      <c r="AF127" s="171">
        <v>0</v>
      </c>
      <c r="AG127" s="172">
        <f t="shared" si="25"/>
        <v>0</v>
      </c>
    </row>
    <row r="128" spans="1:33" ht="13.5" thickBot="1" x14ac:dyDescent="0.25">
      <c r="A128" s="61" t="s">
        <v>169</v>
      </c>
      <c r="B128" s="53" t="s">
        <v>1031</v>
      </c>
      <c r="C128" s="53" t="s">
        <v>571</v>
      </c>
      <c r="D128" s="53" t="s">
        <v>814</v>
      </c>
      <c r="E128" s="53" t="s">
        <v>920</v>
      </c>
      <c r="F128" s="62">
        <v>0</v>
      </c>
      <c r="G128" s="63">
        <v>0</v>
      </c>
      <c r="H128" s="62">
        <v>0</v>
      </c>
      <c r="I128" s="63">
        <v>0</v>
      </c>
      <c r="J128" s="53" t="s">
        <v>571</v>
      </c>
      <c r="K128" s="56" t="e">
        <v>#DIV/0!</v>
      </c>
      <c r="L128" s="107">
        <v>0</v>
      </c>
      <c r="M128" s="55">
        <v>500</v>
      </c>
      <c r="N128" s="56">
        <v>55312</v>
      </c>
      <c r="O128" s="93">
        <v>0</v>
      </c>
      <c r="P128" s="58">
        <v>500</v>
      </c>
      <c r="Q128" s="58">
        <v>0</v>
      </c>
      <c r="R128" s="58" t="e">
        <v>#DIV/0!</v>
      </c>
      <c r="S128" s="55">
        <v>500</v>
      </c>
      <c r="T128" s="59" t="e">
        <f>S128*K128</f>
        <v>#DIV/0!</v>
      </c>
      <c r="U128" s="159">
        <v>0</v>
      </c>
      <c r="V128" s="108">
        <v>0</v>
      </c>
      <c r="W128" s="98">
        <v>0</v>
      </c>
      <c r="X128" s="55">
        <v>0</v>
      </c>
      <c r="Y128" s="56">
        <f t="shared" si="21"/>
        <v>0</v>
      </c>
      <c r="Z128" s="55">
        <f t="shared" si="22"/>
        <v>0</v>
      </c>
      <c r="AA128" s="55">
        <f t="shared" si="23"/>
        <v>0</v>
      </c>
      <c r="AB128" s="112">
        <f t="shared" si="24"/>
        <v>0</v>
      </c>
      <c r="AC128" s="116"/>
      <c r="AD128" s="173">
        <v>0</v>
      </c>
      <c r="AE128" s="174">
        <v>0</v>
      </c>
      <c r="AF128" s="175">
        <v>0</v>
      </c>
      <c r="AG128" s="176">
        <f t="shared" si="25"/>
        <v>0</v>
      </c>
    </row>
    <row r="130" spans="22:28" x14ac:dyDescent="0.2">
      <c r="V130" s="2">
        <f>SUM(V2:V129)</f>
        <v>9180708.0300000049</v>
      </c>
      <c r="AB130" s="3">
        <f>SUM(AB2:AB129)</f>
        <v>11449058.821508924</v>
      </c>
    </row>
  </sheetData>
  <autoFilter ref="A1:T113" xr:uid="{9639D7AD-2ED8-4A61-8F9A-AA5949109702}">
    <sortState xmlns:xlrd2="http://schemas.microsoft.com/office/spreadsheetml/2017/richdata2" ref="A2:T113">
      <sortCondition descending="1" ref="T1:T113"/>
    </sortState>
  </autoFilter>
  <sortState xmlns:xlrd2="http://schemas.microsoft.com/office/spreadsheetml/2017/richdata2" ref="A2:AG128">
    <sortCondition descending="1" ref="AB2:AB128"/>
    <sortCondition descending="1" ref="AA2:AA1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EA63-BF85-4DF2-89CC-6D46D80AF71C}">
  <dimension ref="A1:AA2234"/>
  <sheetViews>
    <sheetView tabSelected="1" topLeftCell="E1" workbookViewId="0">
      <selection activeCell="AB12" sqref="AB12"/>
    </sheetView>
  </sheetViews>
  <sheetFormatPr defaultRowHeight="15" x14ac:dyDescent="0.25"/>
  <cols>
    <col min="1" max="1" width="19.85546875" bestFit="1" customWidth="1"/>
    <col min="2" max="2" width="5.85546875" bestFit="1" customWidth="1"/>
    <col min="3" max="3" width="11.28515625" bestFit="1" customWidth="1"/>
    <col min="4" max="4" width="38.7109375" bestFit="1" customWidth="1"/>
    <col min="5" max="5" width="34.85546875" bestFit="1" customWidth="1"/>
    <col min="6" max="6" width="6.42578125" bestFit="1" customWidth="1"/>
    <col min="7" max="7" width="10.7109375" bestFit="1" customWidth="1"/>
    <col min="8" max="8" width="11.42578125" bestFit="1" customWidth="1"/>
    <col min="9" max="9" width="14.85546875" bestFit="1" customWidth="1"/>
    <col min="10" max="10" width="11.42578125" bestFit="1" customWidth="1"/>
    <col min="11" max="11" width="14.85546875" bestFit="1" customWidth="1"/>
    <col min="12" max="12" width="19" bestFit="1" customWidth="1"/>
    <col min="13" max="13" width="22.5703125" bestFit="1" customWidth="1"/>
    <col min="14" max="14" width="14" bestFit="1" customWidth="1"/>
    <col min="15" max="15" width="17.5703125" bestFit="1" customWidth="1"/>
    <col min="16" max="16" width="28.140625" bestFit="1" customWidth="1"/>
    <col min="17" max="17" width="21" bestFit="1" customWidth="1"/>
    <col min="18" max="18" width="26.85546875" bestFit="1" customWidth="1"/>
    <col min="19" max="19" width="25.28515625" bestFit="1" customWidth="1"/>
    <col min="20" max="20" width="19" bestFit="1" customWidth="1"/>
    <col min="21" max="21" width="22.5703125" bestFit="1" customWidth="1"/>
    <col min="22" max="22" width="14" bestFit="1" customWidth="1"/>
    <col min="23" max="23" width="17.5703125" bestFit="1" customWidth="1"/>
    <col min="24" max="24" width="28.140625" bestFit="1" customWidth="1"/>
    <col min="25" max="25" width="21" bestFit="1" customWidth="1"/>
    <col min="26" max="26" width="26.85546875" bestFit="1" customWidth="1"/>
    <col min="27" max="27" width="25.28515625" customWidth="1"/>
    <col min="28" max="30" width="25.28515625" bestFit="1" customWidth="1"/>
    <col min="31" max="31" width="14.85546875" bestFit="1" customWidth="1"/>
    <col min="32" max="32" width="25.28515625" bestFit="1" customWidth="1"/>
    <col min="33" max="33" width="31.5703125" bestFit="1" customWidth="1"/>
    <col min="34" max="36" width="14.85546875" customWidth="1"/>
  </cols>
  <sheetData>
    <row r="1" spans="1:27" x14ac:dyDescent="0.25">
      <c r="A1" t="s">
        <v>1109</v>
      </c>
      <c r="B1" t="s">
        <v>1</v>
      </c>
      <c r="C1" t="s">
        <v>2</v>
      </c>
      <c r="D1" t="s">
        <v>570</v>
      </c>
      <c r="E1" t="s">
        <v>1521</v>
      </c>
      <c r="F1" t="s">
        <v>577</v>
      </c>
      <c r="G1" t="s">
        <v>1915</v>
      </c>
      <c r="H1" t="s">
        <v>1850</v>
      </c>
      <c r="I1" t="s">
        <v>1695</v>
      </c>
      <c r="J1" t="s">
        <v>1851</v>
      </c>
      <c r="K1" t="s">
        <v>1694</v>
      </c>
      <c r="L1" t="s">
        <v>1106</v>
      </c>
      <c r="M1" t="s">
        <v>1107</v>
      </c>
      <c r="N1" t="s">
        <v>1108</v>
      </c>
      <c r="O1" t="s">
        <v>439</v>
      </c>
      <c r="P1" t="s">
        <v>1852</v>
      </c>
      <c r="Q1" t="s">
        <v>1854</v>
      </c>
      <c r="R1" t="s">
        <v>1856</v>
      </c>
      <c r="S1" t="s">
        <v>733</v>
      </c>
      <c r="T1" t="s">
        <v>1103</v>
      </c>
      <c r="U1" t="s">
        <v>1104</v>
      </c>
      <c r="V1" t="s">
        <v>1105</v>
      </c>
      <c r="W1" t="s">
        <v>1102</v>
      </c>
      <c r="X1" t="s">
        <v>1853</v>
      </c>
      <c r="Y1" t="s">
        <v>1855</v>
      </c>
      <c r="Z1" t="s">
        <v>1857</v>
      </c>
      <c r="AA1" t="s">
        <v>837</v>
      </c>
    </row>
    <row r="2" spans="1:27" x14ac:dyDescent="0.25">
      <c r="A2" t="s">
        <v>368</v>
      </c>
      <c r="B2" t="s">
        <v>556</v>
      </c>
      <c r="C2" t="s">
        <v>1858</v>
      </c>
      <c r="D2" t="s">
        <v>582</v>
      </c>
      <c r="E2" t="s">
        <v>1330</v>
      </c>
      <c r="F2" t="s">
        <v>571</v>
      </c>
      <c r="G2" s="204"/>
      <c r="H2">
        <v>15</v>
      </c>
      <c r="I2">
        <v>19245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7" x14ac:dyDescent="0.25">
      <c r="A3" t="s">
        <v>315</v>
      </c>
      <c r="B3" t="s">
        <v>562</v>
      </c>
      <c r="C3" t="s">
        <v>1859</v>
      </c>
      <c r="D3" t="s">
        <v>592</v>
      </c>
      <c r="E3" t="s">
        <v>1110</v>
      </c>
      <c r="F3" t="s">
        <v>571</v>
      </c>
      <c r="G3" s="204"/>
      <c r="L3">
        <v>983</v>
      </c>
      <c r="M3">
        <v>377575.93000000005</v>
      </c>
      <c r="N3">
        <v>960</v>
      </c>
      <c r="O3">
        <v>374539.2</v>
      </c>
      <c r="P3">
        <v>960</v>
      </c>
      <c r="Q3">
        <v>1943</v>
      </c>
      <c r="T3">
        <v>0</v>
      </c>
      <c r="U3">
        <v>0</v>
      </c>
      <c r="V3">
        <v>720</v>
      </c>
      <c r="W3">
        <v>292593.59999999998</v>
      </c>
      <c r="X3">
        <v>720</v>
      </c>
      <c r="Y3">
        <v>720</v>
      </c>
      <c r="Z3">
        <v>292593.59999999998</v>
      </c>
      <c r="AA3">
        <v>406.38</v>
      </c>
    </row>
    <row r="4" spans="1:27" x14ac:dyDescent="0.25">
      <c r="A4" t="s">
        <v>368</v>
      </c>
      <c r="B4" t="s">
        <v>556</v>
      </c>
      <c r="C4" t="s">
        <v>1858</v>
      </c>
      <c r="D4" t="s">
        <v>582</v>
      </c>
      <c r="E4" t="s">
        <v>1331</v>
      </c>
      <c r="F4" t="s">
        <v>571</v>
      </c>
      <c r="G4" s="204"/>
      <c r="H4">
        <v>68</v>
      </c>
      <c r="I4">
        <v>94464.44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7" x14ac:dyDescent="0.25">
      <c r="A5" t="s">
        <v>84</v>
      </c>
      <c r="B5" t="s">
        <v>556</v>
      </c>
      <c r="C5" t="s">
        <v>1859</v>
      </c>
      <c r="D5" t="s">
        <v>596</v>
      </c>
      <c r="E5" t="s">
        <v>1150</v>
      </c>
      <c r="F5" t="s">
        <v>571</v>
      </c>
      <c r="G5" s="204"/>
      <c r="H5">
        <v>3109</v>
      </c>
      <c r="I5">
        <v>133203.21</v>
      </c>
      <c r="L5">
        <v>2568</v>
      </c>
      <c r="M5">
        <v>140737.91999999998</v>
      </c>
      <c r="N5">
        <v>4000</v>
      </c>
      <c r="O5">
        <v>253720</v>
      </c>
      <c r="P5">
        <v>4000</v>
      </c>
      <c r="Q5">
        <v>6568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7" x14ac:dyDescent="0.25">
      <c r="A6" t="s">
        <v>25</v>
      </c>
      <c r="B6" t="s">
        <v>566</v>
      </c>
      <c r="C6" t="s">
        <v>920</v>
      </c>
      <c r="D6" t="s">
        <v>920</v>
      </c>
      <c r="E6" t="s">
        <v>1405</v>
      </c>
      <c r="F6" t="s">
        <v>571</v>
      </c>
      <c r="G6" s="204"/>
      <c r="L6">
        <v>338</v>
      </c>
      <c r="M6">
        <v>11836.76</v>
      </c>
      <c r="N6">
        <v>0</v>
      </c>
      <c r="O6">
        <v>0</v>
      </c>
      <c r="P6">
        <v>0</v>
      </c>
      <c r="Q6">
        <v>338</v>
      </c>
      <c r="R6">
        <v>11836.76</v>
      </c>
      <c r="S6">
        <v>35.020000000000003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7" x14ac:dyDescent="0.25">
      <c r="A7" t="s">
        <v>307</v>
      </c>
      <c r="B7" t="s">
        <v>556</v>
      </c>
      <c r="C7" t="s">
        <v>1859</v>
      </c>
      <c r="D7" t="s">
        <v>581</v>
      </c>
      <c r="E7" t="s">
        <v>1169</v>
      </c>
      <c r="F7" t="s">
        <v>578</v>
      </c>
      <c r="G7" s="204">
        <v>46022</v>
      </c>
      <c r="J7">
        <v>184</v>
      </c>
      <c r="K7">
        <v>23036.799999999999</v>
      </c>
      <c r="L7">
        <v>456</v>
      </c>
      <c r="M7">
        <v>56537.010000000009</v>
      </c>
      <c r="N7">
        <v>192</v>
      </c>
      <c r="O7">
        <v>23756.16</v>
      </c>
      <c r="P7">
        <v>192</v>
      </c>
      <c r="Q7">
        <v>648</v>
      </c>
      <c r="T7">
        <v>0</v>
      </c>
      <c r="U7">
        <v>0</v>
      </c>
      <c r="V7">
        <v>2192</v>
      </c>
      <c r="W7">
        <v>271216.15999999997</v>
      </c>
      <c r="X7">
        <v>2192</v>
      </c>
      <c r="Y7">
        <v>2192</v>
      </c>
    </row>
    <row r="8" spans="1:27" x14ac:dyDescent="0.25">
      <c r="A8" t="s">
        <v>368</v>
      </c>
      <c r="B8" t="s">
        <v>556</v>
      </c>
      <c r="C8" t="s">
        <v>1858</v>
      </c>
      <c r="D8" t="s">
        <v>582</v>
      </c>
      <c r="E8" t="s">
        <v>1266</v>
      </c>
      <c r="F8" t="s">
        <v>571</v>
      </c>
      <c r="G8" s="204"/>
      <c r="J8">
        <v>55</v>
      </c>
      <c r="K8">
        <v>77089.649999999994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7" x14ac:dyDescent="0.25">
      <c r="A9" t="s">
        <v>409</v>
      </c>
      <c r="B9" t="s">
        <v>556</v>
      </c>
      <c r="C9" t="s">
        <v>555</v>
      </c>
      <c r="D9" t="s">
        <v>591</v>
      </c>
      <c r="E9" t="s">
        <v>1258</v>
      </c>
      <c r="F9" t="s">
        <v>571</v>
      </c>
      <c r="G9" s="204"/>
      <c r="L9">
        <v>0</v>
      </c>
      <c r="M9">
        <v>0</v>
      </c>
      <c r="N9">
        <v>7850</v>
      </c>
      <c r="O9">
        <v>511035</v>
      </c>
      <c r="P9">
        <v>7850</v>
      </c>
      <c r="Q9">
        <v>7850</v>
      </c>
      <c r="T9">
        <v>0</v>
      </c>
      <c r="U9">
        <v>0</v>
      </c>
      <c r="V9">
        <v>1440</v>
      </c>
      <c r="W9">
        <v>93744</v>
      </c>
      <c r="X9">
        <v>1440</v>
      </c>
      <c r="Y9">
        <v>1440</v>
      </c>
      <c r="Z9">
        <v>93744</v>
      </c>
      <c r="AA9">
        <v>65.099999999999994</v>
      </c>
    </row>
    <row r="10" spans="1:27" x14ac:dyDescent="0.25">
      <c r="A10" t="s">
        <v>56</v>
      </c>
      <c r="B10" t="s">
        <v>556</v>
      </c>
      <c r="C10" t="s">
        <v>1859</v>
      </c>
      <c r="D10" t="s">
        <v>585</v>
      </c>
      <c r="E10" t="s">
        <v>1152</v>
      </c>
      <c r="F10" t="s">
        <v>571</v>
      </c>
      <c r="G10" s="204"/>
      <c r="L10">
        <v>3479</v>
      </c>
      <c r="M10">
        <v>445485.94999999995</v>
      </c>
      <c r="N10">
        <v>1500</v>
      </c>
      <c r="O10">
        <v>192075</v>
      </c>
      <c r="P10">
        <v>1500</v>
      </c>
      <c r="Q10">
        <v>4979</v>
      </c>
      <c r="T10">
        <v>0</v>
      </c>
      <c r="U10">
        <v>0</v>
      </c>
      <c r="V10">
        <v>3075</v>
      </c>
      <c r="W10">
        <v>393753.75</v>
      </c>
      <c r="X10">
        <v>3075</v>
      </c>
      <c r="Y10">
        <v>3075</v>
      </c>
      <c r="Z10">
        <v>393753.75</v>
      </c>
      <c r="AA10">
        <v>128.05000000000001</v>
      </c>
    </row>
    <row r="11" spans="1:27" x14ac:dyDescent="0.25">
      <c r="A11" t="s">
        <v>396</v>
      </c>
      <c r="B11" t="s">
        <v>565</v>
      </c>
      <c r="C11" t="s">
        <v>555</v>
      </c>
      <c r="D11" t="s">
        <v>624</v>
      </c>
      <c r="E11" t="s">
        <v>1269</v>
      </c>
      <c r="F11" t="s">
        <v>571</v>
      </c>
      <c r="G11" s="204"/>
      <c r="J11">
        <v>2</v>
      </c>
      <c r="K11">
        <v>1507.8</v>
      </c>
      <c r="L11">
        <v>62</v>
      </c>
      <c r="M11">
        <v>46773.08</v>
      </c>
      <c r="N11">
        <v>98</v>
      </c>
      <c r="O11">
        <v>74648.56</v>
      </c>
      <c r="P11">
        <v>98</v>
      </c>
      <c r="Q11">
        <v>160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7" x14ac:dyDescent="0.25">
      <c r="A12" t="s">
        <v>411</v>
      </c>
      <c r="B12" t="s">
        <v>556</v>
      </c>
      <c r="C12" t="s">
        <v>555</v>
      </c>
      <c r="D12" t="s">
        <v>631</v>
      </c>
      <c r="E12" t="s">
        <v>1268</v>
      </c>
      <c r="F12" t="s">
        <v>571</v>
      </c>
      <c r="G12" s="204"/>
      <c r="H12">
        <v>363</v>
      </c>
      <c r="I12">
        <v>21123.200000000001</v>
      </c>
      <c r="L12">
        <v>798</v>
      </c>
      <c r="M12">
        <v>43251.6</v>
      </c>
      <c r="N12">
        <v>1804</v>
      </c>
      <c r="O12">
        <v>97776.799999999988</v>
      </c>
      <c r="P12">
        <v>1804</v>
      </c>
      <c r="Q12">
        <v>2602</v>
      </c>
      <c r="T12">
        <v>0</v>
      </c>
      <c r="U12">
        <v>0</v>
      </c>
      <c r="V12">
        <v>1094</v>
      </c>
      <c r="W12">
        <v>59294.8</v>
      </c>
      <c r="X12">
        <v>1094</v>
      </c>
      <c r="Y12">
        <v>1094</v>
      </c>
    </row>
    <row r="13" spans="1:27" x14ac:dyDescent="0.25">
      <c r="A13" t="s">
        <v>368</v>
      </c>
      <c r="B13" t="s">
        <v>556</v>
      </c>
      <c r="C13" t="s">
        <v>1858</v>
      </c>
      <c r="D13" t="s">
        <v>582</v>
      </c>
      <c r="E13" t="s">
        <v>1144</v>
      </c>
      <c r="F13" t="s">
        <v>571</v>
      </c>
      <c r="G13" s="204"/>
      <c r="L13">
        <v>81</v>
      </c>
      <c r="M13">
        <v>113532.03</v>
      </c>
      <c r="N13">
        <v>19</v>
      </c>
      <c r="O13">
        <v>26630.97</v>
      </c>
      <c r="P13">
        <v>19</v>
      </c>
      <c r="Q13">
        <v>100</v>
      </c>
      <c r="R13">
        <v>140163</v>
      </c>
      <c r="S13">
        <v>1401.63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7" x14ac:dyDescent="0.25">
      <c r="A14" t="s">
        <v>727</v>
      </c>
      <c r="B14" t="s">
        <v>554</v>
      </c>
      <c r="C14" t="s">
        <v>1860</v>
      </c>
      <c r="D14" t="s">
        <v>978</v>
      </c>
      <c r="E14" t="s">
        <v>1284</v>
      </c>
      <c r="F14" t="s">
        <v>571</v>
      </c>
      <c r="G14" s="204"/>
      <c r="L14">
        <v>0</v>
      </c>
      <c r="M14">
        <v>0</v>
      </c>
      <c r="N14">
        <v>15</v>
      </c>
      <c r="O14">
        <v>40000.050000000003</v>
      </c>
      <c r="P14">
        <v>15</v>
      </c>
      <c r="Q14">
        <v>15</v>
      </c>
      <c r="R14">
        <v>40000.050000000003</v>
      </c>
      <c r="S14">
        <v>2666.67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7" x14ac:dyDescent="0.25">
      <c r="A15" t="s">
        <v>9</v>
      </c>
      <c r="B15" t="s">
        <v>566</v>
      </c>
      <c r="C15" t="s">
        <v>920</v>
      </c>
      <c r="D15" t="s">
        <v>920</v>
      </c>
      <c r="E15" t="s">
        <v>1138</v>
      </c>
      <c r="F15" t="s">
        <v>571</v>
      </c>
      <c r="G15" s="204"/>
      <c r="J15">
        <v>850</v>
      </c>
      <c r="K15">
        <v>4751.5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T15">
        <v>0</v>
      </c>
      <c r="U15">
        <v>0</v>
      </c>
      <c r="V15">
        <v>1000</v>
      </c>
      <c r="W15">
        <v>7530</v>
      </c>
      <c r="X15">
        <v>1000</v>
      </c>
      <c r="Y15">
        <v>1000</v>
      </c>
    </row>
    <row r="16" spans="1:27" x14ac:dyDescent="0.25">
      <c r="A16" t="s">
        <v>368</v>
      </c>
      <c r="B16" t="s">
        <v>556</v>
      </c>
      <c r="C16" t="s">
        <v>1858</v>
      </c>
      <c r="D16" t="s">
        <v>582</v>
      </c>
      <c r="E16" t="s">
        <v>1435</v>
      </c>
      <c r="F16" t="s">
        <v>571</v>
      </c>
      <c r="G16" s="204"/>
      <c r="J16">
        <v>56</v>
      </c>
      <c r="K16">
        <v>83536.98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7" x14ac:dyDescent="0.25">
      <c r="A17" t="s">
        <v>368</v>
      </c>
      <c r="B17" t="s">
        <v>556</v>
      </c>
      <c r="C17" t="s">
        <v>1858</v>
      </c>
      <c r="D17" t="s">
        <v>582</v>
      </c>
      <c r="E17" t="s">
        <v>1192</v>
      </c>
      <c r="F17" t="s">
        <v>571</v>
      </c>
      <c r="G17" s="204"/>
      <c r="L17">
        <v>0</v>
      </c>
      <c r="M17">
        <v>0</v>
      </c>
      <c r="N17">
        <v>23</v>
      </c>
      <c r="O17">
        <v>39018.35</v>
      </c>
      <c r="P17">
        <v>23</v>
      </c>
      <c r="Q17">
        <v>23</v>
      </c>
      <c r="R17">
        <v>39018.35</v>
      </c>
      <c r="S17">
        <v>1696.45</v>
      </c>
      <c r="T17">
        <v>0</v>
      </c>
      <c r="U17">
        <v>0</v>
      </c>
      <c r="V17">
        <v>44</v>
      </c>
      <c r="W17">
        <v>77188.399999999994</v>
      </c>
      <c r="X17">
        <v>44</v>
      </c>
      <c r="Y17">
        <v>44</v>
      </c>
    </row>
    <row r="18" spans="1:27" x14ac:dyDescent="0.25">
      <c r="A18" t="s">
        <v>54</v>
      </c>
      <c r="B18" t="s">
        <v>556</v>
      </c>
      <c r="C18" t="s">
        <v>1859</v>
      </c>
      <c r="D18" t="s">
        <v>585</v>
      </c>
      <c r="E18" t="s">
        <v>1308</v>
      </c>
      <c r="F18" t="s">
        <v>571</v>
      </c>
      <c r="G18" s="204"/>
      <c r="H18">
        <v>100</v>
      </c>
      <c r="I18">
        <v>12703</v>
      </c>
      <c r="L18">
        <v>200</v>
      </c>
      <c r="M18">
        <v>25405.999999999996</v>
      </c>
      <c r="N18">
        <v>100</v>
      </c>
      <c r="O18">
        <v>12703</v>
      </c>
      <c r="P18">
        <v>100</v>
      </c>
      <c r="Q18">
        <v>300</v>
      </c>
      <c r="T18">
        <v>0</v>
      </c>
      <c r="U18">
        <v>0</v>
      </c>
      <c r="V18">
        <v>200</v>
      </c>
      <c r="W18">
        <v>25406</v>
      </c>
      <c r="X18">
        <v>200</v>
      </c>
      <c r="Y18">
        <v>200</v>
      </c>
    </row>
    <row r="19" spans="1:27" x14ac:dyDescent="0.25">
      <c r="A19" t="s">
        <v>368</v>
      </c>
      <c r="B19" t="s">
        <v>556</v>
      </c>
      <c r="C19" t="s">
        <v>1858</v>
      </c>
      <c r="D19" t="s">
        <v>582</v>
      </c>
      <c r="E19" t="s">
        <v>1338</v>
      </c>
      <c r="F19" t="s">
        <v>571</v>
      </c>
      <c r="G19" s="204"/>
      <c r="L19">
        <v>18</v>
      </c>
      <c r="M19">
        <v>27121.5</v>
      </c>
      <c r="N19">
        <v>0</v>
      </c>
      <c r="O19">
        <v>0</v>
      </c>
      <c r="P19">
        <v>0</v>
      </c>
      <c r="Q19">
        <v>18</v>
      </c>
      <c r="R19">
        <v>27121.5</v>
      </c>
      <c r="S19">
        <v>1506.75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7" x14ac:dyDescent="0.25">
      <c r="A20" t="s">
        <v>73</v>
      </c>
      <c r="B20" t="s">
        <v>566</v>
      </c>
      <c r="C20" t="s">
        <v>920</v>
      </c>
      <c r="D20" t="s">
        <v>920</v>
      </c>
      <c r="E20" t="s">
        <v>1136</v>
      </c>
      <c r="F20" t="s">
        <v>571</v>
      </c>
      <c r="G20" s="204"/>
      <c r="J20">
        <v>250</v>
      </c>
      <c r="K20">
        <v>2307.5</v>
      </c>
      <c r="L20">
        <v>310</v>
      </c>
      <c r="M20">
        <v>2861.3</v>
      </c>
      <c r="N20">
        <v>150</v>
      </c>
      <c r="O20">
        <v>1384.5</v>
      </c>
      <c r="P20">
        <v>150</v>
      </c>
      <c r="Q20">
        <v>460</v>
      </c>
      <c r="T20">
        <v>0</v>
      </c>
      <c r="U20">
        <v>0</v>
      </c>
      <c r="V20">
        <v>315</v>
      </c>
      <c r="W20">
        <v>2907.45</v>
      </c>
      <c r="X20">
        <v>315</v>
      </c>
      <c r="Y20">
        <v>315</v>
      </c>
    </row>
    <row r="21" spans="1:27" x14ac:dyDescent="0.25">
      <c r="A21" t="s">
        <v>76</v>
      </c>
      <c r="B21" t="s">
        <v>556</v>
      </c>
      <c r="C21" t="s">
        <v>1859</v>
      </c>
      <c r="D21" t="s">
        <v>598</v>
      </c>
      <c r="E21" t="s">
        <v>1167</v>
      </c>
      <c r="F21" t="s">
        <v>571</v>
      </c>
      <c r="G21" s="204"/>
      <c r="L21">
        <v>1525</v>
      </c>
      <c r="M21">
        <v>66276.5</v>
      </c>
      <c r="N21">
        <v>800</v>
      </c>
      <c r="O21">
        <v>34768</v>
      </c>
      <c r="P21">
        <v>800</v>
      </c>
      <c r="Q21">
        <v>2325</v>
      </c>
      <c r="T21">
        <v>0</v>
      </c>
      <c r="U21">
        <v>0</v>
      </c>
      <c r="V21">
        <v>2000</v>
      </c>
      <c r="W21">
        <v>86920</v>
      </c>
      <c r="X21">
        <v>2000</v>
      </c>
      <c r="Y21">
        <v>2000</v>
      </c>
      <c r="Z21">
        <v>86920</v>
      </c>
      <c r="AA21">
        <v>43.46</v>
      </c>
    </row>
    <row r="22" spans="1:27" x14ac:dyDescent="0.25">
      <c r="A22" t="s">
        <v>94</v>
      </c>
      <c r="B22" t="s">
        <v>556</v>
      </c>
      <c r="C22" t="s">
        <v>1859</v>
      </c>
      <c r="D22" t="s">
        <v>613</v>
      </c>
      <c r="E22" t="s">
        <v>1138</v>
      </c>
      <c r="F22" t="s">
        <v>571</v>
      </c>
      <c r="G22" s="204"/>
      <c r="L22">
        <v>240</v>
      </c>
      <c r="M22">
        <v>32071.200000000001</v>
      </c>
      <c r="N22">
        <v>120</v>
      </c>
      <c r="O22">
        <v>16035.6</v>
      </c>
      <c r="P22">
        <v>120</v>
      </c>
      <c r="Q22">
        <v>360</v>
      </c>
      <c r="T22">
        <v>0</v>
      </c>
      <c r="U22">
        <v>0</v>
      </c>
      <c r="V22">
        <v>180</v>
      </c>
      <c r="W22">
        <v>24053.4</v>
      </c>
      <c r="X22">
        <v>180</v>
      </c>
      <c r="Y22">
        <v>180</v>
      </c>
      <c r="Z22">
        <v>24053.4</v>
      </c>
      <c r="AA22">
        <v>133.63</v>
      </c>
    </row>
    <row r="23" spans="1:27" x14ac:dyDescent="0.25">
      <c r="A23" t="s">
        <v>305</v>
      </c>
      <c r="B23" t="s">
        <v>556</v>
      </c>
      <c r="C23" t="s">
        <v>1859</v>
      </c>
      <c r="D23" t="s">
        <v>650</v>
      </c>
      <c r="E23" t="s">
        <v>1167</v>
      </c>
      <c r="F23" t="s">
        <v>571</v>
      </c>
      <c r="G23" s="204"/>
      <c r="J23">
        <v>671</v>
      </c>
      <c r="K23">
        <v>24813.579999999998</v>
      </c>
      <c r="L23">
        <v>808</v>
      </c>
      <c r="M23">
        <v>29879.839999999997</v>
      </c>
      <c r="N23">
        <v>523</v>
      </c>
      <c r="O23">
        <v>19340.54</v>
      </c>
      <c r="P23">
        <v>523</v>
      </c>
      <c r="Q23">
        <v>1331</v>
      </c>
      <c r="T23">
        <v>0</v>
      </c>
      <c r="U23">
        <v>0</v>
      </c>
      <c r="V23">
        <v>772</v>
      </c>
      <c r="W23">
        <v>28548.560000000005</v>
      </c>
      <c r="X23">
        <v>772</v>
      </c>
      <c r="Y23">
        <v>772</v>
      </c>
    </row>
    <row r="24" spans="1:27" x14ac:dyDescent="0.25">
      <c r="A24" t="s">
        <v>316</v>
      </c>
      <c r="B24" t="s">
        <v>556</v>
      </c>
      <c r="C24" t="s">
        <v>1859</v>
      </c>
      <c r="D24" t="s">
        <v>581</v>
      </c>
      <c r="E24" t="s">
        <v>1150</v>
      </c>
      <c r="F24" t="s">
        <v>571</v>
      </c>
      <c r="G24" s="204"/>
      <c r="H24">
        <v>330</v>
      </c>
      <c r="I24">
        <v>45490.5</v>
      </c>
      <c r="L24">
        <v>450</v>
      </c>
      <c r="M24">
        <v>64296</v>
      </c>
      <c r="N24">
        <v>100</v>
      </c>
      <c r="O24">
        <v>16022</v>
      </c>
      <c r="P24">
        <v>100</v>
      </c>
      <c r="Q24">
        <v>550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7" x14ac:dyDescent="0.25">
      <c r="A25" t="s">
        <v>737</v>
      </c>
      <c r="B25" t="s">
        <v>556</v>
      </c>
      <c r="C25" t="s">
        <v>1859</v>
      </c>
      <c r="D25" t="s">
        <v>743</v>
      </c>
      <c r="E25" t="s">
        <v>1167</v>
      </c>
      <c r="F25" t="s">
        <v>571</v>
      </c>
      <c r="G25" s="204"/>
      <c r="L25">
        <v>555</v>
      </c>
      <c r="M25">
        <v>36075</v>
      </c>
      <c r="N25">
        <v>0</v>
      </c>
      <c r="O25">
        <v>0</v>
      </c>
      <c r="P25">
        <v>0</v>
      </c>
      <c r="Q25">
        <v>555</v>
      </c>
      <c r="R25">
        <v>36075</v>
      </c>
      <c r="S25">
        <v>65</v>
      </c>
      <c r="T25">
        <v>0</v>
      </c>
      <c r="U25">
        <v>0</v>
      </c>
      <c r="V25">
        <v>749</v>
      </c>
      <c r="W25">
        <v>48685</v>
      </c>
      <c r="X25">
        <v>749</v>
      </c>
      <c r="Y25">
        <v>749</v>
      </c>
    </row>
    <row r="26" spans="1:27" x14ac:dyDescent="0.25">
      <c r="A26" t="s">
        <v>368</v>
      </c>
      <c r="B26" t="s">
        <v>556</v>
      </c>
      <c r="C26" t="s">
        <v>1858</v>
      </c>
      <c r="D26" t="s">
        <v>582</v>
      </c>
      <c r="E26" t="s">
        <v>1173</v>
      </c>
      <c r="F26" t="s">
        <v>571</v>
      </c>
      <c r="G26" s="204"/>
      <c r="H26">
        <v>15</v>
      </c>
      <c r="I26">
        <v>16733.7</v>
      </c>
      <c r="L26">
        <v>15</v>
      </c>
      <c r="M26">
        <v>17486.7</v>
      </c>
      <c r="N26">
        <v>0</v>
      </c>
      <c r="O26">
        <v>0</v>
      </c>
      <c r="P26">
        <v>0</v>
      </c>
      <c r="Q26">
        <v>15</v>
      </c>
      <c r="R26">
        <v>17486.7</v>
      </c>
      <c r="S26">
        <v>1165.78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7" x14ac:dyDescent="0.25">
      <c r="A27" t="s">
        <v>297</v>
      </c>
      <c r="B27" t="s">
        <v>556</v>
      </c>
      <c r="C27" t="s">
        <v>1859</v>
      </c>
      <c r="D27" t="s">
        <v>618</v>
      </c>
      <c r="E27" t="s">
        <v>1167</v>
      </c>
      <c r="F27" t="s">
        <v>571</v>
      </c>
      <c r="G27" s="204"/>
      <c r="J27">
        <v>35</v>
      </c>
      <c r="K27">
        <v>5638.15</v>
      </c>
      <c r="L27">
        <v>77</v>
      </c>
      <c r="M27">
        <v>12403.929999999998</v>
      </c>
      <c r="N27">
        <v>0</v>
      </c>
      <c r="O27">
        <v>0</v>
      </c>
      <c r="P27">
        <v>0</v>
      </c>
      <c r="Q27">
        <v>77</v>
      </c>
      <c r="T27">
        <v>0</v>
      </c>
      <c r="U27">
        <v>0</v>
      </c>
      <c r="V27">
        <v>180</v>
      </c>
      <c r="W27">
        <v>28996.2</v>
      </c>
      <c r="X27">
        <v>180</v>
      </c>
      <c r="Y27">
        <v>180</v>
      </c>
    </row>
    <row r="28" spans="1:27" x14ac:dyDescent="0.25">
      <c r="A28" t="s">
        <v>46</v>
      </c>
      <c r="B28" t="s">
        <v>556</v>
      </c>
      <c r="C28" t="s">
        <v>1859</v>
      </c>
      <c r="D28" t="s">
        <v>655</v>
      </c>
      <c r="E28" t="s">
        <v>1152</v>
      </c>
      <c r="F28" t="s">
        <v>571</v>
      </c>
      <c r="G28" s="204"/>
      <c r="J28">
        <v>250</v>
      </c>
      <c r="K28">
        <v>16610</v>
      </c>
      <c r="L28">
        <v>400</v>
      </c>
      <c r="M28">
        <v>26576</v>
      </c>
      <c r="N28">
        <v>0</v>
      </c>
      <c r="O28">
        <v>0</v>
      </c>
      <c r="P28">
        <v>0</v>
      </c>
      <c r="Q28">
        <v>400</v>
      </c>
      <c r="T28">
        <v>0</v>
      </c>
      <c r="U28">
        <v>0</v>
      </c>
      <c r="V28">
        <v>400</v>
      </c>
      <c r="W28">
        <v>26576</v>
      </c>
      <c r="X28">
        <v>400</v>
      </c>
      <c r="Y28">
        <v>400</v>
      </c>
    </row>
    <row r="29" spans="1:27" x14ac:dyDescent="0.25">
      <c r="A29" t="s">
        <v>316</v>
      </c>
      <c r="B29" t="s">
        <v>556</v>
      </c>
      <c r="C29" t="s">
        <v>1859</v>
      </c>
      <c r="D29" t="s">
        <v>581</v>
      </c>
      <c r="E29" t="s">
        <v>1265</v>
      </c>
      <c r="F29" t="s">
        <v>571</v>
      </c>
      <c r="G29" s="204"/>
      <c r="H29">
        <v>2691</v>
      </c>
      <c r="I29">
        <v>259143.30000000002</v>
      </c>
      <c r="L29">
        <v>5751</v>
      </c>
      <c r="M29">
        <v>673055.73</v>
      </c>
      <c r="N29">
        <v>1450</v>
      </c>
      <c r="O29">
        <v>172115</v>
      </c>
      <c r="P29">
        <v>1450</v>
      </c>
      <c r="Q29">
        <v>7201</v>
      </c>
      <c r="T29">
        <v>0</v>
      </c>
      <c r="U29">
        <v>0</v>
      </c>
      <c r="V29">
        <v>6950</v>
      </c>
      <c r="W29">
        <v>847204</v>
      </c>
      <c r="X29">
        <v>6950</v>
      </c>
      <c r="Y29">
        <v>6950</v>
      </c>
    </row>
    <row r="30" spans="1:27" x14ac:dyDescent="0.25">
      <c r="A30" t="s">
        <v>294</v>
      </c>
      <c r="B30" t="s">
        <v>556</v>
      </c>
      <c r="C30" t="s">
        <v>1859</v>
      </c>
      <c r="D30" t="s">
        <v>606</v>
      </c>
      <c r="E30" t="s">
        <v>1167</v>
      </c>
      <c r="F30" t="s">
        <v>571</v>
      </c>
      <c r="G30" s="204"/>
      <c r="J30">
        <v>33</v>
      </c>
      <c r="K30">
        <v>17720</v>
      </c>
      <c r="L30">
        <v>203</v>
      </c>
      <c r="M30">
        <v>76125</v>
      </c>
      <c r="N30">
        <v>2</v>
      </c>
      <c r="O30">
        <v>750</v>
      </c>
      <c r="P30">
        <v>2</v>
      </c>
      <c r="Q30">
        <v>205</v>
      </c>
      <c r="T30">
        <v>0</v>
      </c>
      <c r="U30">
        <v>0</v>
      </c>
      <c r="V30">
        <v>298</v>
      </c>
      <c r="W30">
        <v>111750</v>
      </c>
      <c r="X30">
        <v>298</v>
      </c>
      <c r="Y30">
        <v>298</v>
      </c>
    </row>
    <row r="31" spans="1:27" x14ac:dyDescent="0.25">
      <c r="A31" t="s">
        <v>372</v>
      </c>
      <c r="B31" t="s">
        <v>556</v>
      </c>
      <c r="C31" t="s">
        <v>1858</v>
      </c>
      <c r="D31" t="s">
        <v>584</v>
      </c>
      <c r="E31" t="s">
        <v>1173</v>
      </c>
      <c r="F31" t="s">
        <v>571</v>
      </c>
      <c r="G31" s="204"/>
      <c r="L31">
        <v>79</v>
      </c>
      <c r="M31">
        <v>72148.799999999988</v>
      </c>
      <c r="N31">
        <v>0</v>
      </c>
      <c r="O31">
        <v>0</v>
      </c>
      <c r="P31">
        <v>0</v>
      </c>
      <c r="Q31">
        <v>79</v>
      </c>
      <c r="T31">
        <v>0</v>
      </c>
      <c r="U31">
        <v>0</v>
      </c>
      <c r="V31">
        <v>47</v>
      </c>
      <c r="W31">
        <v>47282.94</v>
      </c>
      <c r="X31">
        <v>47</v>
      </c>
      <c r="Y31">
        <v>47</v>
      </c>
      <c r="Z31">
        <v>47282.94</v>
      </c>
      <c r="AA31">
        <v>1006.0200000000001</v>
      </c>
    </row>
    <row r="32" spans="1:27" x14ac:dyDescent="0.25">
      <c r="A32" t="s">
        <v>302</v>
      </c>
      <c r="B32" t="s">
        <v>556</v>
      </c>
      <c r="C32" t="s">
        <v>1859</v>
      </c>
      <c r="D32" t="s">
        <v>610</v>
      </c>
      <c r="E32" t="s">
        <v>1149</v>
      </c>
      <c r="F32" t="s">
        <v>571</v>
      </c>
      <c r="G32" s="204"/>
      <c r="H32">
        <v>31</v>
      </c>
      <c r="I32">
        <v>5051.1400000000003</v>
      </c>
      <c r="L32">
        <v>0</v>
      </c>
      <c r="M32">
        <v>0</v>
      </c>
      <c r="N32">
        <v>200</v>
      </c>
      <c r="O32">
        <v>18636</v>
      </c>
      <c r="P32">
        <v>200</v>
      </c>
      <c r="Q32">
        <v>200</v>
      </c>
      <c r="T32">
        <v>0</v>
      </c>
      <c r="U32">
        <v>0</v>
      </c>
      <c r="V32">
        <v>200</v>
      </c>
      <c r="W32">
        <v>18636</v>
      </c>
      <c r="X32">
        <v>200</v>
      </c>
      <c r="Y32">
        <v>200</v>
      </c>
    </row>
    <row r="33" spans="1:27" x14ac:dyDescent="0.25">
      <c r="A33" t="s">
        <v>52</v>
      </c>
      <c r="B33" t="s">
        <v>556</v>
      </c>
      <c r="C33" t="s">
        <v>1859</v>
      </c>
      <c r="D33" t="s">
        <v>649</v>
      </c>
      <c r="E33" t="s">
        <v>1167</v>
      </c>
      <c r="F33" t="s">
        <v>571</v>
      </c>
      <c r="G33" s="204"/>
      <c r="L33">
        <v>0</v>
      </c>
      <c r="M33">
        <v>0</v>
      </c>
      <c r="N33">
        <v>25</v>
      </c>
      <c r="O33">
        <v>3172.75</v>
      </c>
      <c r="P33">
        <v>25</v>
      </c>
      <c r="Q33">
        <v>25</v>
      </c>
      <c r="R33">
        <v>3172.75</v>
      </c>
      <c r="S33">
        <v>126.91</v>
      </c>
      <c r="T33">
        <v>0</v>
      </c>
      <c r="U33">
        <v>0</v>
      </c>
      <c r="V33">
        <v>100</v>
      </c>
      <c r="W33">
        <v>12691</v>
      </c>
      <c r="X33">
        <v>100</v>
      </c>
      <c r="Y33">
        <v>100</v>
      </c>
    </row>
    <row r="34" spans="1:27" x14ac:dyDescent="0.25">
      <c r="A34" t="s">
        <v>698</v>
      </c>
      <c r="B34" t="s">
        <v>562</v>
      </c>
      <c r="C34" t="s">
        <v>1859</v>
      </c>
      <c r="D34" t="s">
        <v>686</v>
      </c>
      <c r="E34" t="s">
        <v>1357</v>
      </c>
      <c r="F34" t="s">
        <v>571</v>
      </c>
      <c r="G34" s="204"/>
      <c r="J34">
        <v>88</v>
      </c>
      <c r="K34">
        <v>39600</v>
      </c>
      <c r="L34">
        <v>162</v>
      </c>
      <c r="M34">
        <v>72900</v>
      </c>
      <c r="N34">
        <v>0</v>
      </c>
      <c r="O34">
        <v>0</v>
      </c>
      <c r="P34">
        <v>0</v>
      </c>
      <c r="Q34">
        <v>162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7" x14ac:dyDescent="0.25">
      <c r="A35" t="s">
        <v>104</v>
      </c>
      <c r="B35" t="s">
        <v>556</v>
      </c>
      <c r="C35" t="s">
        <v>1859</v>
      </c>
      <c r="D35" t="s">
        <v>590</v>
      </c>
      <c r="E35" t="s">
        <v>1167</v>
      </c>
      <c r="F35" t="s">
        <v>571</v>
      </c>
      <c r="G35" s="204"/>
      <c r="H35">
        <v>78</v>
      </c>
      <c r="I35">
        <v>110795.1</v>
      </c>
      <c r="L35">
        <v>434</v>
      </c>
      <c r="M35">
        <v>616475.29999999993</v>
      </c>
      <c r="N35">
        <v>160</v>
      </c>
      <c r="O35">
        <v>227272</v>
      </c>
      <c r="P35">
        <v>160</v>
      </c>
      <c r="Q35">
        <v>594</v>
      </c>
      <c r="T35">
        <v>0</v>
      </c>
      <c r="U35">
        <v>0</v>
      </c>
      <c r="V35">
        <v>650</v>
      </c>
      <c r="W35">
        <v>923292.5</v>
      </c>
      <c r="X35">
        <v>650</v>
      </c>
      <c r="Y35">
        <v>650</v>
      </c>
    </row>
    <row r="36" spans="1:27" x14ac:dyDescent="0.25">
      <c r="A36" t="s">
        <v>307</v>
      </c>
      <c r="B36" t="s">
        <v>556</v>
      </c>
      <c r="C36" t="s">
        <v>1859</v>
      </c>
      <c r="D36" t="s">
        <v>581</v>
      </c>
      <c r="E36" t="s">
        <v>1150</v>
      </c>
      <c r="F36" t="s">
        <v>571</v>
      </c>
      <c r="G36" s="204"/>
      <c r="J36">
        <v>689</v>
      </c>
      <c r="K36">
        <v>97692.17</v>
      </c>
      <c r="L36">
        <v>1500</v>
      </c>
      <c r="M36">
        <v>250140</v>
      </c>
      <c r="N36">
        <v>560</v>
      </c>
      <c r="O36">
        <v>93385.600000000006</v>
      </c>
      <c r="P36">
        <v>560</v>
      </c>
      <c r="Q36">
        <v>2060</v>
      </c>
      <c r="T36">
        <v>0</v>
      </c>
      <c r="U36">
        <v>0</v>
      </c>
      <c r="V36">
        <v>935</v>
      </c>
      <c r="W36">
        <v>155920.6</v>
      </c>
      <c r="X36">
        <v>935</v>
      </c>
      <c r="Y36">
        <v>935</v>
      </c>
    </row>
    <row r="37" spans="1:27" x14ac:dyDescent="0.25">
      <c r="A37" t="s">
        <v>369</v>
      </c>
      <c r="B37" t="s">
        <v>556</v>
      </c>
      <c r="C37" t="s">
        <v>1858</v>
      </c>
      <c r="D37" t="s">
        <v>584</v>
      </c>
      <c r="E37" t="s">
        <v>1421</v>
      </c>
      <c r="F37" t="s">
        <v>571</v>
      </c>
      <c r="G37" s="204"/>
      <c r="L37">
        <v>66</v>
      </c>
      <c r="M37">
        <v>39072</v>
      </c>
      <c r="N37">
        <v>0</v>
      </c>
      <c r="O37">
        <v>0</v>
      </c>
      <c r="P37">
        <v>0</v>
      </c>
      <c r="Q37">
        <v>66</v>
      </c>
      <c r="R37">
        <v>39072</v>
      </c>
      <c r="S37">
        <v>592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7" x14ac:dyDescent="0.25">
      <c r="A38" t="s">
        <v>316</v>
      </c>
      <c r="B38" t="s">
        <v>556</v>
      </c>
      <c r="C38" t="s">
        <v>1859</v>
      </c>
      <c r="D38" t="s">
        <v>581</v>
      </c>
      <c r="E38" t="s">
        <v>1162</v>
      </c>
      <c r="F38" t="s">
        <v>571</v>
      </c>
      <c r="G38" s="204"/>
      <c r="H38">
        <v>1235</v>
      </c>
      <c r="I38">
        <v>138159.45000000001</v>
      </c>
      <c r="L38">
        <v>1160</v>
      </c>
      <c r="M38">
        <v>141786.79999999999</v>
      </c>
      <c r="N38">
        <v>810</v>
      </c>
      <c r="O38">
        <v>99006.299999999988</v>
      </c>
      <c r="P38">
        <v>810</v>
      </c>
      <c r="Q38">
        <v>1970</v>
      </c>
      <c r="T38">
        <v>0</v>
      </c>
      <c r="U38">
        <v>0</v>
      </c>
      <c r="V38">
        <v>1390</v>
      </c>
      <c r="W38">
        <v>169899.7</v>
      </c>
      <c r="X38">
        <v>1390</v>
      </c>
      <c r="Y38">
        <v>1390</v>
      </c>
    </row>
    <row r="39" spans="1:27" x14ac:dyDescent="0.25">
      <c r="A39" t="s">
        <v>48</v>
      </c>
      <c r="B39" t="s">
        <v>565</v>
      </c>
      <c r="C39" t="s">
        <v>1859</v>
      </c>
      <c r="D39" t="s">
        <v>616</v>
      </c>
      <c r="E39" t="s">
        <v>1169</v>
      </c>
      <c r="F39" t="s">
        <v>578</v>
      </c>
      <c r="G39" s="204">
        <v>46022</v>
      </c>
      <c r="J39">
        <v>144</v>
      </c>
      <c r="K39">
        <v>10293.119999999999</v>
      </c>
      <c r="L39">
        <v>108</v>
      </c>
      <c r="M39">
        <v>7772.7600000000011</v>
      </c>
      <c r="N39">
        <v>55</v>
      </c>
      <c r="O39">
        <v>3977.6000000000004</v>
      </c>
      <c r="P39">
        <v>55</v>
      </c>
      <c r="Q39">
        <v>163</v>
      </c>
      <c r="T39">
        <v>0</v>
      </c>
      <c r="U39">
        <v>0</v>
      </c>
      <c r="V39">
        <v>177</v>
      </c>
      <c r="W39">
        <v>12800.64</v>
      </c>
      <c r="X39">
        <v>177</v>
      </c>
      <c r="Y39">
        <v>177</v>
      </c>
    </row>
    <row r="40" spans="1:27" x14ac:dyDescent="0.25">
      <c r="A40" t="s">
        <v>303</v>
      </c>
      <c r="B40" t="s">
        <v>556</v>
      </c>
      <c r="C40" t="s">
        <v>1859</v>
      </c>
      <c r="D40" t="s">
        <v>610</v>
      </c>
      <c r="E40" t="s">
        <v>1169</v>
      </c>
      <c r="F40" t="s">
        <v>571</v>
      </c>
      <c r="G40" s="204"/>
      <c r="J40">
        <v>222</v>
      </c>
      <c r="K40">
        <v>21662.76</v>
      </c>
      <c r="L40">
        <v>279</v>
      </c>
      <c r="M40">
        <v>27841.220000000005</v>
      </c>
      <c r="N40">
        <v>52</v>
      </c>
      <c r="O40">
        <v>5313.3600000000006</v>
      </c>
      <c r="P40">
        <v>52</v>
      </c>
      <c r="Q40">
        <v>331</v>
      </c>
      <c r="T40">
        <v>0</v>
      </c>
      <c r="U40">
        <v>0</v>
      </c>
      <c r="V40">
        <v>537</v>
      </c>
      <c r="W40">
        <v>54870.66</v>
      </c>
      <c r="X40">
        <v>537</v>
      </c>
      <c r="Y40">
        <v>537</v>
      </c>
    </row>
    <row r="41" spans="1:27" x14ac:dyDescent="0.25">
      <c r="A41" t="s">
        <v>850</v>
      </c>
      <c r="B41" t="s">
        <v>556</v>
      </c>
      <c r="C41" t="s">
        <v>1859</v>
      </c>
      <c r="D41" t="s">
        <v>607</v>
      </c>
      <c r="E41" t="s">
        <v>1253</v>
      </c>
      <c r="F41" t="s">
        <v>571</v>
      </c>
      <c r="G41" s="204"/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T41">
        <v>0</v>
      </c>
      <c r="U41">
        <v>0</v>
      </c>
      <c r="V41">
        <v>300</v>
      </c>
      <c r="W41">
        <v>58296</v>
      </c>
      <c r="X41">
        <v>300</v>
      </c>
      <c r="Y41">
        <v>300</v>
      </c>
      <c r="Z41">
        <v>58296</v>
      </c>
      <c r="AA41">
        <v>194.32</v>
      </c>
    </row>
    <row r="42" spans="1:27" x14ac:dyDescent="0.25">
      <c r="A42" t="s">
        <v>369</v>
      </c>
      <c r="B42" t="s">
        <v>556</v>
      </c>
      <c r="C42" t="s">
        <v>1858</v>
      </c>
      <c r="D42" t="s">
        <v>584</v>
      </c>
      <c r="E42" t="s">
        <v>1186</v>
      </c>
      <c r="F42" t="s">
        <v>571</v>
      </c>
      <c r="G42" s="204"/>
      <c r="L42">
        <v>1073</v>
      </c>
      <c r="M42">
        <v>404687.60000000003</v>
      </c>
      <c r="N42">
        <v>1</v>
      </c>
      <c r="O42">
        <v>0</v>
      </c>
      <c r="P42">
        <v>1</v>
      </c>
      <c r="Q42">
        <v>1074</v>
      </c>
      <c r="T42">
        <v>0</v>
      </c>
      <c r="U42">
        <v>0</v>
      </c>
      <c r="V42">
        <v>64</v>
      </c>
      <c r="W42">
        <v>27230.080000000002</v>
      </c>
      <c r="X42">
        <v>64</v>
      </c>
      <c r="Y42">
        <v>64</v>
      </c>
      <c r="Z42">
        <v>27230.080000000002</v>
      </c>
      <c r="AA42">
        <v>425.47</v>
      </c>
    </row>
    <row r="43" spans="1:27" x14ac:dyDescent="0.25">
      <c r="A43" t="s">
        <v>302</v>
      </c>
      <c r="B43" t="s">
        <v>556</v>
      </c>
      <c r="C43" t="s">
        <v>1859</v>
      </c>
      <c r="D43" t="s">
        <v>610</v>
      </c>
      <c r="E43" t="s">
        <v>1169</v>
      </c>
      <c r="F43" t="s">
        <v>578</v>
      </c>
      <c r="G43" s="204">
        <v>46022</v>
      </c>
      <c r="L43">
        <v>754</v>
      </c>
      <c r="M43">
        <v>50721.579999999994</v>
      </c>
      <c r="N43">
        <v>420</v>
      </c>
      <c r="O43">
        <v>28253.4</v>
      </c>
      <c r="P43">
        <v>420</v>
      </c>
      <c r="Q43">
        <v>1174</v>
      </c>
      <c r="T43">
        <v>0</v>
      </c>
      <c r="U43">
        <v>0</v>
      </c>
      <c r="V43">
        <v>764</v>
      </c>
      <c r="W43">
        <v>51394.28</v>
      </c>
      <c r="X43">
        <v>764</v>
      </c>
      <c r="Y43">
        <v>764</v>
      </c>
      <c r="Z43">
        <v>51394.280000000006</v>
      </c>
      <c r="AA43">
        <v>67.27000000000001</v>
      </c>
    </row>
    <row r="44" spans="1:27" x14ac:dyDescent="0.25">
      <c r="A44" t="s">
        <v>850</v>
      </c>
      <c r="B44" t="s">
        <v>556</v>
      </c>
      <c r="C44" t="s">
        <v>1859</v>
      </c>
      <c r="D44" t="s">
        <v>607</v>
      </c>
      <c r="E44" t="s">
        <v>1403</v>
      </c>
      <c r="F44" t="s">
        <v>571</v>
      </c>
      <c r="G44" s="204"/>
      <c r="J44">
        <v>350</v>
      </c>
      <c r="K44">
        <v>46889.5</v>
      </c>
      <c r="L44">
        <v>600</v>
      </c>
      <c r="M44">
        <v>86376</v>
      </c>
      <c r="N44">
        <v>0</v>
      </c>
      <c r="O44">
        <v>0</v>
      </c>
      <c r="P44">
        <v>0</v>
      </c>
      <c r="Q44">
        <v>600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7" x14ac:dyDescent="0.25">
      <c r="A45" t="s">
        <v>318</v>
      </c>
      <c r="B45" t="s">
        <v>565</v>
      </c>
      <c r="C45" t="s">
        <v>1859</v>
      </c>
      <c r="D45" t="s">
        <v>610</v>
      </c>
      <c r="E45" t="s">
        <v>1169</v>
      </c>
      <c r="F45" t="s">
        <v>578</v>
      </c>
      <c r="G45" s="204">
        <v>46022</v>
      </c>
      <c r="H45">
        <v>19</v>
      </c>
      <c r="I45">
        <v>2678.24</v>
      </c>
      <c r="L45">
        <v>36</v>
      </c>
      <c r="M45">
        <v>5255.64</v>
      </c>
      <c r="N45">
        <v>20</v>
      </c>
      <c r="O45">
        <v>2919.8</v>
      </c>
      <c r="P45">
        <v>20</v>
      </c>
      <c r="Q45">
        <v>56</v>
      </c>
      <c r="T45">
        <v>0</v>
      </c>
      <c r="U45">
        <v>0</v>
      </c>
      <c r="V45">
        <v>43</v>
      </c>
      <c r="W45">
        <v>6277.57</v>
      </c>
      <c r="X45">
        <v>43</v>
      </c>
      <c r="Y45">
        <v>43</v>
      </c>
    </row>
    <row r="46" spans="1:27" x14ac:dyDescent="0.25">
      <c r="A46" t="s">
        <v>100</v>
      </c>
      <c r="B46" t="s">
        <v>556</v>
      </c>
      <c r="C46" t="s">
        <v>1859</v>
      </c>
      <c r="D46" t="s">
        <v>587</v>
      </c>
      <c r="E46" t="s">
        <v>1308</v>
      </c>
      <c r="F46" t="s">
        <v>571</v>
      </c>
      <c r="G46" s="204"/>
      <c r="L46">
        <v>200</v>
      </c>
      <c r="M46">
        <v>79000</v>
      </c>
      <c r="N46">
        <v>50</v>
      </c>
      <c r="O46">
        <v>19750</v>
      </c>
      <c r="P46">
        <v>50</v>
      </c>
      <c r="Q46">
        <v>250</v>
      </c>
      <c r="T46">
        <v>0</v>
      </c>
      <c r="U46">
        <v>0</v>
      </c>
      <c r="V46">
        <v>120</v>
      </c>
      <c r="W46">
        <v>47400</v>
      </c>
      <c r="X46">
        <v>120</v>
      </c>
      <c r="Y46">
        <v>120</v>
      </c>
      <c r="Z46">
        <v>47400</v>
      </c>
      <c r="AA46">
        <v>395</v>
      </c>
    </row>
    <row r="47" spans="1:27" x14ac:dyDescent="0.25">
      <c r="A47" t="s">
        <v>314</v>
      </c>
      <c r="B47" t="s">
        <v>556</v>
      </c>
      <c r="C47" t="s">
        <v>1859</v>
      </c>
      <c r="D47" t="s">
        <v>581</v>
      </c>
      <c r="E47" t="s">
        <v>1169</v>
      </c>
      <c r="F47" t="s">
        <v>571</v>
      </c>
      <c r="G47" s="204"/>
      <c r="J47">
        <v>24</v>
      </c>
      <c r="K47">
        <v>8352</v>
      </c>
      <c r="L47">
        <v>18</v>
      </c>
      <c r="M47">
        <v>6264</v>
      </c>
      <c r="N47">
        <v>22</v>
      </c>
      <c r="O47">
        <v>7656</v>
      </c>
      <c r="P47">
        <v>22</v>
      </c>
      <c r="Q47">
        <v>40</v>
      </c>
      <c r="T47">
        <v>0</v>
      </c>
      <c r="U47">
        <v>0</v>
      </c>
      <c r="V47">
        <v>203</v>
      </c>
      <c r="W47">
        <v>70644</v>
      </c>
      <c r="X47">
        <v>203</v>
      </c>
      <c r="Y47">
        <v>203</v>
      </c>
    </row>
    <row r="48" spans="1:27" x14ac:dyDescent="0.25">
      <c r="A48" t="s">
        <v>850</v>
      </c>
      <c r="B48" t="s">
        <v>556</v>
      </c>
      <c r="C48" t="s">
        <v>1859</v>
      </c>
      <c r="D48" t="s">
        <v>607</v>
      </c>
      <c r="E48" t="s">
        <v>1295</v>
      </c>
      <c r="F48" t="s">
        <v>571</v>
      </c>
      <c r="G48" s="204"/>
      <c r="H48">
        <v>600</v>
      </c>
      <c r="I48">
        <v>80382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7" x14ac:dyDescent="0.25">
      <c r="A49" t="s">
        <v>65</v>
      </c>
      <c r="B49" t="s">
        <v>566</v>
      </c>
      <c r="C49" t="s">
        <v>920</v>
      </c>
      <c r="D49" t="s">
        <v>920</v>
      </c>
      <c r="E49" t="s">
        <v>1212</v>
      </c>
      <c r="F49" t="s">
        <v>571</v>
      </c>
      <c r="G49" s="204"/>
      <c r="H49">
        <v>2500</v>
      </c>
      <c r="I49">
        <v>17150</v>
      </c>
      <c r="L49">
        <v>10000</v>
      </c>
      <c r="M49">
        <v>71000</v>
      </c>
      <c r="N49">
        <v>5000</v>
      </c>
      <c r="O49">
        <v>35750</v>
      </c>
      <c r="P49">
        <v>5000</v>
      </c>
      <c r="Q49">
        <v>15000</v>
      </c>
      <c r="T49">
        <v>0</v>
      </c>
      <c r="U49">
        <v>0</v>
      </c>
      <c r="V49">
        <v>2500</v>
      </c>
      <c r="W49">
        <v>17875</v>
      </c>
      <c r="X49">
        <v>2500</v>
      </c>
      <c r="Y49">
        <v>2500</v>
      </c>
      <c r="Z49">
        <v>17875</v>
      </c>
      <c r="AA49">
        <v>7.15</v>
      </c>
    </row>
    <row r="50" spans="1:27" x14ac:dyDescent="0.25">
      <c r="A50" t="s">
        <v>369</v>
      </c>
      <c r="B50" t="s">
        <v>556</v>
      </c>
      <c r="C50" t="s">
        <v>1858</v>
      </c>
      <c r="D50" t="s">
        <v>584</v>
      </c>
      <c r="E50" t="s">
        <v>1280</v>
      </c>
      <c r="F50" t="s">
        <v>571</v>
      </c>
      <c r="G50" s="204"/>
      <c r="H50">
        <v>140</v>
      </c>
      <c r="I50">
        <v>52189.2</v>
      </c>
      <c r="L50">
        <v>900</v>
      </c>
      <c r="M50">
        <v>468000</v>
      </c>
      <c r="N50">
        <v>0</v>
      </c>
      <c r="O50">
        <v>0</v>
      </c>
      <c r="P50">
        <v>0</v>
      </c>
      <c r="Q50">
        <v>900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7" x14ac:dyDescent="0.25">
      <c r="A51" t="s">
        <v>71</v>
      </c>
      <c r="B51" t="s">
        <v>566</v>
      </c>
      <c r="C51" t="s">
        <v>920</v>
      </c>
      <c r="D51" t="s">
        <v>920</v>
      </c>
      <c r="E51" t="s">
        <v>1212</v>
      </c>
      <c r="F51" t="s">
        <v>571</v>
      </c>
      <c r="G51" s="204"/>
      <c r="H51">
        <v>5500</v>
      </c>
      <c r="I51">
        <v>38720</v>
      </c>
      <c r="L51">
        <v>25000</v>
      </c>
      <c r="M51">
        <v>187500</v>
      </c>
      <c r="N51">
        <v>20000</v>
      </c>
      <c r="O51">
        <v>150000</v>
      </c>
      <c r="P51">
        <v>20000</v>
      </c>
      <c r="Q51">
        <v>45000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7" x14ac:dyDescent="0.25">
      <c r="A52" t="s">
        <v>50</v>
      </c>
      <c r="B52" t="s">
        <v>565</v>
      </c>
      <c r="C52" t="s">
        <v>1859</v>
      </c>
      <c r="D52" t="s">
        <v>601</v>
      </c>
      <c r="E52" t="s">
        <v>1167</v>
      </c>
      <c r="F52" t="s">
        <v>571</v>
      </c>
      <c r="G52" s="204"/>
      <c r="L52">
        <v>27</v>
      </c>
      <c r="M52">
        <v>3885.3</v>
      </c>
      <c r="N52">
        <v>156</v>
      </c>
      <c r="O52">
        <v>22448.399999999998</v>
      </c>
      <c r="P52">
        <v>156</v>
      </c>
      <c r="Q52">
        <v>183</v>
      </c>
      <c r="T52">
        <v>0</v>
      </c>
      <c r="U52">
        <v>0</v>
      </c>
      <c r="V52">
        <v>72</v>
      </c>
      <c r="W52">
        <v>10360.799999999999</v>
      </c>
      <c r="X52">
        <v>72</v>
      </c>
      <c r="Y52">
        <v>72</v>
      </c>
      <c r="Z52">
        <v>10360.799999999999</v>
      </c>
      <c r="AA52">
        <v>143.89999999999998</v>
      </c>
    </row>
    <row r="53" spans="1:27" x14ac:dyDescent="0.25">
      <c r="A53" t="s">
        <v>63</v>
      </c>
      <c r="B53" t="s">
        <v>566</v>
      </c>
      <c r="C53" t="s">
        <v>920</v>
      </c>
      <c r="D53" t="s">
        <v>920</v>
      </c>
      <c r="E53" t="s">
        <v>1455</v>
      </c>
      <c r="F53" t="s">
        <v>571</v>
      </c>
      <c r="G53" s="204"/>
      <c r="L53">
        <v>2</v>
      </c>
      <c r="M53">
        <v>221.68</v>
      </c>
      <c r="N53">
        <v>0</v>
      </c>
      <c r="O53">
        <v>0</v>
      </c>
      <c r="P53">
        <v>0</v>
      </c>
      <c r="Q53">
        <v>2</v>
      </c>
      <c r="R53">
        <v>221.68</v>
      </c>
      <c r="S53">
        <v>110.84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7" x14ac:dyDescent="0.25">
      <c r="A54" t="s">
        <v>699</v>
      </c>
      <c r="B54" t="s">
        <v>556</v>
      </c>
      <c r="C54" t="s">
        <v>1859</v>
      </c>
      <c r="D54" t="s">
        <v>731</v>
      </c>
      <c r="E54" t="s">
        <v>1152</v>
      </c>
      <c r="F54" t="s">
        <v>571</v>
      </c>
      <c r="G54" s="204"/>
      <c r="H54">
        <v>200</v>
      </c>
      <c r="I54">
        <v>15922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7" x14ac:dyDescent="0.25">
      <c r="A55" t="s">
        <v>699</v>
      </c>
      <c r="B55" t="s">
        <v>556</v>
      </c>
      <c r="C55" t="s">
        <v>1859</v>
      </c>
      <c r="D55" t="s">
        <v>731</v>
      </c>
      <c r="E55" t="s">
        <v>1167</v>
      </c>
      <c r="F55" t="s">
        <v>571</v>
      </c>
      <c r="G55" s="204"/>
      <c r="L55">
        <v>50</v>
      </c>
      <c r="M55">
        <v>3980.5</v>
      </c>
      <c r="N55">
        <v>0</v>
      </c>
      <c r="O55">
        <v>0</v>
      </c>
      <c r="P55">
        <v>0</v>
      </c>
      <c r="Q55">
        <v>50</v>
      </c>
      <c r="R55">
        <v>3980.5</v>
      </c>
      <c r="S55">
        <v>79.61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7" x14ac:dyDescent="0.25">
      <c r="A56" t="s">
        <v>43</v>
      </c>
      <c r="B56" t="s">
        <v>566</v>
      </c>
      <c r="C56" t="s">
        <v>920</v>
      </c>
      <c r="D56" t="s">
        <v>920</v>
      </c>
      <c r="E56" t="s">
        <v>1212</v>
      </c>
      <c r="F56" t="s">
        <v>571</v>
      </c>
      <c r="G56" s="204"/>
      <c r="H56">
        <v>5000</v>
      </c>
      <c r="I56">
        <v>35650</v>
      </c>
      <c r="L56">
        <v>5000</v>
      </c>
      <c r="M56">
        <v>38450</v>
      </c>
      <c r="N56">
        <v>2500</v>
      </c>
      <c r="O56">
        <v>19550</v>
      </c>
      <c r="P56">
        <v>2500</v>
      </c>
      <c r="Q56">
        <v>7500</v>
      </c>
      <c r="T56">
        <v>0</v>
      </c>
      <c r="U56">
        <v>0</v>
      </c>
      <c r="V56">
        <v>5000</v>
      </c>
      <c r="W56">
        <v>39100</v>
      </c>
      <c r="X56">
        <v>5000</v>
      </c>
      <c r="Y56">
        <v>5000</v>
      </c>
      <c r="Z56">
        <v>39100</v>
      </c>
      <c r="AA56">
        <v>7.82</v>
      </c>
    </row>
    <row r="57" spans="1:27" x14ac:dyDescent="0.25">
      <c r="A57" t="s">
        <v>66</v>
      </c>
      <c r="B57" t="s">
        <v>556</v>
      </c>
      <c r="C57" t="s">
        <v>1859</v>
      </c>
      <c r="D57" t="s">
        <v>587</v>
      </c>
      <c r="E57" t="s">
        <v>1167</v>
      </c>
      <c r="F57" t="s">
        <v>571</v>
      </c>
      <c r="G57" s="204"/>
      <c r="H57">
        <v>17</v>
      </c>
      <c r="I57">
        <v>7072</v>
      </c>
      <c r="L57">
        <v>204</v>
      </c>
      <c r="M57">
        <v>86700</v>
      </c>
      <c r="N57">
        <v>80</v>
      </c>
      <c r="O57">
        <v>34000</v>
      </c>
      <c r="P57">
        <v>80</v>
      </c>
      <c r="Q57">
        <v>284</v>
      </c>
      <c r="T57">
        <v>0</v>
      </c>
      <c r="U57">
        <v>0</v>
      </c>
      <c r="V57">
        <v>79</v>
      </c>
      <c r="W57">
        <v>33575</v>
      </c>
      <c r="X57">
        <v>79</v>
      </c>
      <c r="Y57">
        <v>79</v>
      </c>
    </row>
    <row r="58" spans="1:27" x14ac:dyDescent="0.25">
      <c r="A58" t="s">
        <v>29</v>
      </c>
      <c r="B58" t="s">
        <v>566</v>
      </c>
      <c r="C58" t="s">
        <v>920</v>
      </c>
      <c r="D58" t="s">
        <v>920</v>
      </c>
      <c r="E58" t="s">
        <v>1212</v>
      </c>
      <c r="F58" t="s">
        <v>571</v>
      </c>
      <c r="G58" s="204"/>
      <c r="H58">
        <v>1000</v>
      </c>
      <c r="I58">
        <v>24169.999999999996</v>
      </c>
      <c r="L58">
        <v>1500</v>
      </c>
      <c r="M58">
        <v>37410</v>
      </c>
      <c r="N58">
        <v>1500</v>
      </c>
      <c r="O58">
        <v>37830</v>
      </c>
      <c r="P58">
        <v>1500</v>
      </c>
      <c r="Q58">
        <v>3000</v>
      </c>
      <c r="T58">
        <v>0</v>
      </c>
      <c r="U58">
        <v>0</v>
      </c>
      <c r="V58">
        <v>1500</v>
      </c>
      <c r="W58">
        <v>37830</v>
      </c>
      <c r="X58">
        <v>1500</v>
      </c>
      <c r="Y58">
        <v>1500</v>
      </c>
    </row>
    <row r="59" spans="1:27" x14ac:dyDescent="0.25">
      <c r="A59" t="s">
        <v>52</v>
      </c>
      <c r="B59" t="s">
        <v>556</v>
      </c>
      <c r="C59" t="s">
        <v>1859</v>
      </c>
      <c r="D59" t="s">
        <v>649</v>
      </c>
      <c r="E59" t="s">
        <v>1152</v>
      </c>
      <c r="F59" t="s">
        <v>571</v>
      </c>
      <c r="G59" s="204"/>
      <c r="L59">
        <v>200</v>
      </c>
      <c r="M59">
        <v>25382</v>
      </c>
      <c r="N59">
        <v>0</v>
      </c>
      <c r="O59">
        <v>0</v>
      </c>
      <c r="P59">
        <v>0</v>
      </c>
      <c r="Q59">
        <v>200</v>
      </c>
      <c r="R59">
        <v>25382</v>
      </c>
      <c r="S59">
        <v>126.91</v>
      </c>
      <c r="T59">
        <v>0</v>
      </c>
      <c r="U59">
        <v>0</v>
      </c>
      <c r="V59">
        <v>250</v>
      </c>
      <c r="W59">
        <v>31727.5</v>
      </c>
      <c r="X59">
        <v>250</v>
      </c>
      <c r="Y59">
        <v>250</v>
      </c>
    </row>
    <row r="60" spans="1:27" x14ac:dyDescent="0.25">
      <c r="A60" t="s">
        <v>102</v>
      </c>
      <c r="B60" t="s">
        <v>556</v>
      </c>
      <c r="C60" t="s">
        <v>1859</v>
      </c>
      <c r="D60" t="s">
        <v>587</v>
      </c>
      <c r="E60" t="s">
        <v>1308</v>
      </c>
      <c r="F60" t="s">
        <v>571</v>
      </c>
      <c r="G60" s="204"/>
      <c r="L60">
        <v>192</v>
      </c>
      <c r="M60">
        <v>64750</v>
      </c>
      <c r="N60">
        <v>70</v>
      </c>
      <c r="O60">
        <v>24500</v>
      </c>
      <c r="P60">
        <v>70</v>
      </c>
      <c r="Q60">
        <v>262</v>
      </c>
      <c r="T60">
        <v>0</v>
      </c>
      <c r="U60">
        <v>0</v>
      </c>
      <c r="V60">
        <v>115</v>
      </c>
      <c r="W60">
        <v>40250</v>
      </c>
      <c r="X60">
        <v>115</v>
      </c>
      <c r="Y60">
        <v>115</v>
      </c>
      <c r="Z60">
        <v>40250</v>
      </c>
      <c r="AA60">
        <v>350</v>
      </c>
    </row>
    <row r="61" spans="1:27" x14ac:dyDescent="0.25">
      <c r="A61" t="s">
        <v>92</v>
      </c>
      <c r="B61" t="s">
        <v>556</v>
      </c>
      <c r="C61" t="s">
        <v>1859</v>
      </c>
      <c r="D61" t="s">
        <v>590</v>
      </c>
      <c r="E61" t="s">
        <v>1167</v>
      </c>
      <c r="F61" t="s">
        <v>571</v>
      </c>
      <c r="G61" s="204"/>
      <c r="L61">
        <v>60</v>
      </c>
      <c r="M61">
        <v>9990</v>
      </c>
      <c r="N61">
        <v>93</v>
      </c>
      <c r="O61">
        <v>15484.5</v>
      </c>
      <c r="P61">
        <v>93</v>
      </c>
      <c r="Q61">
        <v>153</v>
      </c>
      <c r="T61">
        <v>0</v>
      </c>
      <c r="U61">
        <v>0</v>
      </c>
      <c r="V61">
        <v>83</v>
      </c>
      <c r="W61">
        <v>13819.5</v>
      </c>
      <c r="X61">
        <v>83</v>
      </c>
      <c r="Y61">
        <v>83</v>
      </c>
      <c r="Z61">
        <v>13819.5</v>
      </c>
      <c r="AA61">
        <v>166.5</v>
      </c>
    </row>
    <row r="62" spans="1:27" x14ac:dyDescent="0.25">
      <c r="A62" t="s">
        <v>84</v>
      </c>
      <c r="B62" t="s">
        <v>556</v>
      </c>
      <c r="C62" t="s">
        <v>1859</v>
      </c>
      <c r="D62" t="s">
        <v>596</v>
      </c>
      <c r="E62" t="s">
        <v>1159</v>
      </c>
      <c r="F62" t="s">
        <v>571</v>
      </c>
      <c r="G62" s="204"/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T62">
        <v>0</v>
      </c>
      <c r="U62">
        <v>0</v>
      </c>
      <c r="V62">
        <v>3696</v>
      </c>
      <c r="W62">
        <v>297121.43999999994</v>
      </c>
      <c r="X62">
        <v>3696</v>
      </c>
      <c r="Y62">
        <v>3696</v>
      </c>
      <c r="Z62">
        <v>297121.43999999994</v>
      </c>
      <c r="AA62">
        <v>80.389999999999986</v>
      </c>
    </row>
    <row r="63" spans="1:27" x14ac:dyDescent="0.25">
      <c r="A63" t="s">
        <v>54</v>
      </c>
      <c r="B63" t="s">
        <v>556</v>
      </c>
      <c r="C63" t="s">
        <v>1859</v>
      </c>
      <c r="D63" t="s">
        <v>585</v>
      </c>
      <c r="E63" t="s">
        <v>1152</v>
      </c>
      <c r="F63" t="s">
        <v>571</v>
      </c>
      <c r="G63" s="204"/>
      <c r="H63">
        <v>750</v>
      </c>
      <c r="I63">
        <v>95272.5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T63">
        <v>0</v>
      </c>
      <c r="U63">
        <v>0</v>
      </c>
      <c r="V63">
        <v>1109</v>
      </c>
      <c r="W63">
        <v>140876.26999999999</v>
      </c>
      <c r="X63">
        <v>1109</v>
      </c>
      <c r="Y63">
        <v>1109</v>
      </c>
    </row>
    <row r="64" spans="1:27" x14ac:dyDescent="0.25">
      <c r="A64" t="s">
        <v>295</v>
      </c>
      <c r="B64" t="s">
        <v>556</v>
      </c>
      <c r="C64" t="s">
        <v>1859</v>
      </c>
      <c r="D64" t="s">
        <v>618</v>
      </c>
      <c r="E64" t="s">
        <v>1167</v>
      </c>
      <c r="F64" t="s">
        <v>571</v>
      </c>
      <c r="G64" s="204"/>
      <c r="J64">
        <v>258</v>
      </c>
      <c r="K64">
        <v>15222</v>
      </c>
      <c r="L64">
        <v>183</v>
      </c>
      <c r="M64">
        <v>10797</v>
      </c>
      <c r="N64">
        <v>78</v>
      </c>
      <c r="O64">
        <v>4602</v>
      </c>
      <c r="P64">
        <v>78</v>
      </c>
      <c r="Q64">
        <v>261</v>
      </c>
      <c r="T64">
        <v>0</v>
      </c>
      <c r="U64">
        <v>0</v>
      </c>
      <c r="V64">
        <v>301</v>
      </c>
      <c r="W64">
        <v>17759</v>
      </c>
      <c r="X64">
        <v>301</v>
      </c>
      <c r="Y64">
        <v>301</v>
      </c>
    </row>
    <row r="65" spans="1:27" x14ac:dyDescent="0.25">
      <c r="A65" t="s">
        <v>25</v>
      </c>
      <c r="B65" t="s">
        <v>566</v>
      </c>
      <c r="C65" t="s">
        <v>920</v>
      </c>
      <c r="D65" t="s">
        <v>920</v>
      </c>
      <c r="E65" t="s">
        <v>1212</v>
      </c>
      <c r="F65" t="s">
        <v>571</v>
      </c>
      <c r="G65" s="204"/>
      <c r="H65">
        <v>500</v>
      </c>
      <c r="I65">
        <v>7810</v>
      </c>
      <c r="L65">
        <v>2500</v>
      </c>
      <c r="M65">
        <v>40028.479999999996</v>
      </c>
      <c r="N65">
        <v>2500</v>
      </c>
      <c r="O65">
        <v>40400</v>
      </c>
      <c r="P65">
        <v>2500</v>
      </c>
      <c r="Q65">
        <v>5000</v>
      </c>
      <c r="T65">
        <v>0</v>
      </c>
      <c r="U65">
        <v>0</v>
      </c>
      <c r="V65">
        <v>1000</v>
      </c>
      <c r="W65">
        <v>16160</v>
      </c>
      <c r="X65">
        <v>1000</v>
      </c>
      <c r="Y65">
        <v>1000</v>
      </c>
    </row>
    <row r="66" spans="1:27" x14ac:dyDescent="0.25">
      <c r="A66" t="s">
        <v>85</v>
      </c>
      <c r="B66" t="s">
        <v>567</v>
      </c>
      <c r="C66" t="s">
        <v>920</v>
      </c>
      <c r="D66" t="s">
        <v>920</v>
      </c>
      <c r="E66" t="s">
        <v>1493</v>
      </c>
      <c r="F66" t="s">
        <v>571</v>
      </c>
      <c r="G66" s="204"/>
      <c r="L66">
        <v>30</v>
      </c>
      <c r="M66">
        <v>1500</v>
      </c>
      <c r="N66">
        <v>0</v>
      </c>
      <c r="O66">
        <v>0</v>
      </c>
      <c r="P66">
        <v>0</v>
      </c>
      <c r="Q66">
        <v>30</v>
      </c>
      <c r="R66">
        <v>1500</v>
      </c>
      <c r="S66">
        <v>50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7" x14ac:dyDescent="0.25">
      <c r="A67" t="s">
        <v>54</v>
      </c>
      <c r="B67" t="s">
        <v>556</v>
      </c>
      <c r="C67" t="s">
        <v>1859</v>
      </c>
      <c r="D67" t="s">
        <v>585</v>
      </c>
      <c r="E67" t="s">
        <v>1167</v>
      </c>
      <c r="F67" t="s">
        <v>571</v>
      </c>
      <c r="G67" s="204"/>
      <c r="J67">
        <v>9</v>
      </c>
      <c r="K67">
        <v>1143.27</v>
      </c>
      <c r="L67">
        <v>75</v>
      </c>
      <c r="M67">
        <v>9527.25</v>
      </c>
      <c r="N67">
        <v>18</v>
      </c>
      <c r="O67">
        <v>2286.54</v>
      </c>
      <c r="P67">
        <v>18</v>
      </c>
      <c r="Q67">
        <v>93</v>
      </c>
      <c r="T67">
        <v>0</v>
      </c>
      <c r="U67">
        <v>0</v>
      </c>
      <c r="V67">
        <v>71</v>
      </c>
      <c r="W67">
        <v>9019.130000000001</v>
      </c>
      <c r="X67">
        <v>71</v>
      </c>
      <c r="Y67">
        <v>71</v>
      </c>
    </row>
    <row r="68" spans="1:27" x14ac:dyDescent="0.25">
      <c r="A68" t="s">
        <v>86</v>
      </c>
      <c r="B68" t="s">
        <v>556</v>
      </c>
      <c r="C68" t="s">
        <v>1859</v>
      </c>
      <c r="D68" t="s">
        <v>661</v>
      </c>
      <c r="E68" t="s">
        <v>1167</v>
      </c>
      <c r="F68" t="s">
        <v>571</v>
      </c>
      <c r="G68" s="204"/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T68">
        <v>0</v>
      </c>
      <c r="U68">
        <v>0</v>
      </c>
      <c r="V68">
        <v>20</v>
      </c>
      <c r="W68">
        <v>4797.8</v>
      </c>
      <c r="X68">
        <v>20</v>
      </c>
      <c r="Y68">
        <v>20</v>
      </c>
      <c r="Z68">
        <v>4797.8</v>
      </c>
      <c r="AA68">
        <v>239.89000000000001</v>
      </c>
    </row>
    <row r="69" spans="1:27" x14ac:dyDescent="0.25">
      <c r="A69" t="s">
        <v>65</v>
      </c>
      <c r="B69" t="s">
        <v>566</v>
      </c>
      <c r="C69" t="s">
        <v>920</v>
      </c>
      <c r="D69" t="s">
        <v>920</v>
      </c>
      <c r="E69" t="s">
        <v>1266</v>
      </c>
      <c r="F69" t="s">
        <v>571</v>
      </c>
      <c r="G69" s="204"/>
      <c r="L69">
        <v>7500</v>
      </c>
      <c r="M69">
        <v>52850</v>
      </c>
      <c r="N69">
        <v>0</v>
      </c>
      <c r="O69">
        <v>0</v>
      </c>
      <c r="P69">
        <v>0</v>
      </c>
      <c r="Q69">
        <v>7500</v>
      </c>
      <c r="R69">
        <v>52850</v>
      </c>
      <c r="S69">
        <v>7.0466666666666669</v>
      </c>
      <c r="T69">
        <v>0</v>
      </c>
      <c r="U69">
        <v>0</v>
      </c>
      <c r="V69">
        <v>9000</v>
      </c>
      <c r="W69">
        <v>64170</v>
      </c>
      <c r="X69">
        <v>9000</v>
      </c>
      <c r="Y69">
        <v>9000</v>
      </c>
    </row>
    <row r="70" spans="1:27" x14ac:dyDescent="0.25">
      <c r="A70" t="s">
        <v>56</v>
      </c>
      <c r="B70" t="s">
        <v>556</v>
      </c>
      <c r="C70" t="s">
        <v>1859</v>
      </c>
      <c r="D70" t="s">
        <v>585</v>
      </c>
      <c r="E70" t="s">
        <v>1167</v>
      </c>
      <c r="F70" t="s">
        <v>571</v>
      </c>
      <c r="G70" s="204"/>
      <c r="L70">
        <v>134</v>
      </c>
      <c r="M70">
        <v>17158.7</v>
      </c>
      <c r="N70">
        <v>44</v>
      </c>
      <c r="O70">
        <v>5634.2</v>
      </c>
      <c r="P70">
        <v>44</v>
      </c>
      <c r="Q70">
        <v>178</v>
      </c>
      <c r="R70">
        <v>22792.9</v>
      </c>
      <c r="S70">
        <v>128.05000000000001</v>
      </c>
      <c r="T70">
        <v>0</v>
      </c>
      <c r="U70">
        <v>0</v>
      </c>
      <c r="V70">
        <v>294</v>
      </c>
      <c r="W70">
        <v>37646.700000000004</v>
      </c>
      <c r="X70">
        <v>294</v>
      </c>
      <c r="Y70">
        <v>294</v>
      </c>
    </row>
    <row r="71" spans="1:27" x14ac:dyDescent="0.25">
      <c r="A71" t="s">
        <v>296</v>
      </c>
      <c r="B71" t="s">
        <v>556</v>
      </c>
      <c r="C71" t="s">
        <v>1859</v>
      </c>
      <c r="D71" t="s">
        <v>609</v>
      </c>
      <c r="E71" t="s">
        <v>1167</v>
      </c>
      <c r="F71" t="s">
        <v>571</v>
      </c>
      <c r="G71" s="204"/>
      <c r="L71">
        <v>0</v>
      </c>
      <c r="M71">
        <v>0</v>
      </c>
      <c r="N71">
        <v>16</v>
      </c>
      <c r="O71">
        <v>792</v>
      </c>
      <c r="P71">
        <v>16</v>
      </c>
      <c r="Q71">
        <v>16</v>
      </c>
      <c r="R71">
        <v>792</v>
      </c>
      <c r="S71">
        <v>49.5</v>
      </c>
      <c r="T71">
        <v>0</v>
      </c>
      <c r="U71">
        <v>0</v>
      </c>
      <c r="V71">
        <v>59</v>
      </c>
      <c r="W71">
        <v>2920.5</v>
      </c>
      <c r="X71">
        <v>59</v>
      </c>
      <c r="Y71">
        <v>59</v>
      </c>
    </row>
    <row r="72" spans="1:27" x14ac:dyDescent="0.25">
      <c r="A72" t="s">
        <v>302</v>
      </c>
      <c r="B72" t="s">
        <v>556</v>
      </c>
      <c r="C72" t="s">
        <v>1859</v>
      </c>
      <c r="D72" t="s">
        <v>610</v>
      </c>
      <c r="E72" t="s">
        <v>1230</v>
      </c>
      <c r="F72" t="s">
        <v>571</v>
      </c>
      <c r="G72" s="204"/>
      <c r="H72">
        <v>825</v>
      </c>
      <c r="K72">
        <v>61964.7</v>
      </c>
      <c r="L72">
        <v>530</v>
      </c>
      <c r="M72">
        <v>49385.4</v>
      </c>
      <c r="N72">
        <v>1160</v>
      </c>
      <c r="O72">
        <v>108088.8</v>
      </c>
      <c r="P72">
        <v>1160</v>
      </c>
      <c r="Q72">
        <v>1690</v>
      </c>
      <c r="T72">
        <v>0</v>
      </c>
      <c r="U72">
        <v>0</v>
      </c>
      <c r="V72">
        <v>1535</v>
      </c>
      <c r="W72">
        <v>143031.29999999999</v>
      </c>
      <c r="X72">
        <v>1535</v>
      </c>
      <c r="Y72">
        <v>1535</v>
      </c>
    </row>
    <row r="73" spans="1:27" x14ac:dyDescent="0.25">
      <c r="A73" t="s">
        <v>56</v>
      </c>
      <c r="B73" t="s">
        <v>556</v>
      </c>
      <c r="C73" t="s">
        <v>1859</v>
      </c>
      <c r="D73" t="s">
        <v>585</v>
      </c>
      <c r="E73" t="s">
        <v>1308</v>
      </c>
      <c r="F73" t="s">
        <v>571</v>
      </c>
      <c r="G73" s="204"/>
      <c r="J73">
        <v>300</v>
      </c>
      <c r="K73">
        <v>38415</v>
      </c>
      <c r="L73">
        <v>1200</v>
      </c>
      <c r="M73">
        <v>153660</v>
      </c>
      <c r="N73">
        <v>300</v>
      </c>
      <c r="O73">
        <v>38415</v>
      </c>
      <c r="P73">
        <v>300</v>
      </c>
      <c r="Q73">
        <v>1500</v>
      </c>
      <c r="T73">
        <v>0</v>
      </c>
      <c r="U73">
        <v>0</v>
      </c>
      <c r="V73">
        <v>900</v>
      </c>
      <c r="W73">
        <v>115245</v>
      </c>
      <c r="X73">
        <v>900</v>
      </c>
      <c r="Y73">
        <v>900</v>
      </c>
    </row>
    <row r="74" spans="1:27" x14ac:dyDescent="0.25">
      <c r="A74" t="s">
        <v>879</v>
      </c>
      <c r="B74" t="s">
        <v>562</v>
      </c>
      <c r="C74" t="s">
        <v>1858</v>
      </c>
      <c r="D74" t="s">
        <v>639</v>
      </c>
      <c r="E74" t="s">
        <v>1231</v>
      </c>
      <c r="F74" t="s">
        <v>571</v>
      </c>
      <c r="G74" s="204"/>
      <c r="L74">
        <v>14</v>
      </c>
      <c r="M74">
        <v>11900</v>
      </c>
      <c r="N74">
        <v>30</v>
      </c>
      <c r="O74">
        <v>30888</v>
      </c>
      <c r="P74">
        <v>30</v>
      </c>
      <c r="Q74">
        <v>44</v>
      </c>
      <c r="R74">
        <v>42788</v>
      </c>
      <c r="S74">
        <v>972.4545454545455</v>
      </c>
      <c r="T74">
        <v>0</v>
      </c>
      <c r="U74">
        <v>0</v>
      </c>
      <c r="V74">
        <v>70</v>
      </c>
      <c r="W74">
        <v>72072</v>
      </c>
      <c r="X74">
        <v>70</v>
      </c>
      <c r="Y74">
        <v>70</v>
      </c>
    </row>
    <row r="75" spans="1:27" x14ac:dyDescent="0.25">
      <c r="A75" t="s">
        <v>30</v>
      </c>
      <c r="B75" t="s">
        <v>562</v>
      </c>
      <c r="C75" t="s">
        <v>1860</v>
      </c>
      <c r="D75" t="s">
        <v>660</v>
      </c>
      <c r="E75" t="s">
        <v>1250</v>
      </c>
      <c r="F75" t="s">
        <v>571</v>
      </c>
      <c r="G75" s="204"/>
      <c r="J75">
        <v>30</v>
      </c>
      <c r="K75">
        <v>10500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7" x14ac:dyDescent="0.25">
      <c r="A76" t="s">
        <v>65</v>
      </c>
      <c r="B76" t="s">
        <v>566</v>
      </c>
      <c r="C76" t="s">
        <v>920</v>
      </c>
      <c r="D76" t="s">
        <v>920</v>
      </c>
      <c r="E76" t="s">
        <v>1242</v>
      </c>
      <c r="F76" t="s">
        <v>571</v>
      </c>
      <c r="G76" s="204"/>
      <c r="L76">
        <v>7500</v>
      </c>
      <c r="M76">
        <v>72225</v>
      </c>
      <c r="N76">
        <v>6000</v>
      </c>
      <c r="O76">
        <v>57780</v>
      </c>
      <c r="P76">
        <v>6000</v>
      </c>
      <c r="Q76">
        <v>13500</v>
      </c>
      <c r="R76">
        <v>130005</v>
      </c>
      <c r="S76">
        <v>9.6300000000000008</v>
      </c>
      <c r="T76">
        <v>0</v>
      </c>
      <c r="U76">
        <v>0</v>
      </c>
      <c r="V76">
        <v>18000</v>
      </c>
      <c r="W76">
        <v>173340</v>
      </c>
      <c r="X76">
        <v>18000</v>
      </c>
      <c r="Y76">
        <v>18000</v>
      </c>
    </row>
    <row r="77" spans="1:27" x14ac:dyDescent="0.25">
      <c r="A77" t="s">
        <v>66</v>
      </c>
      <c r="B77" t="s">
        <v>556</v>
      </c>
      <c r="C77" t="s">
        <v>1859</v>
      </c>
      <c r="D77" t="s">
        <v>587</v>
      </c>
      <c r="E77" t="s">
        <v>1308</v>
      </c>
      <c r="F77" t="s">
        <v>571</v>
      </c>
      <c r="G77" s="204"/>
      <c r="L77">
        <v>40</v>
      </c>
      <c r="M77">
        <v>5926.8</v>
      </c>
      <c r="N77">
        <v>0</v>
      </c>
      <c r="O77">
        <v>0</v>
      </c>
      <c r="P77">
        <v>0</v>
      </c>
      <c r="Q77">
        <v>40</v>
      </c>
      <c r="R77">
        <v>5926.8</v>
      </c>
      <c r="S77">
        <v>148.17000000000002</v>
      </c>
      <c r="T77">
        <v>0</v>
      </c>
      <c r="U77">
        <v>0</v>
      </c>
      <c r="V77">
        <v>40</v>
      </c>
      <c r="W77">
        <v>7099.2</v>
      </c>
      <c r="X77">
        <v>40</v>
      </c>
      <c r="Y77">
        <v>40</v>
      </c>
      <c r="Z77">
        <v>7099.2</v>
      </c>
      <c r="AA77">
        <v>177.48</v>
      </c>
    </row>
    <row r="78" spans="1:27" x14ac:dyDescent="0.25">
      <c r="A78" t="s">
        <v>126</v>
      </c>
      <c r="B78" t="s">
        <v>556</v>
      </c>
      <c r="C78" t="s">
        <v>1859</v>
      </c>
      <c r="D78" t="s">
        <v>603</v>
      </c>
      <c r="E78" t="s">
        <v>1169</v>
      </c>
      <c r="F78" t="s">
        <v>578</v>
      </c>
      <c r="G78" s="204">
        <v>46752</v>
      </c>
      <c r="H78">
        <v>200</v>
      </c>
      <c r="I78">
        <v>157499</v>
      </c>
      <c r="L78">
        <v>217</v>
      </c>
      <c r="M78">
        <v>179161.71</v>
      </c>
      <c r="N78">
        <v>83</v>
      </c>
      <c r="O78">
        <v>68527.290000000008</v>
      </c>
      <c r="P78">
        <v>83</v>
      </c>
      <c r="Q78">
        <v>300</v>
      </c>
      <c r="T78">
        <v>0</v>
      </c>
      <c r="U78">
        <v>0</v>
      </c>
      <c r="V78">
        <v>406</v>
      </c>
      <c r="W78">
        <v>335205.78000000003</v>
      </c>
      <c r="X78">
        <v>406</v>
      </c>
      <c r="Y78">
        <v>406</v>
      </c>
    </row>
    <row r="79" spans="1:27" x14ac:dyDescent="0.25">
      <c r="A79" t="s">
        <v>402</v>
      </c>
      <c r="B79" t="s">
        <v>556</v>
      </c>
      <c r="C79" t="s">
        <v>555</v>
      </c>
      <c r="D79" t="s">
        <v>620</v>
      </c>
      <c r="E79" t="s">
        <v>1255</v>
      </c>
      <c r="F79" t="s">
        <v>571</v>
      </c>
      <c r="G79" s="204"/>
      <c r="J79">
        <v>5</v>
      </c>
      <c r="K79">
        <v>3925</v>
      </c>
      <c r="L79">
        <v>181</v>
      </c>
      <c r="M79">
        <v>141252.5</v>
      </c>
      <c r="N79">
        <v>120</v>
      </c>
      <c r="O79">
        <v>94200</v>
      </c>
      <c r="P79">
        <v>120</v>
      </c>
      <c r="Q79">
        <v>301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7" x14ac:dyDescent="0.25">
      <c r="A80" t="s">
        <v>58</v>
      </c>
      <c r="B80" t="s">
        <v>554</v>
      </c>
      <c r="C80" t="s">
        <v>1859</v>
      </c>
      <c r="D80" t="s">
        <v>635</v>
      </c>
      <c r="E80" t="s">
        <v>1111</v>
      </c>
      <c r="F80" t="s">
        <v>571</v>
      </c>
      <c r="G80" s="204"/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T80">
        <v>0</v>
      </c>
      <c r="U80">
        <v>0</v>
      </c>
      <c r="V80">
        <v>750</v>
      </c>
      <c r="W80">
        <v>0.05</v>
      </c>
      <c r="X80">
        <v>0</v>
      </c>
      <c r="Y80">
        <v>0</v>
      </c>
      <c r="Z80">
        <v>0.05</v>
      </c>
    </row>
    <row r="81" spans="1:27" x14ac:dyDescent="0.25">
      <c r="A81" t="s">
        <v>840</v>
      </c>
      <c r="B81" t="s">
        <v>554</v>
      </c>
      <c r="C81" t="s">
        <v>555</v>
      </c>
      <c r="D81" t="s">
        <v>645</v>
      </c>
      <c r="E81" t="s">
        <v>1256</v>
      </c>
      <c r="F81" t="s">
        <v>571</v>
      </c>
      <c r="G81" s="204"/>
      <c r="L81">
        <v>0</v>
      </c>
      <c r="M81">
        <v>0</v>
      </c>
      <c r="N81">
        <v>1010</v>
      </c>
      <c r="O81">
        <v>870710.9</v>
      </c>
      <c r="P81">
        <v>1010</v>
      </c>
      <c r="Q81">
        <v>1010</v>
      </c>
      <c r="T81">
        <v>0</v>
      </c>
      <c r="U81">
        <v>0</v>
      </c>
      <c r="V81">
        <v>380</v>
      </c>
      <c r="W81">
        <v>327594.2</v>
      </c>
      <c r="X81">
        <v>380</v>
      </c>
      <c r="Y81">
        <v>380</v>
      </c>
      <c r="Z81">
        <v>327594.2</v>
      </c>
      <c r="AA81">
        <v>862.09</v>
      </c>
    </row>
    <row r="82" spans="1:27" x14ac:dyDescent="0.25">
      <c r="A82" t="s">
        <v>1123</v>
      </c>
      <c r="B82" t="s">
        <v>565</v>
      </c>
      <c r="C82" t="s">
        <v>1859</v>
      </c>
      <c r="D82" t="s">
        <v>608</v>
      </c>
      <c r="E82" t="s">
        <v>1111</v>
      </c>
      <c r="F82" t="s">
        <v>571</v>
      </c>
      <c r="G82" s="204"/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T82">
        <v>0</v>
      </c>
      <c r="U82">
        <v>0</v>
      </c>
      <c r="V82">
        <v>750</v>
      </c>
      <c r="W82">
        <v>0.05</v>
      </c>
      <c r="X82">
        <v>0</v>
      </c>
      <c r="Y82">
        <v>0</v>
      </c>
      <c r="Z82">
        <v>0.05</v>
      </c>
    </row>
    <row r="83" spans="1:27" x14ac:dyDescent="0.25">
      <c r="A83" t="s">
        <v>62</v>
      </c>
      <c r="B83" t="s">
        <v>556</v>
      </c>
      <c r="C83" t="s">
        <v>1859</v>
      </c>
      <c r="D83" t="s">
        <v>613</v>
      </c>
      <c r="E83" t="s">
        <v>1167</v>
      </c>
      <c r="F83" t="s">
        <v>571</v>
      </c>
      <c r="G83" s="204"/>
      <c r="L83">
        <v>271</v>
      </c>
      <c r="M83">
        <v>21612.25</v>
      </c>
      <c r="N83">
        <v>0</v>
      </c>
      <c r="O83">
        <v>0</v>
      </c>
      <c r="P83">
        <v>0</v>
      </c>
      <c r="Q83">
        <v>271</v>
      </c>
      <c r="R83">
        <v>21612.25</v>
      </c>
      <c r="S83">
        <v>79.75</v>
      </c>
      <c r="T83">
        <v>0</v>
      </c>
      <c r="U83">
        <v>0</v>
      </c>
      <c r="V83">
        <v>750</v>
      </c>
      <c r="W83">
        <v>59812.5</v>
      </c>
      <c r="X83">
        <v>750</v>
      </c>
      <c r="Y83">
        <v>750</v>
      </c>
    </row>
    <row r="84" spans="1:27" x14ac:dyDescent="0.25">
      <c r="A84" t="s">
        <v>30</v>
      </c>
      <c r="B84" t="s">
        <v>562</v>
      </c>
      <c r="C84" t="s">
        <v>1860</v>
      </c>
      <c r="D84" t="s">
        <v>660</v>
      </c>
      <c r="E84" t="s">
        <v>1212</v>
      </c>
      <c r="F84" t="s">
        <v>571</v>
      </c>
      <c r="G84" s="204"/>
      <c r="J84">
        <v>50</v>
      </c>
      <c r="K84">
        <v>16556.5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7" x14ac:dyDescent="0.25">
      <c r="A85" t="s">
        <v>1123</v>
      </c>
      <c r="B85" t="s">
        <v>565</v>
      </c>
      <c r="C85" t="s">
        <v>1859</v>
      </c>
      <c r="D85" t="s">
        <v>608</v>
      </c>
      <c r="E85" t="s">
        <v>1305</v>
      </c>
      <c r="F85" t="s">
        <v>571</v>
      </c>
      <c r="G85" s="204"/>
      <c r="L85">
        <v>694</v>
      </c>
      <c r="M85">
        <v>92378.34</v>
      </c>
      <c r="N85">
        <v>0</v>
      </c>
      <c r="O85">
        <v>0</v>
      </c>
      <c r="P85">
        <v>0</v>
      </c>
      <c r="Q85">
        <v>694</v>
      </c>
      <c r="R85">
        <v>92378.34</v>
      </c>
      <c r="S85">
        <v>133.10999999999999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7" x14ac:dyDescent="0.25">
      <c r="A86" t="s">
        <v>852</v>
      </c>
      <c r="B86" t="s">
        <v>565</v>
      </c>
      <c r="C86" t="s">
        <v>555</v>
      </c>
      <c r="D86" t="s">
        <v>620</v>
      </c>
      <c r="E86" t="s">
        <v>1256</v>
      </c>
      <c r="F86" t="s">
        <v>571</v>
      </c>
      <c r="G86" s="204"/>
      <c r="L86">
        <v>0</v>
      </c>
      <c r="M86">
        <v>0</v>
      </c>
      <c r="N86">
        <v>262</v>
      </c>
      <c r="O86">
        <v>374942.5</v>
      </c>
      <c r="P86">
        <v>262</v>
      </c>
      <c r="Q86">
        <v>262</v>
      </c>
      <c r="R86">
        <v>374942.5</v>
      </c>
      <c r="S86">
        <v>1431.0782442748091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7" x14ac:dyDescent="0.25">
      <c r="A87" t="s">
        <v>110</v>
      </c>
      <c r="B87" t="s">
        <v>556</v>
      </c>
      <c r="C87" t="s">
        <v>1859</v>
      </c>
      <c r="D87" t="s">
        <v>603</v>
      </c>
      <c r="E87" t="s">
        <v>1169</v>
      </c>
      <c r="F87" t="s">
        <v>578</v>
      </c>
      <c r="G87" s="204">
        <v>46752</v>
      </c>
      <c r="H87">
        <v>1407</v>
      </c>
      <c r="I87">
        <v>150034.70000000001</v>
      </c>
      <c r="L87">
        <v>1400</v>
      </c>
      <c r="M87">
        <v>170968</v>
      </c>
      <c r="N87">
        <v>400</v>
      </c>
      <c r="O87">
        <v>45644</v>
      </c>
      <c r="P87">
        <v>400</v>
      </c>
      <c r="Q87">
        <v>1800</v>
      </c>
      <c r="T87">
        <v>0</v>
      </c>
      <c r="U87">
        <v>0</v>
      </c>
      <c r="V87">
        <v>2812</v>
      </c>
      <c r="W87">
        <v>343401.44</v>
      </c>
      <c r="X87">
        <v>2812</v>
      </c>
      <c r="Y87">
        <v>2812</v>
      </c>
    </row>
    <row r="88" spans="1:27" x14ac:dyDescent="0.25">
      <c r="A88" t="s">
        <v>1123</v>
      </c>
      <c r="B88" t="s">
        <v>565</v>
      </c>
      <c r="C88" t="s">
        <v>1859</v>
      </c>
      <c r="D88" t="s">
        <v>608</v>
      </c>
      <c r="E88" t="s">
        <v>1157</v>
      </c>
      <c r="F88" t="s">
        <v>571</v>
      </c>
      <c r="G88" s="204"/>
      <c r="J88">
        <v>254</v>
      </c>
      <c r="K88">
        <v>40203.120000000003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7" x14ac:dyDescent="0.25">
      <c r="A89" t="s">
        <v>316</v>
      </c>
      <c r="B89" t="s">
        <v>556</v>
      </c>
      <c r="C89" t="s">
        <v>1859</v>
      </c>
      <c r="D89" t="s">
        <v>581</v>
      </c>
      <c r="E89" t="s">
        <v>1218</v>
      </c>
      <c r="F89" t="s">
        <v>571</v>
      </c>
      <c r="G89" s="204"/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T89">
        <v>0</v>
      </c>
      <c r="U89">
        <v>0</v>
      </c>
      <c r="V89">
        <v>1200</v>
      </c>
      <c r="W89">
        <v>146676</v>
      </c>
      <c r="X89">
        <v>1200</v>
      </c>
      <c r="Y89">
        <v>1200</v>
      </c>
      <c r="Z89">
        <v>146676</v>
      </c>
      <c r="AA89">
        <v>122.23</v>
      </c>
    </row>
    <row r="90" spans="1:27" x14ac:dyDescent="0.25">
      <c r="A90" t="s">
        <v>314</v>
      </c>
      <c r="B90" t="s">
        <v>556</v>
      </c>
      <c r="C90" t="s">
        <v>1859</v>
      </c>
      <c r="D90" t="s">
        <v>581</v>
      </c>
      <c r="E90" t="s">
        <v>1346</v>
      </c>
      <c r="F90" t="s">
        <v>571</v>
      </c>
      <c r="G90" s="204"/>
      <c r="H90">
        <v>45</v>
      </c>
      <c r="I90">
        <v>14006.25</v>
      </c>
      <c r="L90">
        <v>138</v>
      </c>
      <c r="M90">
        <v>44241.42</v>
      </c>
      <c r="N90">
        <v>0</v>
      </c>
      <c r="O90">
        <v>0</v>
      </c>
      <c r="P90">
        <v>0</v>
      </c>
      <c r="Q90">
        <v>138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7" x14ac:dyDescent="0.25">
      <c r="A91" t="s">
        <v>407</v>
      </c>
      <c r="B91" t="s">
        <v>554</v>
      </c>
      <c r="C91" t="s">
        <v>555</v>
      </c>
      <c r="D91" t="s">
        <v>583</v>
      </c>
      <c r="E91" t="s">
        <v>1258</v>
      </c>
      <c r="F91" t="s">
        <v>571</v>
      </c>
      <c r="G91" s="204"/>
      <c r="L91">
        <v>0</v>
      </c>
      <c r="M91">
        <v>0</v>
      </c>
      <c r="N91">
        <v>1176</v>
      </c>
      <c r="O91">
        <v>70665.84</v>
      </c>
      <c r="P91">
        <v>1176</v>
      </c>
      <c r="Q91">
        <v>1176</v>
      </c>
      <c r="T91">
        <v>0</v>
      </c>
      <c r="U91">
        <v>0</v>
      </c>
      <c r="V91">
        <v>772</v>
      </c>
      <c r="W91">
        <v>46389.48</v>
      </c>
      <c r="X91">
        <v>772</v>
      </c>
      <c r="Y91">
        <v>772</v>
      </c>
      <c r="Z91">
        <v>46389.479999999996</v>
      </c>
      <c r="AA91">
        <v>60.089999999999996</v>
      </c>
    </row>
    <row r="92" spans="1:27" x14ac:dyDescent="0.25">
      <c r="A92" t="s">
        <v>390</v>
      </c>
      <c r="B92" t="s">
        <v>556</v>
      </c>
      <c r="C92" t="s">
        <v>555</v>
      </c>
      <c r="D92" t="s">
        <v>600</v>
      </c>
      <c r="E92" t="s">
        <v>1258</v>
      </c>
      <c r="F92" t="s">
        <v>571</v>
      </c>
      <c r="G92" s="204"/>
      <c r="L92">
        <v>0</v>
      </c>
      <c r="M92">
        <v>0</v>
      </c>
      <c r="N92">
        <v>836</v>
      </c>
      <c r="O92">
        <v>302372.83999999997</v>
      </c>
      <c r="P92">
        <v>836</v>
      </c>
      <c r="Q92">
        <v>836</v>
      </c>
      <c r="R92">
        <v>302372.83999999997</v>
      </c>
      <c r="S92">
        <v>361.68999999999994</v>
      </c>
      <c r="T92">
        <v>0</v>
      </c>
      <c r="U92">
        <v>0</v>
      </c>
      <c r="V92">
        <v>1004</v>
      </c>
      <c r="W92">
        <v>363136.76</v>
      </c>
      <c r="X92">
        <v>1004</v>
      </c>
      <c r="Y92">
        <v>1004</v>
      </c>
    </row>
    <row r="93" spans="1:27" x14ac:dyDescent="0.25">
      <c r="A93" t="s">
        <v>1260</v>
      </c>
      <c r="B93" t="s">
        <v>565</v>
      </c>
      <c r="C93" t="s">
        <v>555</v>
      </c>
      <c r="D93" t="s">
        <v>591</v>
      </c>
      <c r="E93" t="s">
        <v>1258</v>
      </c>
      <c r="F93" t="s">
        <v>571</v>
      </c>
      <c r="G93" s="204"/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T93">
        <v>0</v>
      </c>
      <c r="U93">
        <v>0</v>
      </c>
      <c r="V93">
        <v>225</v>
      </c>
      <c r="W93">
        <v>175259.25</v>
      </c>
      <c r="X93">
        <v>225</v>
      </c>
      <c r="Y93">
        <v>225</v>
      </c>
      <c r="Z93">
        <v>175259.25</v>
      </c>
      <c r="AA93">
        <v>778.93</v>
      </c>
    </row>
    <row r="94" spans="1:27" x14ac:dyDescent="0.25">
      <c r="A94" t="s">
        <v>58</v>
      </c>
      <c r="B94" t="s">
        <v>554</v>
      </c>
      <c r="C94" t="s">
        <v>1859</v>
      </c>
      <c r="D94" t="s">
        <v>635</v>
      </c>
      <c r="E94" t="s">
        <v>1305</v>
      </c>
      <c r="F94" t="s">
        <v>571</v>
      </c>
      <c r="G94" s="204"/>
      <c r="L94">
        <v>788</v>
      </c>
      <c r="M94">
        <v>104890.68000000001</v>
      </c>
      <c r="N94">
        <v>0</v>
      </c>
      <c r="O94">
        <v>0</v>
      </c>
      <c r="P94">
        <v>0</v>
      </c>
      <c r="Q94">
        <v>788</v>
      </c>
      <c r="R94">
        <v>104890.68000000001</v>
      </c>
      <c r="S94">
        <v>133.11000000000001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7" x14ac:dyDescent="0.25">
      <c r="A95" t="s">
        <v>58</v>
      </c>
      <c r="B95" t="s">
        <v>554</v>
      </c>
      <c r="C95" t="s">
        <v>1859</v>
      </c>
      <c r="D95" t="s">
        <v>635</v>
      </c>
      <c r="E95" t="s">
        <v>1157</v>
      </c>
      <c r="F95" t="s">
        <v>571</v>
      </c>
      <c r="G95" s="204"/>
      <c r="L95">
        <v>336</v>
      </c>
      <c r="M95">
        <v>65516.639999999999</v>
      </c>
      <c r="N95">
        <v>0</v>
      </c>
      <c r="O95">
        <v>0</v>
      </c>
      <c r="P95">
        <v>0</v>
      </c>
      <c r="Q95">
        <v>336</v>
      </c>
      <c r="R95">
        <v>65516.639999999999</v>
      </c>
      <c r="S95">
        <v>194.99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7" x14ac:dyDescent="0.25">
      <c r="A96" t="s">
        <v>12</v>
      </c>
      <c r="B96" t="s">
        <v>556</v>
      </c>
      <c r="C96" t="s">
        <v>564</v>
      </c>
      <c r="D96" t="s">
        <v>614</v>
      </c>
      <c r="E96" t="s">
        <v>1420</v>
      </c>
      <c r="F96" t="s">
        <v>578</v>
      </c>
      <c r="G96" s="204">
        <v>46418</v>
      </c>
      <c r="L96">
        <v>112</v>
      </c>
      <c r="M96">
        <v>200032</v>
      </c>
      <c r="N96">
        <v>0</v>
      </c>
      <c r="O96">
        <v>0</v>
      </c>
      <c r="P96">
        <v>0</v>
      </c>
      <c r="Q96">
        <v>112</v>
      </c>
      <c r="R96">
        <v>200032</v>
      </c>
      <c r="S96">
        <v>1786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7" x14ac:dyDescent="0.25">
      <c r="A97" t="s">
        <v>93</v>
      </c>
      <c r="B97" t="s">
        <v>566</v>
      </c>
      <c r="C97" t="s">
        <v>920</v>
      </c>
      <c r="D97" t="s">
        <v>920</v>
      </c>
      <c r="E97" t="s">
        <v>1136</v>
      </c>
      <c r="F97" t="s">
        <v>571</v>
      </c>
      <c r="G97" s="204"/>
      <c r="L97">
        <v>150</v>
      </c>
      <c r="M97">
        <v>1524</v>
      </c>
      <c r="N97">
        <v>0</v>
      </c>
      <c r="O97">
        <v>0</v>
      </c>
      <c r="P97">
        <v>0</v>
      </c>
      <c r="Q97">
        <v>150</v>
      </c>
      <c r="R97">
        <v>1524</v>
      </c>
      <c r="S97">
        <v>10.16</v>
      </c>
      <c r="T97">
        <v>0</v>
      </c>
      <c r="U97">
        <v>0</v>
      </c>
      <c r="V97">
        <v>310</v>
      </c>
      <c r="W97">
        <v>3149.6</v>
      </c>
      <c r="X97">
        <v>310</v>
      </c>
      <c r="Y97">
        <v>310</v>
      </c>
    </row>
    <row r="98" spans="1:27" x14ac:dyDescent="0.25">
      <c r="A98" t="s">
        <v>295</v>
      </c>
      <c r="B98" t="s">
        <v>556</v>
      </c>
      <c r="C98" t="s">
        <v>1859</v>
      </c>
      <c r="D98" t="s">
        <v>618</v>
      </c>
      <c r="E98" t="s">
        <v>1221</v>
      </c>
      <c r="F98" t="s">
        <v>571</v>
      </c>
      <c r="G98" s="204"/>
      <c r="J98">
        <v>150</v>
      </c>
      <c r="K98">
        <v>8850</v>
      </c>
      <c r="L98">
        <v>350</v>
      </c>
      <c r="M98">
        <v>20650</v>
      </c>
      <c r="N98">
        <v>0</v>
      </c>
      <c r="O98">
        <v>0</v>
      </c>
      <c r="P98">
        <v>0</v>
      </c>
      <c r="Q98">
        <v>350</v>
      </c>
      <c r="T98">
        <v>0</v>
      </c>
      <c r="U98">
        <v>0</v>
      </c>
      <c r="V98">
        <v>700</v>
      </c>
      <c r="W98">
        <v>41300</v>
      </c>
      <c r="X98">
        <v>700</v>
      </c>
      <c r="Y98">
        <v>700</v>
      </c>
    </row>
    <row r="99" spans="1:27" x14ac:dyDescent="0.25">
      <c r="A99" t="s">
        <v>68</v>
      </c>
      <c r="B99" t="s">
        <v>556</v>
      </c>
      <c r="C99" t="s">
        <v>1859</v>
      </c>
      <c r="D99" t="s">
        <v>601</v>
      </c>
      <c r="E99" t="s">
        <v>1167</v>
      </c>
      <c r="F99" t="s">
        <v>571</v>
      </c>
      <c r="G99" s="204"/>
      <c r="J99">
        <v>62</v>
      </c>
      <c r="K99">
        <v>5181.9599999999991</v>
      </c>
      <c r="L99">
        <v>0</v>
      </c>
      <c r="M99">
        <v>0</v>
      </c>
      <c r="N99">
        <v>106</v>
      </c>
      <c r="O99">
        <v>8859.48</v>
      </c>
      <c r="P99">
        <v>106</v>
      </c>
      <c r="Q99">
        <v>106</v>
      </c>
      <c r="T99">
        <v>0</v>
      </c>
      <c r="U99">
        <v>0</v>
      </c>
      <c r="V99">
        <v>212</v>
      </c>
      <c r="W99">
        <v>17718.96</v>
      </c>
      <c r="X99">
        <v>212</v>
      </c>
      <c r="Y99">
        <v>212</v>
      </c>
    </row>
    <row r="100" spans="1:27" x14ac:dyDescent="0.25">
      <c r="A100" t="s">
        <v>296</v>
      </c>
      <c r="B100" t="s">
        <v>556</v>
      </c>
      <c r="C100" t="s">
        <v>1859</v>
      </c>
      <c r="D100" t="s">
        <v>609</v>
      </c>
      <c r="E100" t="s">
        <v>1152</v>
      </c>
      <c r="F100" t="s">
        <v>571</v>
      </c>
      <c r="G100" s="204"/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T100">
        <v>0</v>
      </c>
      <c r="U100">
        <v>0</v>
      </c>
      <c r="V100">
        <v>675</v>
      </c>
      <c r="W100">
        <v>33412.5</v>
      </c>
      <c r="X100">
        <v>675</v>
      </c>
      <c r="Y100">
        <v>675</v>
      </c>
      <c r="Z100">
        <v>33412.5</v>
      </c>
      <c r="AA100">
        <v>49.5</v>
      </c>
    </row>
    <row r="101" spans="1:27" x14ac:dyDescent="0.25">
      <c r="A101" t="s">
        <v>892</v>
      </c>
      <c r="B101" t="s">
        <v>554</v>
      </c>
      <c r="C101" t="s">
        <v>1859</v>
      </c>
      <c r="D101" t="s">
        <v>957</v>
      </c>
      <c r="E101" t="s">
        <v>1167</v>
      </c>
      <c r="F101" t="s">
        <v>571</v>
      </c>
      <c r="G101" s="204"/>
      <c r="L101">
        <v>0</v>
      </c>
      <c r="M101">
        <v>0</v>
      </c>
      <c r="N101">
        <v>36</v>
      </c>
      <c r="O101">
        <v>17251.560000000001</v>
      </c>
      <c r="P101">
        <v>36</v>
      </c>
      <c r="Q101">
        <v>36</v>
      </c>
      <c r="R101">
        <v>17251.560000000001</v>
      </c>
      <c r="S101">
        <v>479.21000000000004</v>
      </c>
      <c r="T101">
        <v>0</v>
      </c>
      <c r="U101">
        <v>0</v>
      </c>
      <c r="V101">
        <v>177</v>
      </c>
      <c r="W101">
        <v>84820.17</v>
      </c>
      <c r="X101">
        <v>177</v>
      </c>
      <c r="Y101">
        <v>177</v>
      </c>
    </row>
    <row r="102" spans="1:27" x14ac:dyDescent="0.25">
      <c r="A102" t="s">
        <v>9</v>
      </c>
      <c r="B102" t="s">
        <v>566</v>
      </c>
      <c r="C102" t="s">
        <v>920</v>
      </c>
      <c r="D102" t="s">
        <v>920</v>
      </c>
      <c r="E102" t="s">
        <v>1266</v>
      </c>
      <c r="F102" t="s">
        <v>571</v>
      </c>
      <c r="G102" s="204"/>
      <c r="L102">
        <v>240</v>
      </c>
      <c r="M102">
        <v>2503.1999999999998</v>
      </c>
      <c r="N102">
        <v>250</v>
      </c>
      <c r="O102">
        <v>2607.5</v>
      </c>
      <c r="P102">
        <v>250</v>
      </c>
      <c r="Q102">
        <v>490</v>
      </c>
      <c r="R102">
        <v>5110.7</v>
      </c>
      <c r="S102">
        <v>10.43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7" x14ac:dyDescent="0.25">
      <c r="A103" t="s">
        <v>15</v>
      </c>
      <c r="B103" t="s">
        <v>566</v>
      </c>
      <c r="C103" t="s">
        <v>920</v>
      </c>
      <c r="D103" t="s">
        <v>920</v>
      </c>
      <c r="E103" t="s">
        <v>1268</v>
      </c>
      <c r="F103" t="s">
        <v>571</v>
      </c>
      <c r="G103" s="204"/>
      <c r="H103">
        <v>292</v>
      </c>
      <c r="I103">
        <v>4415.76</v>
      </c>
      <c r="L103">
        <v>2840</v>
      </c>
      <c r="M103">
        <v>41407.199999999997</v>
      </c>
      <c r="N103">
        <v>2420</v>
      </c>
      <c r="O103">
        <v>35283.599999999999</v>
      </c>
      <c r="P103">
        <v>2420</v>
      </c>
      <c r="Q103">
        <v>5260</v>
      </c>
      <c r="T103">
        <v>0</v>
      </c>
      <c r="U103">
        <v>0</v>
      </c>
      <c r="V103">
        <v>1114</v>
      </c>
      <c r="W103">
        <v>16242.12</v>
      </c>
      <c r="X103">
        <v>1114</v>
      </c>
      <c r="Y103">
        <v>1114</v>
      </c>
    </row>
    <row r="104" spans="1:27" x14ac:dyDescent="0.25">
      <c r="A104" t="s">
        <v>84</v>
      </c>
      <c r="B104" t="s">
        <v>556</v>
      </c>
      <c r="C104" t="s">
        <v>1859</v>
      </c>
      <c r="D104" t="s">
        <v>596</v>
      </c>
      <c r="E104" t="s">
        <v>1158</v>
      </c>
      <c r="F104" t="s">
        <v>571</v>
      </c>
      <c r="G104" s="204"/>
      <c r="L104">
        <v>0</v>
      </c>
      <c r="M104">
        <v>0</v>
      </c>
      <c r="N104">
        <v>304</v>
      </c>
      <c r="O104">
        <v>24438.559999999998</v>
      </c>
      <c r="P104">
        <v>304</v>
      </c>
      <c r="Q104">
        <v>304</v>
      </c>
      <c r="R104">
        <v>24438.559999999998</v>
      </c>
      <c r="S104">
        <v>80.389999999999986</v>
      </c>
      <c r="T104">
        <v>0</v>
      </c>
      <c r="U104">
        <v>0</v>
      </c>
      <c r="V104">
        <v>976</v>
      </c>
      <c r="W104">
        <v>78460.639999999985</v>
      </c>
      <c r="X104">
        <v>976</v>
      </c>
      <c r="Y104">
        <v>976</v>
      </c>
    </row>
    <row r="105" spans="1:27" x14ac:dyDescent="0.25">
      <c r="A105" t="s">
        <v>531</v>
      </c>
      <c r="B105" t="s">
        <v>556</v>
      </c>
      <c r="C105" t="s">
        <v>1859</v>
      </c>
      <c r="D105" t="s">
        <v>592</v>
      </c>
      <c r="E105" t="s">
        <v>1343</v>
      </c>
      <c r="F105" t="s">
        <v>571</v>
      </c>
      <c r="G105" s="204"/>
      <c r="J105">
        <v>68</v>
      </c>
      <c r="K105">
        <v>17285.599999999999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7" x14ac:dyDescent="0.25">
      <c r="A106" t="s">
        <v>19</v>
      </c>
      <c r="B106" t="s">
        <v>567</v>
      </c>
      <c r="C106" t="s">
        <v>920</v>
      </c>
      <c r="D106" t="s">
        <v>920</v>
      </c>
      <c r="E106" t="s">
        <v>1216</v>
      </c>
      <c r="F106" t="s">
        <v>578</v>
      </c>
      <c r="G106" s="204">
        <v>46752</v>
      </c>
      <c r="H106">
        <v>500</v>
      </c>
      <c r="I106">
        <v>11230</v>
      </c>
      <c r="L106">
        <v>550</v>
      </c>
      <c r="M106">
        <v>12270.5</v>
      </c>
      <c r="N106">
        <v>0</v>
      </c>
      <c r="O106">
        <v>0</v>
      </c>
      <c r="P106">
        <v>0</v>
      </c>
      <c r="Q106">
        <v>550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7" x14ac:dyDescent="0.25">
      <c r="A107" t="s">
        <v>531</v>
      </c>
      <c r="B107" t="s">
        <v>556</v>
      </c>
      <c r="C107" t="s">
        <v>1859</v>
      </c>
      <c r="D107" t="s">
        <v>592</v>
      </c>
      <c r="E107" t="s">
        <v>1203</v>
      </c>
      <c r="F107" t="s">
        <v>571</v>
      </c>
      <c r="G107" s="204"/>
      <c r="H107">
        <v>10</v>
      </c>
      <c r="I107">
        <v>2542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7" x14ac:dyDescent="0.25">
      <c r="A108" t="s">
        <v>64</v>
      </c>
      <c r="B108" t="s">
        <v>556</v>
      </c>
      <c r="C108" t="s">
        <v>1859</v>
      </c>
      <c r="D108" t="s">
        <v>587</v>
      </c>
      <c r="E108" t="s">
        <v>1152</v>
      </c>
      <c r="F108" t="s">
        <v>571</v>
      </c>
      <c r="G108" s="204"/>
      <c r="J108">
        <v>200</v>
      </c>
      <c r="K108">
        <v>20496</v>
      </c>
      <c r="L108">
        <v>619</v>
      </c>
      <c r="M108">
        <v>63435.12</v>
      </c>
      <c r="N108">
        <v>256</v>
      </c>
      <c r="O108">
        <v>26234.880000000001</v>
      </c>
      <c r="P108">
        <v>256</v>
      </c>
      <c r="Q108">
        <v>875</v>
      </c>
      <c r="T108">
        <v>0</v>
      </c>
      <c r="U108">
        <v>0</v>
      </c>
      <c r="V108">
        <v>575</v>
      </c>
      <c r="W108">
        <v>58926</v>
      </c>
      <c r="X108">
        <v>575</v>
      </c>
      <c r="Y108">
        <v>575</v>
      </c>
    </row>
    <row r="109" spans="1:27" x14ac:dyDescent="0.25">
      <c r="A109" t="s">
        <v>60</v>
      </c>
      <c r="B109" t="s">
        <v>556</v>
      </c>
      <c r="C109" t="s">
        <v>1859</v>
      </c>
      <c r="D109" t="s">
        <v>607</v>
      </c>
      <c r="E109" t="s">
        <v>1466</v>
      </c>
      <c r="F109" t="s">
        <v>571</v>
      </c>
      <c r="G109" s="204"/>
      <c r="H109">
        <v>600</v>
      </c>
      <c r="I109">
        <v>83262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7" x14ac:dyDescent="0.25">
      <c r="A110" t="s">
        <v>34</v>
      </c>
      <c r="B110" t="s">
        <v>556</v>
      </c>
      <c r="C110" t="s">
        <v>1860</v>
      </c>
      <c r="D110" t="s">
        <v>589</v>
      </c>
      <c r="E110" t="s">
        <v>1289</v>
      </c>
      <c r="F110" t="s">
        <v>571</v>
      </c>
      <c r="G110" s="204"/>
      <c r="L110">
        <v>0</v>
      </c>
      <c r="M110">
        <v>0</v>
      </c>
      <c r="N110">
        <v>516</v>
      </c>
      <c r="O110">
        <v>69933.48</v>
      </c>
      <c r="P110">
        <v>516</v>
      </c>
      <c r="Q110">
        <v>516</v>
      </c>
      <c r="R110">
        <v>69933.48</v>
      </c>
      <c r="S110">
        <v>135.53</v>
      </c>
      <c r="T110">
        <v>0</v>
      </c>
      <c r="U110">
        <v>0</v>
      </c>
      <c r="V110">
        <v>1294</v>
      </c>
      <c r="W110">
        <v>175375.81999999998</v>
      </c>
      <c r="X110">
        <v>1294</v>
      </c>
      <c r="Y110">
        <v>1294</v>
      </c>
    </row>
    <row r="111" spans="1:27" x14ac:dyDescent="0.25">
      <c r="A111" t="s">
        <v>65</v>
      </c>
      <c r="B111" t="s">
        <v>566</v>
      </c>
      <c r="C111" t="s">
        <v>920</v>
      </c>
      <c r="D111" t="s">
        <v>920</v>
      </c>
      <c r="E111" t="s">
        <v>1216</v>
      </c>
      <c r="F111" t="s">
        <v>571</v>
      </c>
      <c r="G111" s="204"/>
      <c r="H111">
        <v>1009</v>
      </c>
      <c r="I111">
        <v>8304.07</v>
      </c>
      <c r="L111">
        <v>2000</v>
      </c>
      <c r="M111">
        <v>17540</v>
      </c>
      <c r="N111">
        <v>1100</v>
      </c>
      <c r="O111">
        <v>9647</v>
      </c>
      <c r="P111">
        <v>1100</v>
      </c>
      <c r="Q111">
        <v>3100</v>
      </c>
      <c r="T111">
        <v>0</v>
      </c>
      <c r="U111">
        <v>0</v>
      </c>
      <c r="V111">
        <v>1100</v>
      </c>
      <c r="W111">
        <v>9647</v>
      </c>
      <c r="X111">
        <v>1100</v>
      </c>
      <c r="Y111">
        <v>1100</v>
      </c>
    </row>
    <row r="112" spans="1:27" x14ac:dyDescent="0.25">
      <c r="A112" t="s">
        <v>60</v>
      </c>
      <c r="B112" t="s">
        <v>556</v>
      </c>
      <c r="C112" t="s">
        <v>1859</v>
      </c>
      <c r="D112" t="s">
        <v>607</v>
      </c>
      <c r="E112" t="s">
        <v>1357</v>
      </c>
      <c r="F112" t="s">
        <v>571</v>
      </c>
      <c r="G112" s="204"/>
      <c r="J112">
        <v>65</v>
      </c>
      <c r="K112">
        <v>9100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7" x14ac:dyDescent="0.25">
      <c r="A113" t="s">
        <v>6</v>
      </c>
      <c r="B113" t="s">
        <v>556</v>
      </c>
      <c r="C113" t="s">
        <v>564</v>
      </c>
      <c r="D113" t="s">
        <v>605</v>
      </c>
      <c r="E113" t="s">
        <v>1310</v>
      </c>
      <c r="F113" t="s">
        <v>571</v>
      </c>
      <c r="G113" s="204"/>
      <c r="J113">
        <v>39</v>
      </c>
      <c r="K113">
        <v>15672.54</v>
      </c>
      <c r="L113">
        <v>131</v>
      </c>
      <c r="M113">
        <v>56282.84</v>
      </c>
      <c r="N113">
        <v>50</v>
      </c>
      <c r="O113">
        <v>22125.5</v>
      </c>
      <c r="P113">
        <v>50</v>
      </c>
      <c r="Q113">
        <v>181</v>
      </c>
      <c r="T113">
        <v>0</v>
      </c>
      <c r="U113">
        <v>0</v>
      </c>
      <c r="V113">
        <v>100</v>
      </c>
      <c r="W113">
        <v>44251</v>
      </c>
      <c r="X113">
        <v>100</v>
      </c>
      <c r="Y113">
        <v>100</v>
      </c>
    </row>
    <row r="114" spans="1:27" x14ac:dyDescent="0.25">
      <c r="A114" t="s">
        <v>60</v>
      </c>
      <c r="B114" t="s">
        <v>556</v>
      </c>
      <c r="C114" t="s">
        <v>1859</v>
      </c>
      <c r="D114" t="s">
        <v>607</v>
      </c>
      <c r="E114" t="s">
        <v>1368</v>
      </c>
      <c r="F114" t="s">
        <v>571</v>
      </c>
      <c r="G114" s="204"/>
      <c r="J114">
        <v>100</v>
      </c>
      <c r="K114">
        <v>13877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7" x14ac:dyDescent="0.25">
      <c r="A115" t="s">
        <v>276</v>
      </c>
      <c r="B115" t="s">
        <v>562</v>
      </c>
      <c r="C115" t="s">
        <v>1860</v>
      </c>
      <c r="D115" t="s">
        <v>671</v>
      </c>
      <c r="E115" t="s">
        <v>1343</v>
      </c>
      <c r="F115" t="s">
        <v>571</v>
      </c>
      <c r="G115" s="204"/>
      <c r="L115">
        <v>1</v>
      </c>
      <c r="M115">
        <v>3000</v>
      </c>
      <c r="N115">
        <v>0</v>
      </c>
      <c r="O115">
        <v>0</v>
      </c>
      <c r="P115">
        <v>0</v>
      </c>
      <c r="Q115">
        <v>1</v>
      </c>
      <c r="R115">
        <v>3000</v>
      </c>
      <c r="S115">
        <v>3000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7" x14ac:dyDescent="0.25">
      <c r="A116" t="s">
        <v>60</v>
      </c>
      <c r="B116" t="s">
        <v>556</v>
      </c>
      <c r="C116" t="s">
        <v>1859</v>
      </c>
      <c r="D116" t="s">
        <v>607</v>
      </c>
      <c r="E116" t="s">
        <v>1295</v>
      </c>
      <c r="F116" t="s">
        <v>571</v>
      </c>
      <c r="G116" s="204"/>
      <c r="L116">
        <v>950</v>
      </c>
      <c r="M116">
        <v>108394.00000000001</v>
      </c>
      <c r="N116">
        <v>0</v>
      </c>
      <c r="O116">
        <v>0</v>
      </c>
      <c r="P116">
        <v>0</v>
      </c>
      <c r="Q116">
        <v>950</v>
      </c>
      <c r="R116">
        <v>108394.00000000001</v>
      </c>
      <c r="S116">
        <v>114.09894736842107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7" x14ac:dyDescent="0.25">
      <c r="A117" t="s">
        <v>736</v>
      </c>
      <c r="B117" t="s">
        <v>556</v>
      </c>
      <c r="C117" t="s">
        <v>1858</v>
      </c>
      <c r="D117" t="s">
        <v>584</v>
      </c>
      <c r="E117" t="s">
        <v>1304</v>
      </c>
      <c r="F117" t="s">
        <v>571</v>
      </c>
      <c r="G117" s="204"/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T117">
        <v>0</v>
      </c>
      <c r="U117">
        <v>0</v>
      </c>
      <c r="V117">
        <v>65</v>
      </c>
      <c r="W117">
        <v>18783.05</v>
      </c>
      <c r="X117">
        <v>65</v>
      </c>
      <c r="Y117">
        <v>65</v>
      </c>
      <c r="Z117">
        <v>18783.05</v>
      </c>
      <c r="AA117">
        <v>288.96999999999997</v>
      </c>
    </row>
    <row r="118" spans="1:27" x14ac:dyDescent="0.25">
      <c r="A118" t="s">
        <v>60</v>
      </c>
      <c r="B118" t="s">
        <v>556</v>
      </c>
      <c r="C118" t="s">
        <v>1859</v>
      </c>
      <c r="D118" t="s">
        <v>607</v>
      </c>
      <c r="E118" t="s">
        <v>1212</v>
      </c>
      <c r="F118" t="s">
        <v>571</v>
      </c>
      <c r="G118" s="204"/>
      <c r="J118">
        <v>400</v>
      </c>
      <c r="K118">
        <v>59096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7" x14ac:dyDescent="0.25">
      <c r="A119" t="s">
        <v>314</v>
      </c>
      <c r="B119" t="s">
        <v>556</v>
      </c>
      <c r="C119" t="s">
        <v>1859</v>
      </c>
      <c r="D119" t="s">
        <v>581</v>
      </c>
      <c r="E119" t="s">
        <v>1225</v>
      </c>
      <c r="F119" t="s">
        <v>571</v>
      </c>
      <c r="G119" s="204"/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T119">
        <v>0</v>
      </c>
      <c r="U119">
        <v>0</v>
      </c>
      <c r="V119">
        <v>142</v>
      </c>
      <c r="W119">
        <v>48874.559999999998</v>
      </c>
      <c r="X119">
        <v>142</v>
      </c>
      <c r="Y119">
        <v>142</v>
      </c>
      <c r="Z119">
        <v>48874.559999999998</v>
      </c>
      <c r="AA119">
        <v>344.1870422535211</v>
      </c>
    </row>
    <row r="120" spans="1:27" x14ac:dyDescent="0.25">
      <c r="A120" t="s">
        <v>1580</v>
      </c>
      <c r="B120" t="s">
        <v>565</v>
      </c>
      <c r="C120" t="s">
        <v>1859</v>
      </c>
      <c r="D120" t="s">
        <v>1861</v>
      </c>
      <c r="E120" t="s">
        <v>1696</v>
      </c>
      <c r="F120" t="s">
        <v>571</v>
      </c>
      <c r="G120" s="204"/>
      <c r="H120">
        <v>100</v>
      </c>
      <c r="I120">
        <v>20000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7" x14ac:dyDescent="0.25">
      <c r="A121" t="s">
        <v>310</v>
      </c>
      <c r="B121" t="s">
        <v>556</v>
      </c>
      <c r="C121" t="s">
        <v>1859</v>
      </c>
      <c r="D121" t="s">
        <v>581</v>
      </c>
      <c r="E121" t="s">
        <v>1287</v>
      </c>
      <c r="F121" t="s">
        <v>578</v>
      </c>
      <c r="G121" s="204">
        <v>46022</v>
      </c>
      <c r="J121">
        <v>30</v>
      </c>
      <c r="K121">
        <v>30357.599999999999</v>
      </c>
      <c r="L121">
        <v>30</v>
      </c>
      <c r="M121">
        <v>30357.599999999999</v>
      </c>
      <c r="N121">
        <v>30</v>
      </c>
      <c r="O121">
        <v>46074.6</v>
      </c>
      <c r="P121">
        <v>30</v>
      </c>
      <c r="Q121">
        <v>60</v>
      </c>
      <c r="T121">
        <v>0</v>
      </c>
      <c r="U121">
        <v>0</v>
      </c>
      <c r="V121">
        <v>30</v>
      </c>
      <c r="W121">
        <v>46074.6</v>
      </c>
      <c r="X121">
        <v>30</v>
      </c>
      <c r="Y121">
        <v>30</v>
      </c>
      <c r="Z121">
        <v>46074.6</v>
      </c>
      <c r="AA121">
        <v>1535.82</v>
      </c>
    </row>
    <row r="122" spans="1:27" x14ac:dyDescent="0.25">
      <c r="A122" t="s">
        <v>64</v>
      </c>
      <c r="B122" t="s">
        <v>556</v>
      </c>
      <c r="C122" t="s">
        <v>1859</v>
      </c>
      <c r="D122" t="s">
        <v>587</v>
      </c>
      <c r="E122" t="s">
        <v>1167</v>
      </c>
      <c r="F122" t="s">
        <v>571</v>
      </c>
      <c r="G122" s="204"/>
      <c r="H122">
        <v>71</v>
      </c>
      <c r="I122">
        <v>7276.0800000000008</v>
      </c>
      <c r="L122">
        <v>210</v>
      </c>
      <c r="M122">
        <v>21520.799999999999</v>
      </c>
      <c r="N122">
        <v>106</v>
      </c>
      <c r="O122">
        <v>10862.88</v>
      </c>
      <c r="P122">
        <v>106</v>
      </c>
      <c r="Q122">
        <v>316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7" x14ac:dyDescent="0.25">
      <c r="A123" t="s">
        <v>317</v>
      </c>
      <c r="B123" t="s">
        <v>565</v>
      </c>
      <c r="C123" t="s">
        <v>1859</v>
      </c>
      <c r="D123" t="s">
        <v>581</v>
      </c>
      <c r="E123" t="s">
        <v>1287</v>
      </c>
      <c r="F123" t="s">
        <v>578</v>
      </c>
      <c r="G123" s="204">
        <v>46022</v>
      </c>
      <c r="J123">
        <v>30</v>
      </c>
      <c r="K123">
        <v>28068.3</v>
      </c>
      <c r="L123">
        <v>30</v>
      </c>
      <c r="M123">
        <v>28068.300000000003</v>
      </c>
      <c r="N123">
        <v>30</v>
      </c>
      <c r="O123">
        <v>43563</v>
      </c>
      <c r="P123">
        <v>30</v>
      </c>
      <c r="Q123">
        <v>60</v>
      </c>
      <c r="T123">
        <v>0</v>
      </c>
      <c r="U123">
        <v>0</v>
      </c>
      <c r="V123">
        <v>30</v>
      </c>
      <c r="W123">
        <v>43563</v>
      </c>
      <c r="X123">
        <v>30</v>
      </c>
      <c r="Y123">
        <v>30</v>
      </c>
      <c r="Z123">
        <v>43563</v>
      </c>
      <c r="AA123">
        <v>1452.1</v>
      </c>
    </row>
    <row r="124" spans="1:27" x14ac:dyDescent="0.25">
      <c r="A124" t="s">
        <v>64</v>
      </c>
      <c r="B124" t="s">
        <v>556</v>
      </c>
      <c r="C124" t="s">
        <v>1859</v>
      </c>
      <c r="D124" t="s">
        <v>587</v>
      </c>
      <c r="E124" t="s">
        <v>1308</v>
      </c>
      <c r="F124" t="s">
        <v>571</v>
      </c>
      <c r="G124" s="204"/>
      <c r="L124">
        <v>210</v>
      </c>
      <c r="M124">
        <v>21520.799999999999</v>
      </c>
      <c r="N124">
        <v>50</v>
      </c>
      <c r="O124">
        <v>5124</v>
      </c>
      <c r="P124">
        <v>50</v>
      </c>
      <c r="Q124">
        <v>260</v>
      </c>
      <c r="T124">
        <v>0</v>
      </c>
      <c r="U124">
        <v>0</v>
      </c>
      <c r="V124">
        <v>150</v>
      </c>
      <c r="W124">
        <v>15372</v>
      </c>
      <c r="X124">
        <v>150</v>
      </c>
      <c r="Y124">
        <v>150</v>
      </c>
      <c r="Z124">
        <v>15372</v>
      </c>
      <c r="AA124">
        <v>102.48</v>
      </c>
    </row>
    <row r="125" spans="1:27" x14ac:dyDescent="0.25">
      <c r="A125" t="s">
        <v>96</v>
      </c>
      <c r="B125" t="s">
        <v>565</v>
      </c>
      <c r="C125" t="s">
        <v>1859</v>
      </c>
      <c r="D125" t="s">
        <v>613</v>
      </c>
      <c r="E125" t="s">
        <v>1138</v>
      </c>
      <c r="F125" t="s">
        <v>571</v>
      </c>
      <c r="G125" s="204"/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T125">
        <v>0</v>
      </c>
      <c r="U125">
        <v>0</v>
      </c>
      <c r="V125">
        <v>90</v>
      </c>
      <c r="W125">
        <v>23043.599999999999</v>
      </c>
      <c r="X125">
        <v>90</v>
      </c>
      <c r="Y125">
        <v>90</v>
      </c>
      <c r="Z125">
        <v>23043.599999999999</v>
      </c>
      <c r="AA125">
        <v>256.03999999999996</v>
      </c>
    </row>
    <row r="126" spans="1:27" x14ac:dyDescent="0.25">
      <c r="A126" t="s">
        <v>112</v>
      </c>
      <c r="B126" t="s">
        <v>556</v>
      </c>
      <c r="C126" t="s">
        <v>1859</v>
      </c>
      <c r="D126" t="s">
        <v>603</v>
      </c>
      <c r="E126" t="s">
        <v>1313</v>
      </c>
      <c r="F126" t="s">
        <v>571</v>
      </c>
      <c r="G126" s="204"/>
      <c r="L126">
        <v>160</v>
      </c>
      <c r="M126">
        <v>24787.199999999997</v>
      </c>
      <c r="N126">
        <v>220</v>
      </c>
      <c r="O126">
        <v>34082.400000000001</v>
      </c>
      <c r="P126">
        <v>220</v>
      </c>
      <c r="Q126">
        <v>380</v>
      </c>
      <c r="R126">
        <v>58869.599999999999</v>
      </c>
      <c r="S126">
        <v>154.91999999999999</v>
      </c>
      <c r="T126">
        <v>0</v>
      </c>
      <c r="U126">
        <v>0</v>
      </c>
      <c r="V126">
        <v>560</v>
      </c>
      <c r="W126">
        <v>86755.199999999997</v>
      </c>
      <c r="X126">
        <v>560</v>
      </c>
      <c r="Y126">
        <v>560</v>
      </c>
    </row>
    <row r="127" spans="1:27" x14ac:dyDescent="0.25">
      <c r="A127" t="s">
        <v>114</v>
      </c>
      <c r="B127" t="s">
        <v>556</v>
      </c>
      <c r="C127" t="s">
        <v>1859</v>
      </c>
      <c r="D127" t="s">
        <v>613</v>
      </c>
      <c r="E127" t="s">
        <v>1138</v>
      </c>
      <c r="F127" t="s">
        <v>571</v>
      </c>
      <c r="G127" s="204"/>
      <c r="H127">
        <v>3000</v>
      </c>
      <c r="I127">
        <v>98250</v>
      </c>
      <c r="L127">
        <v>4300</v>
      </c>
      <c r="M127">
        <v>142895</v>
      </c>
      <c r="N127">
        <v>1500</v>
      </c>
      <c r="O127">
        <v>50160</v>
      </c>
      <c r="P127">
        <v>1500</v>
      </c>
      <c r="Q127">
        <v>5800</v>
      </c>
      <c r="T127">
        <v>0</v>
      </c>
      <c r="U127">
        <v>0</v>
      </c>
      <c r="V127">
        <v>7500</v>
      </c>
      <c r="W127">
        <v>250800</v>
      </c>
      <c r="X127">
        <v>7500</v>
      </c>
      <c r="Y127">
        <v>7500</v>
      </c>
    </row>
    <row r="128" spans="1:27" x14ac:dyDescent="0.25">
      <c r="A128" t="s">
        <v>4</v>
      </c>
      <c r="B128" t="s">
        <v>554</v>
      </c>
      <c r="C128" t="s">
        <v>564</v>
      </c>
      <c r="D128" t="s">
        <v>632</v>
      </c>
      <c r="E128" t="s">
        <v>1164</v>
      </c>
      <c r="F128" t="s">
        <v>571</v>
      </c>
      <c r="G128" s="204"/>
      <c r="L128">
        <v>50</v>
      </c>
      <c r="M128">
        <v>34938</v>
      </c>
      <c r="N128">
        <v>0</v>
      </c>
      <c r="O128">
        <v>0</v>
      </c>
      <c r="P128">
        <v>0</v>
      </c>
      <c r="Q128">
        <v>50</v>
      </c>
      <c r="R128">
        <v>34938</v>
      </c>
      <c r="S128">
        <v>698.76</v>
      </c>
      <c r="T128">
        <v>0</v>
      </c>
      <c r="U128">
        <v>0</v>
      </c>
      <c r="V128">
        <v>50</v>
      </c>
      <c r="W128">
        <v>34938</v>
      </c>
      <c r="X128">
        <v>50</v>
      </c>
      <c r="Y128">
        <v>50</v>
      </c>
      <c r="Z128">
        <v>34938</v>
      </c>
      <c r="AA128">
        <v>698.76</v>
      </c>
    </row>
    <row r="129" spans="1:27" x14ac:dyDescent="0.25">
      <c r="A129" t="s">
        <v>6</v>
      </c>
      <c r="B129" t="s">
        <v>556</v>
      </c>
      <c r="C129" t="s">
        <v>564</v>
      </c>
      <c r="D129" t="s">
        <v>605</v>
      </c>
      <c r="E129" t="s">
        <v>1111</v>
      </c>
      <c r="F129" t="s">
        <v>571</v>
      </c>
      <c r="G129" s="204"/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T129">
        <v>0</v>
      </c>
      <c r="U129">
        <v>0</v>
      </c>
      <c r="V129">
        <v>50</v>
      </c>
      <c r="W129">
        <v>0</v>
      </c>
      <c r="X129">
        <v>0</v>
      </c>
      <c r="Y129">
        <v>0</v>
      </c>
      <c r="Z129">
        <v>0</v>
      </c>
    </row>
    <row r="130" spans="1:27" x14ac:dyDescent="0.25">
      <c r="A130" t="s">
        <v>6</v>
      </c>
      <c r="B130" t="s">
        <v>556</v>
      </c>
      <c r="C130" t="s">
        <v>564</v>
      </c>
      <c r="D130" t="s">
        <v>605</v>
      </c>
      <c r="E130" t="s">
        <v>1148</v>
      </c>
      <c r="F130" t="s">
        <v>571</v>
      </c>
      <c r="G130" s="204"/>
      <c r="H130">
        <v>52</v>
      </c>
      <c r="I130">
        <v>20093.32</v>
      </c>
      <c r="L130">
        <v>140</v>
      </c>
      <c r="M130">
        <v>60149.599999999999</v>
      </c>
      <c r="N130">
        <v>0</v>
      </c>
      <c r="O130">
        <v>0</v>
      </c>
      <c r="P130">
        <v>0</v>
      </c>
      <c r="Q130">
        <v>140</v>
      </c>
      <c r="T130">
        <v>0</v>
      </c>
      <c r="U130">
        <v>0</v>
      </c>
      <c r="V130">
        <v>160</v>
      </c>
      <c r="W130">
        <v>70801.600000000006</v>
      </c>
      <c r="X130">
        <v>160</v>
      </c>
      <c r="Y130">
        <v>160</v>
      </c>
    </row>
    <row r="131" spans="1:27" x14ac:dyDescent="0.25">
      <c r="A131" t="s">
        <v>297</v>
      </c>
      <c r="B131" t="s">
        <v>556</v>
      </c>
      <c r="C131" t="s">
        <v>1859</v>
      </c>
      <c r="D131" t="s">
        <v>618</v>
      </c>
      <c r="E131" t="s">
        <v>1203</v>
      </c>
      <c r="F131" t="s">
        <v>571</v>
      </c>
      <c r="G131" s="204"/>
      <c r="L131">
        <v>19</v>
      </c>
      <c r="M131">
        <v>13137.55</v>
      </c>
      <c r="N131">
        <v>0</v>
      </c>
      <c r="O131">
        <v>0</v>
      </c>
      <c r="P131">
        <v>0</v>
      </c>
      <c r="Q131">
        <v>19</v>
      </c>
      <c r="R131">
        <v>13137.55</v>
      </c>
      <c r="S131">
        <v>691.44999999999993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7" x14ac:dyDescent="0.25">
      <c r="A132" t="s">
        <v>402</v>
      </c>
      <c r="B132" t="s">
        <v>556</v>
      </c>
      <c r="C132" t="s">
        <v>555</v>
      </c>
      <c r="D132" t="s">
        <v>620</v>
      </c>
      <c r="E132" t="s">
        <v>1256</v>
      </c>
      <c r="F132" t="s">
        <v>571</v>
      </c>
      <c r="G132" s="204"/>
      <c r="L132">
        <v>0</v>
      </c>
      <c r="M132">
        <v>0</v>
      </c>
      <c r="N132">
        <v>609</v>
      </c>
      <c r="O132">
        <v>421732.5</v>
      </c>
      <c r="P132">
        <v>609</v>
      </c>
      <c r="Q132">
        <v>609</v>
      </c>
      <c r="R132">
        <v>421732.5</v>
      </c>
      <c r="S132">
        <v>692.5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7" x14ac:dyDescent="0.25">
      <c r="A133" t="s">
        <v>88</v>
      </c>
      <c r="B133" t="s">
        <v>556</v>
      </c>
      <c r="C133" t="s">
        <v>1859</v>
      </c>
      <c r="D133" t="s">
        <v>613</v>
      </c>
      <c r="E133" t="s">
        <v>1138</v>
      </c>
      <c r="F133" t="s">
        <v>571</v>
      </c>
      <c r="G133" s="204"/>
      <c r="L133">
        <v>1400</v>
      </c>
      <c r="M133">
        <v>60143.999999999993</v>
      </c>
      <c r="N133">
        <v>700</v>
      </c>
      <c r="O133">
        <v>30072</v>
      </c>
      <c r="P133">
        <v>700</v>
      </c>
      <c r="Q133">
        <v>2100</v>
      </c>
      <c r="T133">
        <v>0</v>
      </c>
      <c r="U133">
        <v>0</v>
      </c>
      <c r="V133">
        <v>1750</v>
      </c>
      <c r="W133">
        <v>75180</v>
      </c>
      <c r="X133">
        <v>1750</v>
      </c>
      <c r="Y133">
        <v>1750</v>
      </c>
      <c r="Z133">
        <v>75180</v>
      </c>
      <c r="AA133">
        <v>42.96</v>
      </c>
    </row>
    <row r="134" spans="1:27" x14ac:dyDescent="0.25">
      <c r="A134" t="s">
        <v>736</v>
      </c>
      <c r="B134" t="s">
        <v>556</v>
      </c>
      <c r="C134" t="s">
        <v>1858</v>
      </c>
      <c r="D134" t="s">
        <v>584</v>
      </c>
      <c r="E134" t="s">
        <v>1465</v>
      </c>
      <c r="F134" t="s">
        <v>571</v>
      </c>
      <c r="G134" s="204"/>
      <c r="J134">
        <v>128</v>
      </c>
      <c r="K134">
        <v>25600</v>
      </c>
      <c r="L134">
        <v>158</v>
      </c>
      <c r="M134">
        <v>31600</v>
      </c>
      <c r="N134">
        <v>0</v>
      </c>
      <c r="O134">
        <v>0</v>
      </c>
      <c r="P134">
        <v>0</v>
      </c>
      <c r="Q134">
        <v>158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7" x14ac:dyDescent="0.25">
      <c r="A135" t="s">
        <v>1178</v>
      </c>
      <c r="B135" t="s">
        <v>554</v>
      </c>
      <c r="C135" t="s">
        <v>1859</v>
      </c>
      <c r="D135" t="s">
        <v>610</v>
      </c>
      <c r="E135" t="s">
        <v>1177</v>
      </c>
      <c r="F135" t="s">
        <v>571</v>
      </c>
      <c r="G135" s="204"/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T135">
        <v>0</v>
      </c>
      <c r="U135">
        <v>0</v>
      </c>
      <c r="V135">
        <v>120</v>
      </c>
      <c r="W135">
        <v>11678.400000000001</v>
      </c>
      <c r="X135">
        <v>120</v>
      </c>
      <c r="Y135">
        <v>120</v>
      </c>
      <c r="Z135">
        <v>11678.400000000001</v>
      </c>
      <c r="AA135">
        <v>97.320000000000007</v>
      </c>
    </row>
    <row r="136" spans="1:27" x14ac:dyDescent="0.25">
      <c r="A136" t="s">
        <v>405</v>
      </c>
      <c r="B136" t="s">
        <v>556</v>
      </c>
      <c r="C136" t="s">
        <v>555</v>
      </c>
      <c r="D136" t="s">
        <v>645</v>
      </c>
      <c r="E136" t="s">
        <v>1256</v>
      </c>
      <c r="F136" t="s">
        <v>571</v>
      </c>
      <c r="G136" s="204"/>
      <c r="L136">
        <v>0</v>
      </c>
      <c r="M136">
        <v>0</v>
      </c>
      <c r="N136">
        <v>17</v>
      </c>
      <c r="O136">
        <v>37740</v>
      </c>
      <c r="P136">
        <v>17</v>
      </c>
      <c r="Q136">
        <v>17</v>
      </c>
      <c r="R136">
        <v>37740</v>
      </c>
      <c r="S136">
        <v>2220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7" x14ac:dyDescent="0.25">
      <c r="A137" t="s">
        <v>1125</v>
      </c>
      <c r="B137" t="s">
        <v>554</v>
      </c>
      <c r="E137" t="s">
        <v>1111</v>
      </c>
      <c r="F137" t="s">
        <v>571</v>
      </c>
      <c r="G137" s="204"/>
      <c r="L137">
        <v>0</v>
      </c>
      <c r="M137">
        <v>0</v>
      </c>
      <c r="N137">
        <v>50</v>
      </c>
      <c r="O137">
        <v>0</v>
      </c>
      <c r="P137">
        <v>0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7" x14ac:dyDescent="0.25">
      <c r="A138" t="s">
        <v>98</v>
      </c>
      <c r="B138" t="s">
        <v>556</v>
      </c>
      <c r="C138" t="s">
        <v>1859</v>
      </c>
      <c r="D138" t="s">
        <v>613</v>
      </c>
      <c r="E138" t="s">
        <v>1138</v>
      </c>
      <c r="F138" t="s">
        <v>571</v>
      </c>
      <c r="G138" s="204"/>
      <c r="L138">
        <v>579</v>
      </c>
      <c r="M138">
        <v>241865.66999999998</v>
      </c>
      <c r="N138">
        <v>164</v>
      </c>
      <c r="O138">
        <v>68507.72</v>
      </c>
      <c r="P138">
        <v>164</v>
      </c>
      <c r="Q138">
        <v>743</v>
      </c>
      <c r="T138">
        <v>0</v>
      </c>
      <c r="U138">
        <v>0</v>
      </c>
      <c r="V138">
        <v>328</v>
      </c>
      <c r="W138">
        <v>137015.44</v>
      </c>
      <c r="X138">
        <v>328</v>
      </c>
      <c r="Y138">
        <v>328</v>
      </c>
      <c r="Z138">
        <v>137015.44</v>
      </c>
      <c r="AA138">
        <v>417.73</v>
      </c>
    </row>
    <row r="139" spans="1:27" x14ac:dyDescent="0.25">
      <c r="A139" t="s">
        <v>735</v>
      </c>
      <c r="B139" t="s">
        <v>556</v>
      </c>
      <c r="C139" t="s">
        <v>1859</v>
      </c>
      <c r="D139" t="s">
        <v>977</v>
      </c>
      <c r="E139" t="s">
        <v>1344</v>
      </c>
      <c r="F139" t="s">
        <v>571</v>
      </c>
      <c r="G139" s="204"/>
      <c r="H139">
        <v>48</v>
      </c>
      <c r="I139">
        <v>35777.279999999999</v>
      </c>
      <c r="L139">
        <v>48</v>
      </c>
      <c r="M139">
        <v>42318.720000000001</v>
      </c>
      <c r="N139">
        <v>0</v>
      </c>
      <c r="O139">
        <v>0</v>
      </c>
      <c r="P139">
        <v>0</v>
      </c>
      <c r="Q139">
        <v>48</v>
      </c>
      <c r="R139">
        <v>42318.720000000001</v>
      </c>
      <c r="S139">
        <v>881.64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7" x14ac:dyDescent="0.25">
      <c r="A140" t="s">
        <v>369</v>
      </c>
      <c r="B140" t="s">
        <v>556</v>
      </c>
      <c r="C140" t="s">
        <v>1858</v>
      </c>
      <c r="D140" t="s">
        <v>584</v>
      </c>
      <c r="E140" t="s">
        <v>1142</v>
      </c>
      <c r="F140" t="s">
        <v>571</v>
      </c>
      <c r="G140" s="204"/>
      <c r="H140">
        <v>536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T140">
        <v>0</v>
      </c>
      <c r="U140">
        <v>0</v>
      </c>
      <c r="V140">
        <v>480</v>
      </c>
      <c r="W140">
        <v>318835.20000000001</v>
      </c>
      <c r="X140">
        <v>480</v>
      </c>
      <c r="Y140">
        <v>480</v>
      </c>
      <c r="Z140">
        <v>318835.20000000001</v>
      </c>
      <c r="AA140">
        <v>664.24</v>
      </c>
    </row>
    <row r="141" spans="1:27" x14ac:dyDescent="0.25">
      <c r="A141" t="s">
        <v>32</v>
      </c>
      <c r="B141" t="s">
        <v>562</v>
      </c>
      <c r="C141" t="s">
        <v>1860</v>
      </c>
      <c r="D141" t="s">
        <v>569</v>
      </c>
      <c r="E141" t="s">
        <v>1266</v>
      </c>
      <c r="F141" t="s">
        <v>571</v>
      </c>
      <c r="G141" s="204"/>
      <c r="L141">
        <v>150</v>
      </c>
      <c r="M141">
        <v>40899</v>
      </c>
      <c r="N141">
        <v>0</v>
      </c>
      <c r="O141">
        <v>0</v>
      </c>
      <c r="P141">
        <v>0</v>
      </c>
      <c r="Q141">
        <v>150</v>
      </c>
      <c r="R141">
        <v>40899</v>
      </c>
      <c r="S141">
        <v>272.66000000000003</v>
      </c>
      <c r="T141">
        <v>0</v>
      </c>
      <c r="U141">
        <v>0</v>
      </c>
      <c r="V141">
        <v>150</v>
      </c>
      <c r="W141">
        <v>44988</v>
      </c>
      <c r="X141">
        <v>150</v>
      </c>
      <c r="Y141">
        <v>150</v>
      </c>
      <c r="Z141">
        <v>44988</v>
      </c>
      <c r="AA141">
        <v>299.92</v>
      </c>
    </row>
    <row r="142" spans="1:27" x14ac:dyDescent="0.25">
      <c r="A142" t="s">
        <v>258</v>
      </c>
      <c r="B142" t="s">
        <v>562</v>
      </c>
      <c r="C142" t="s">
        <v>1858</v>
      </c>
      <c r="D142" t="s">
        <v>569</v>
      </c>
      <c r="E142" t="s">
        <v>1226</v>
      </c>
      <c r="F142" t="s">
        <v>571</v>
      </c>
      <c r="G142" s="204"/>
      <c r="L142">
        <v>94</v>
      </c>
      <c r="M142">
        <v>30550</v>
      </c>
      <c r="N142">
        <v>0</v>
      </c>
      <c r="O142">
        <v>0</v>
      </c>
      <c r="P142">
        <v>0</v>
      </c>
      <c r="Q142">
        <v>94</v>
      </c>
      <c r="R142">
        <v>30550</v>
      </c>
      <c r="S142">
        <v>325</v>
      </c>
      <c r="T142">
        <v>0</v>
      </c>
      <c r="U142">
        <v>0</v>
      </c>
      <c r="V142">
        <v>100</v>
      </c>
      <c r="W142">
        <v>32500</v>
      </c>
      <c r="X142">
        <v>100</v>
      </c>
      <c r="Y142">
        <v>100</v>
      </c>
    </row>
    <row r="143" spans="1:27" x14ac:dyDescent="0.25">
      <c r="A143" t="s">
        <v>6</v>
      </c>
      <c r="B143" t="s">
        <v>556</v>
      </c>
      <c r="C143" t="s">
        <v>564</v>
      </c>
      <c r="D143" t="s">
        <v>605</v>
      </c>
      <c r="E143" t="s">
        <v>1293</v>
      </c>
      <c r="F143" t="s">
        <v>571</v>
      </c>
      <c r="G143" s="204"/>
      <c r="L143">
        <v>4</v>
      </c>
      <c r="M143">
        <v>3000</v>
      </c>
      <c r="N143">
        <v>0</v>
      </c>
      <c r="O143">
        <v>0</v>
      </c>
      <c r="P143">
        <v>0</v>
      </c>
      <c r="Q143">
        <v>4</v>
      </c>
      <c r="R143">
        <v>3000</v>
      </c>
      <c r="S143">
        <v>750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7" x14ac:dyDescent="0.25">
      <c r="A144" t="s">
        <v>1539</v>
      </c>
      <c r="B144" t="s">
        <v>556</v>
      </c>
      <c r="C144" t="s">
        <v>1859</v>
      </c>
      <c r="D144" t="s">
        <v>1099</v>
      </c>
      <c r="E144" t="s">
        <v>1295</v>
      </c>
      <c r="F144" t="s">
        <v>571</v>
      </c>
      <c r="G144" s="204"/>
      <c r="J144">
        <v>600</v>
      </c>
      <c r="K144">
        <v>47706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7" x14ac:dyDescent="0.25">
      <c r="A145" t="s">
        <v>82</v>
      </c>
      <c r="B145" t="s">
        <v>556</v>
      </c>
      <c r="C145" t="s">
        <v>1859</v>
      </c>
      <c r="D145" t="s">
        <v>598</v>
      </c>
      <c r="E145" t="s">
        <v>1167</v>
      </c>
      <c r="F145" t="s">
        <v>571</v>
      </c>
      <c r="G145" s="204"/>
      <c r="L145">
        <v>75</v>
      </c>
      <c r="M145">
        <v>5524.5</v>
      </c>
      <c r="N145">
        <v>81</v>
      </c>
      <c r="O145">
        <v>5966.46</v>
      </c>
      <c r="P145">
        <v>81</v>
      </c>
      <c r="Q145">
        <v>156</v>
      </c>
      <c r="R145">
        <v>11490.96</v>
      </c>
      <c r="S145">
        <v>73.66</v>
      </c>
      <c r="T145">
        <v>0</v>
      </c>
      <c r="U145">
        <v>0</v>
      </c>
      <c r="V145">
        <v>243</v>
      </c>
      <c r="W145">
        <v>17899.38</v>
      </c>
      <c r="X145">
        <v>243</v>
      </c>
      <c r="Y145">
        <v>243</v>
      </c>
    </row>
    <row r="146" spans="1:27" x14ac:dyDescent="0.25">
      <c r="A146" t="s">
        <v>74</v>
      </c>
      <c r="B146" t="s">
        <v>565</v>
      </c>
      <c r="C146" t="s">
        <v>1859</v>
      </c>
      <c r="D146" t="s">
        <v>587</v>
      </c>
      <c r="E146" t="s">
        <v>1167</v>
      </c>
      <c r="F146" t="s">
        <v>571</v>
      </c>
      <c r="G146" s="204"/>
      <c r="H146">
        <v>252</v>
      </c>
      <c r="I146">
        <v>36572.76</v>
      </c>
      <c r="L146">
        <v>342</v>
      </c>
      <c r="M146">
        <v>49634.459999999992</v>
      </c>
      <c r="N146">
        <v>120</v>
      </c>
      <c r="O146">
        <v>17415.600000000002</v>
      </c>
      <c r="P146">
        <v>120</v>
      </c>
      <c r="Q146">
        <v>462</v>
      </c>
      <c r="T146">
        <v>0</v>
      </c>
      <c r="U146">
        <v>0</v>
      </c>
      <c r="V146">
        <v>354</v>
      </c>
      <c r="W146">
        <v>51376.02</v>
      </c>
      <c r="X146">
        <v>354</v>
      </c>
      <c r="Y146">
        <v>354</v>
      </c>
    </row>
    <row r="147" spans="1:27" x14ac:dyDescent="0.25">
      <c r="A147" t="s">
        <v>840</v>
      </c>
      <c r="B147" t="s">
        <v>554</v>
      </c>
      <c r="C147" t="s">
        <v>555</v>
      </c>
      <c r="D147" t="s">
        <v>645</v>
      </c>
      <c r="E147" t="s">
        <v>1255</v>
      </c>
      <c r="F147" t="s">
        <v>571</v>
      </c>
      <c r="G147" s="204"/>
      <c r="L147">
        <v>140</v>
      </c>
      <c r="M147">
        <v>120692.6</v>
      </c>
      <c r="N147">
        <v>0</v>
      </c>
      <c r="O147">
        <v>0</v>
      </c>
      <c r="P147">
        <v>0</v>
      </c>
      <c r="Q147">
        <v>140</v>
      </c>
      <c r="R147">
        <v>120692.6</v>
      </c>
      <c r="S147">
        <v>862.09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7" x14ac:dyDescent="0.25">
      <c r="A148" t="s">
        <v>306</v>
      </c>
      <c r="B148" t="s">
        <v>565</v>
      </c>
      <c r="C148" t="s">
        <v>1859</v>
      </c>
      <c r="D148" t="s">
        <v>610</v>
      </c>
      <c r="E148" t="s">
        <v>1169</v>
      </c>
      <c r="F148" t="s">
        <v>571</v>
      </c>
      <c r="G148" s="204"/>
      <c r="L148">
        <v>20</v>
      </c>
      <c r="M148">
        <v>7631.4000000000005</v>
      </c>
      <c r="N148">
        <v>0</v>
      </c>
      <c r="O148">
        <v>0</v>
      </c>
      <c r="P148">
        <v>0</v>
      </c>
      <c r="Q148">
        <v>20</v>
      </c>
      <c r="T148">
        <v>0</v>
      </c>
      <c r="U148">
        <v>0</v>
      </c>
      <c r="V148">
        <v>7</v>
      </c>
      <c r="W148">
        <v>2670.99</v>
      </c>
      <c r="X148">
        <v>7</v>
      </c>
      <c r="Y148">
        <v>7</v>
      </c>
      <c r="Z148">
        <v>2670.99</v>
      </c>
      <c r="AA148">
        <v>381.57</v>
      </c>
    </row>
    <row r="149" spans="1:27" x14ac:dyDescent="0.25">
      <c r="A149" t="s">
        <v>70</v>
      </c>
      <c r="B149" t="s">
        <v>556</v>
      </c>
      <c r="C149" t="s">
        <v>1859</v>
      </c>
      <c r="D149" t="s">
        <v>587</v>
      </c>
      <c r="E149" t="s">
        <v>1167</v>
      </c>
      <c r="F149" t="s">
        <v>571</v>
      </c>
      <c r="G149" s="204"/>
      <c r="L149">
        <v>2317</v>
      </c>
      <c r="M149">
        <v>117471.9</v>
      </c>
      <c r="N149">
        <v>1053</v>
      </c>
      <c r="O149">
        <v>53387.099999999991</v>
      </c>
      <c r="P149">
        <v>1053</v>
      </c>
      <c r="Q149">
        <v>3370</v>
      </c>
      <c r="T149">
        <v>0</v>
      </c>
      <c r="U149">
        <v>0</v>
      </c>
      <c r="V149">
        <v>1579</v>
      </c>
      <c r="W149">
        <v>80055.3</v>
      </c>
      <c r="X149">
        <v>1579</v>
      </c>
      <c r="Y149">
        <v>1579</v>
      </c>
      <c r="Z149">
        <v>80055.3</v>
      </c>
      <c r="AA149">
        <v>50.7</v>
      </c>
    </row>
    <row r="150" spans="1:27" x14ac:dyDescent="0.25">
      <c r="A150" t="s">
        <v>1168</v>
      </c>
      <c r="B150" t="s">
        <v>565</v>
      </c>
      <c r="C150" t="s">
        <v>564</v>
      </c>
      <c r="D150" t="s">
        <v>1862</v>
      </c>
      <c r="E150" t="s">
        <v>1167</v>
      </c>
      <c r="F150" t="s">
        <v>571</v>
      </c>
      <c r="G150" s="204"/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T150">
        <v>0</v>
      </c>
      <c r="U150">
        <v>0</v>
      </c>
      <c r="V150">
        <v>2</v>
      </c>
      <c r="W150">
        <v>6250</v>
      </c>
      <c r="X150">
        <v>2</v>
      </c>
      <c r="Y150">
        <v>2</v>
      </c>
      <c r="Z150">
        <v>6250</v>
      </c>
      <c r="AA150">
        <v>3125</v>
      </c>
    </row>
    <row r="151" spans="1:27" x14ac:dyDescent="0.25">
      <c r="A151" t="s">
        <v>1479</v>
      </c>
      <c r="B151" t="s">
        <v>554</v>
      </c>
      <c r="C151" t="s">
        <v>555</v>
      </c>
      <c r="D151" t="s">
        <v>600</v>
      </c>
      <c r="E151" t="s">
        <v>1434</v>
      </c>
      <c r="F151" t="s">
        <v>571</v>
      </c>
      <c r="G151" s="204"/>
      <c r="L151">
        <v>5</v>
      </c>
      <c r="M151">
        <v>4675</v>
      </c>
      <c r="N151">
        <v>0</v>
      </c>
      <c r="O151">
        <v>0</v>
      </c>
      <c r="P151">
        <v>0</v>
      </c>
      <c r="Q151">
        <v>5</v>
      </c>
      <c r="R151">
        <v>4675</v>
      </c>
      <c r="S151">
        <v>935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7" x14ac:dyDescent="0.25">
      <c r="A152" t="s">
        <v>41</v>
      </c>
      <c r="B152" t="s">
        <v>567</v>
      </c>
      <c r="C152" t="s">
        <v>920</v>
      </c>
      <c r="D152" t="s">
        <v>920</v>
      </c>
      <c r="E152" t="s">
        <v>1266</v>
      </c>
      <c r="F152" t="s">
        <v>571</v>
      </c>
      <c r="G152" s="204"/>
      <c r="J152">
        <v>50</v>
      </c>
      <c r="K152">
        <v>1519.5</v>
      </c>
      <c r="L152">
        <v>50</v>
      </c>
      <c r="M152">
        <v>1519.5</v>
      </c>
      <c r="N152">
        <v>0</v>
      </c>
      <c r="O152">
        <v>0</v>
      </c>
      <c r="P152">
        <v>0</v>
      </c>
      <c r="Q152">
        <v>50</v>
      </c>
      <c r="R152">
        <v>1519.5</v>
      </c>
      <c r="S152">
        <v>30.39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7" x14ac:dyDescent="0.25">
      <c r="A153" t="s">
        <v>1581</v>
      </c>
      <c r="B153" t="s">
        <v>554</v>
      </c>
      <c r="C153" t="s">
        <v>555</v>
      </c>
      <c r="D153" t="s">
        <v>1863</v>
      </c>
      <c r="E153" t="s">
        <v>1434</v>
      </c>
      <c r="F153" t="s">
        <v>571</v>
      </c>
      <c r="G153" s="204"/>
      <c r="J153">
        <v>30</v>
      </c>
      <c r="K153">
        <v>45000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7" x14ac:dyDescent="0.25">
      <c r="A154" t="s">
        <v>386</v>
      </c>
      <c r="B154" t="s">
        <v>556</v>
      </c>
      <c r="C154" t="s">
        <v>555</v>
      </c>
      <c r="D154" t="s">
        <v>583</v>
      </c>
      <c r="E154" t="s">
        <v>1337</v>
      </c>
      <c r="F154" t="s">
        <v>571</v>
      </c>
      <c r="G154" s="204"/>
      <c r="J154">
        <v>457</v>
      </c>
      <c r="K154">
        <v>0.46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7" x14ac:dyDescent="0.25">
      <c r="A155" t="s">
        <v>386</v>
      </c>
      <c r="B155" t="s">
        <v>556</v>
      </c>
      <c r="C155" t="s">
        <v>555</v>
      </c>
      <c r="D155" t="s">
        <v>583</v>
      </c>
      <c r="E155" t="s">
        <v>1258</v>
      </c>
      <c r="F155" t="s">
        <v>571</v>
      </c>
      <c r="G155" s="204"/>
      <c r="L155">
        <v>0</v>
      </c>
      <c r="M155">
        <v>0</v>
      </c>
      <c r="N155">
        <v>5203</v>
      </c>
      <c r="O155">
        <v>796787.41999999993</v>
      </c>
      <c r="P155">
        <v>5203</v>
      </c>
      <c r="Q155">
        <v>5203</v>
      </c>
      <c r="R155">
        <v>796787.41999999993</v>
      </c>
      <c r="S155">
        <v>153.13999999999999</v>
      </c>
      <c r="T155">
        <v>0</v>
      </c>
      <c r="U155">
        <v>0</v>
      </c>
      <c r="V155">
        <v>7284</v>
      </c>
      <c r="W155">
        <v>1115471.76</v>
      </c>
      <c r="X155">
        <v>7284</v>
      </c>
      <c r="Y155">
        <v>7284</v>
      </c>
    </row>
    <row r="156" spans="1:27" x14ac:dyDescent="0.25">
      <c r="A156" t="s">
        <v>386</v>
      </c>
      <c r="B156" t="s">
        <v>556</v>
      </c>
      <c r="C156" t="s">
        <v>555</v>
      </c>
      <c r="D156" t="s">
        <v>583</v>
      </c>
      <c r="E156" t="s">
        <v>1434</v>
      </c>
      <c r="F156" t="s">
        <v>571</v>
      </c>
      <c r="G156" s="204"/>
      <c r="H156">
        <v>566</v>
      </c>
      <c r="I156">
        <v>97069</v>
      </c>
      <c r="L156">
        <v>4797</v>
      </c>
      <c r="M156">
        <v>734612.58000000007</v>
      </c>
      <c r="N156">
        <v>0</v>
      </c>
      <c r="O156">
        <v>0</v>
      </c>
      <c r="P156">
        <v>0</v>
      </c>
      <c r="Q156">
        <v>4797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7" x14ac:dyDescent="0.25">
      <c r="A157" t="s">
        <v>387</v>
      </c>
      <c r="B157" t="s">
        <v>556</v>
      </c>
      <c r="C157" t="s">
        <v>555</v>
      </c>
      <c r="D157" t="s">
        <v>583</v>
      </c>
      <c r="E157" t="s">
        <v>1258</v>
      </c>
      <c r="F157" t="s">
        <v>571</v>
      </c>
      <c r="G157" s="204"/>
      <c r="L157">
        <v>0</v>
      </c>
      <c r="M157">
        <v>0</v>
      </c>
      <c r="N157">
        <v>155</v>
      </c>
      <c r="O157">
        <v>33363.75</v>
      </c>
      <c r="P157">
        <v>155</v>
      </c>
      <c r="Q157">
        <v>155</v>
      </c>
      <c r="R157">
        <v>33363.75</v>
      </c>
      <c r="S157">
        <v>215.25</v>
      </c>
      <c r="T157">
        <v>0</v>
      </c>
      <c r="U157">
        <v>0</v>
      </c>
      <c r="V157">
        <v>620</v>
      </c>
      <c r="W157">
        <v>133455</v>
      </c>
      <c r="X157">
        <v>620</v>
      </c>
      <c r="Y157">
        <v>620</v>
      </c>
    </row>
    <row r="158" spans="1:27" x14ac:dyDescent="0.25">
      <c r="A158" t="s">
        <v>387</v>
      </c>
      <c r="B158" t="s">
        <v>556</v>
      </c>
      <c r="C158" t="s">
        <v>555</v>
      </c>
      <c r="D158" t="s">
        <v>583</v>
      </c>
      <c r="E158" t="s">
        <v>1434</v>
      </c>
      <c r="F158" t="s">
        <v>571</v>
      </c>
      <c r="G158" s="204"/>
      <c r="J158">
        <v>334</v>
      </c>
      <c r="K158">
        <v>73480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7" x14ac:dyDescent="0.25">
      <c r="A159" t="s">
        <v>1240</v>
      </c>
      <c r="C159" t="s">
        <v>1859</v>
      </c>
      <c r="D159" t="s">
        <v>1864</v>
      </c>
      <c r="E159" t="s">
        <v>1238</v>
      </c>
      <c r="F159" t="s">
        <v>571</v>
      </c>
      <c r="G159" s="204"/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T159">
        <v>0</v>
      </c>
      <c r="U159">
        <v>0</v>
      </c>
      <c r="V159">
        <v>600</v>
      </c>
      <c r="W159">
        <v>146850</v>
      </c>
      <c r="X159">
        <v>600</v>
      </c>
      <c r="Y159">
        <v>600</v>
      </c>
      <c r="Z159">
        <v>146850</v>
      </c>
      <c r="AA159">
        <v>244.75</v>
      </c>
    </row>
    <row r="160" spans="1:27" x14ac:dyDescent="0.25">
      <c r="A160" t="s">
        <v>263</v>
      </c>
      <c r="B160" t="s">
        <v>556</v>
      </c>
      <c r="C160" t="s">
        <v>1858</v>
      </c>
      <c r="D160" t="s">
        <v>604</v>
      </c>
      <c r="E160" t="s">
        <v>1262</v>
      </c>
      <c r="F160" t="s">
        <v>571</v>
      </c>
      <c r="G160" s="204"/>
      <c r="L160">
        <v>4194</v>
      </c>
      <c r="M160">
        <v>273795</v>
      </c>
      <c r="N160">
        <v>807</v>
      </c>
      <c r="O160">
        <v>52455</v>
      </c>
      <c r="P160">
        <v>807</v>
      </c>
      <c r="Q160">
        <v>5001</v>
      </c>
      <c r="R160">
        <v>326250</v>
      </c>
      <c r="S160">
        <v>65.236952609478109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7" x14ac:dyDescent="0.25">
      <c r="A161" t="s">
        <v>41</v>
      </c>
      <c r="B161" t="s">
        <v>567</v>
      </c>
      <c r="C161" t="s">
        <v>920</v>
      </c>
      <c r="D161" t="s">
        <v>920</v>
      </c>
      <c r="E161" t="s">
        <v>1138</v>
      </c>
      <c r="F161" t="s">
        <v>571</v>
      </c>
      <c r="G161" s="204"/>
      <c r="L161">
        <v>2173</v>
      </c>
      <c r="M161">
        <v>34898.379999999997</v>
      </c>
      <c r="N161">
        <v>0</v>
      </c>
      <c r="O161">
        <v>0</v>
      </c>
      <c r="P161">
        <v>0</v>
      </c>
      <c r="Q161">
        <v>2173</v>
      </c>
      <c r="T161">
        <v>0</v>
      </c>
      <c r="U161">
        <v>0</v>
      </c>
      <c r="V161">
        <v>500</v>
      </c>
      <c r="W161">
        <v>9930</v>
      </c>
      <c r="X161">
        <v>500</v>
      </c>
      <c r="Y161">
        <v>500</v>
      </c>
      <c r="Z161">
        <v>9930</v>
      </c>
      <c r="AA161">
        <v>19.86</v>
      </c>
    </row>
    <row r="162" spans="1:27" x14ac:dyDescent="0.25">
      <c r="A162" t="s">
        <v>106</v>
      </c>
      <c r="B162" t="s">
        <v>556</v>
      </c>
      <c r="C162" t="s">
        <v>1859</v>
      </c>
      <c r="D162" t="s">
        <v>607</v>
      </c>
      <c r="E162" t="s">
        <v>1295</v>
      </c>
      <c r="F162" t="s">
        <v>571</v>
      </c>
      <c r="G162" s="204"/>
      <c r="L162">
        <v>77</v>
      </c>
      <c r="M162">
        <v>53584.3</v>
      </c>
      <c r="N162">
        <v>0</v>
      </c>
      <c r="O162">
        <v>0</v>
      </c>
      <c r="P162">
        <v>0</v>
      </c>
      <c r="Q162">
        <v>77</v>
      </c>
      <c r="R162">
        <v>53584.3</v>
      </c>
      <c r="S162">
        <v>695.90000000000009</v>
      </c>
      <c r="T162">
        <v>0</v>
      </c>
      <c r="U162">
        <v>0</v>
      </c>
      <c r="V162">
        <v>1000</v>
      </c>
      <c r="W162">
        <v>882700</v>
      </c>
      <c r="X162">
        <v>1000</v>
      </c>
      <c r="Y162">
        <v>1000</v>
      </c>
    </row>
    <row r="163" spans="1:27" x14ac:dyDescent="0.25">
      <c r="A163" t="s">
        <v>388</v>
      </c>
      <c r="B163" t="s">
        <v>562</v>
      </c>
      <c r="C163" t="s">
        <v>555</v>
      </c>
      <c r="D163" t="s">
        <v>600</v>
      </c>
      <c r="E163" t="s">
        <v>1258</v>
      </c>
      <c r="F163" t="s">
        <v>571</v>
      </c>
      <c r="G163" s="204"/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T163">
        <v>0</v>
      </c>
      <c r="U163">
        <v>0</v>
      </c>
      <c r="V163">
        <v>12</v>
      </c>
      <c r="W163">
        <v>2796</v>
      </c>
      <c r="X163">
        <v>12</v>
      </c>
      <c r="Y163">
        <v>12</v>
      </c>
      <c r="Z163">
        <v>2796</v>
      </c>
      <c r="AA163">
        <v>233</v>
      </c>
    </row>
    <row r="164" spans="1:27" x14ac:dyDescent="0.25">
      <c r="A164" t="s">
        <v>388</v>
      </c>
      <c r="B164" t="s">
        <v>562</v>
      </c>
      <c r="C164" t="s">
        <v>555</v>
      </c>
      <c r="D164" t="s">
        <v>600</v>
      </c>
      <c r="E164" t="s">
        <v>1434</v>
      </c>
      <c r="F164" t="s">
        <v>571</v>
      </c>
      <c r="G164" s="204"/>
      <c r="J164">
        <v>24</v>
      </c>
      <c r="K164">
        <v>5592</v>
      </c>
      <c r="L164">
        <v>24</v>
      </c>
      <c r="M164">
        <v>5592</v>
      </c>
      <c r="N164">
        <v>0</v>
      </c>
      <c r="O164">
        <v>0</v>
      </c>
      <c r="P164">
        <v>0</v>
      </c>
      <c r="Q164">
        <v>24</v>
      </c>
      <c r="R164">
        <v>5592</v>
      </c>
      <c r="S164">
        <v>233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7" x14ac:dyDescent="0.25">
      <c r="A165" t="s">
        <v>389</v>
      </c>
      <c r="B165" t="s">
        <v>556</v>
      </c>
      <c r="C165" t="s">
        <v>555</v>
      </c>
      <c r="D165" t="s">
        <v>583</v>
      </c>
      <c r="E165" t="s">
        <v>1258</v>
      </c>
      <c r="F165" t="s">
        <v>571</v>
      </c>
      <c r="G165" s="204"/>
      <c r="L165">
        <v>0</v>
      </c>
      <c r="M165">
        <v>0</v>
      </c>
      <c r="N165">
        <v>220</v>
      </c>
      <c r="O165">
        <v>62152.2</v>
      </c>
      <c r="P165">
        <v>220</v>
      </c>
      <c r="Q165">
        <v>220</v>
      </c>
      <c r="R165">
        <v>62152.2</v>
      </c>
      <c r="S165">
        <v>282.51</v>
      </c>
      <c r="T165">
        <v>0</v>
      </c>
      <c r="U165">
        <v>0</v>
      </c>
      <c r="V165">
        <v>440</v>
      </c>
      <c r="W165">
        <v>124304.4</v>
      </c>
      <c r="X165">
        <v>440</v>
      </c>
      <c r="Y165">
        <v>440</v>
      </c>
    </row>
    <row r="166" spans="1:27" x14ac:dyDescent="0.25">
      <c r="A166" t="s">
        <v>449</v>
      </c>
      <c r="B166" t="s">
        <v>566</v>
      </c>
      <c r="C166" t="s">
        <v>920</v>
      </c>
      <c r="D166" t="s">
        <v>920</v>
      </c>
      <c r="E166" t="s">
        <v>1469</v>
      </c>
      <c r="F166" t="s">
        <v>571</v>
      </c>
      <c r="G166" s="204"/>
      <c r="L166">
        <v>50</v>
      </c>
      <c r="M166">
        <v>1500</v>
      </c>
      <c r="N166">
        <v>0</v>
      </c>
      <c r="O166">
        <v>0</v>
      </c>
      <c r="P166">
        <v>0</v>
      </c>
      <c r="Q166">
        <v>50</v>
      </c>
      <c r="R166">
        <v>1500</v>
      </c>
      <c r="S166">
        <v>30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7" x14ac:dyDescent="0.25">
      <c r="A167" t="s">
        <v>49</v>
      </c>
      <c r="B167" t="s">
        <v>566</v>
      </c>
      <c r="C167" t="s">
        <v>920</v>
      </c>
      <c r="D167" t="s">
        <v>920</v>
      </c>
      <c r="E167" t="s">
        <v>1138</v>
      </c>
      <c r="F167" t="s">
        <v>571</v>
      </c>
      <c r="G167" s="204"/>
      <c r="L167">
        <v>6000</v>
      </c>
      <c r="M167">
        <v>37200</v>
      </c>
      <c r="N167">
        <v>2500</v>
      </c>
      <c r="O167">
        <v>18425</v>
      </c>
      <c r="P167">
        <v>2500</v>
      </c>
      <c r="Q167">
        <v>8500</v>
      </c>
      <c r="T167">
        <v>0</v>
      </c>
      <c r="U167">
        <v>0</v>
      </c>
      <c r="V167">
        <v>5000</v>
      </c>
      <c r="W167">
        <v>36850</v>
      </c>
      <c r="X167">
        <v>5000</v>
      </c>
      <c r="Y167">
        <v>5000</v>
      </c>
      <c r="Z167">
        <v>36850</v>
      </c>
      <c r="AA167">
        <v>7.37</v>
      </c>
    </row>
    <row r="168" spans="1:27" x14ac:dyDescent="0.25">
      <c r="A168" t="s">
        <v>390</v>
      </c>
      <c r="B168" t="s">
        <v>556</v>
      </c>
      <c r="C168" t="s">
        <v>555</v>
      </c>
      <c r="D168" t="s">
        <v>600</v>
      </c>
      <c r="E168" t="s">
        <v>1434</v>
      </c>
      <c r="F168" t="s">
        <v>571</v>
      </c>
      <c r="G168" s="204"/>
      <c r="J168">
        <v>20</v>
      </c>
      <c r="K168">
        <v>7709.6</v>
      </c>
      <c r="L168">
        <v>801</v>
      </c>
      <c r="M168">
        <v>289713.69</v>
      </c>
      <c r="N168">
        <v>0</v>
      </c>
      <c r="O168">
        <v>0</v>
      </c>
      <c r="P168">
        <v>0</v>
      </c>
      <c r="Q168">
        <v>801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7" x14ac:dyDescent="0.25">
      <c r="A169" t="s">
        <v>53</v>
      </c>
      <c r="B169" t="s">
        <v>566</v>
      </c>
      <c r="C169" t="s">
        <v>920</v>
      </c>
      <c r="D169" t="s">
        <v>920</v>
      </c>
      <c r="E169" t="s">
        <v>1367</v>
      </c>
      <c r="F169" t="s">
        <v>571</v>
      </c>
      <c r="G169" s="204"/>
      <c r="J169">
        <v>11</v>
      </c>
      <c r="K169">
        <v>841.61</v>
      </c>
      <c r="L169">
        <v>27</v>
      </c>
      <c r="M169">
        <v>2197.89</v>
      </c>
      <c r="N169">
        <v>0</v>
      </c>
      <c r="O169">
        <v>0</v>
      </c>
      <c r="P169">
        <v>0</v>
      </c>
      <c r="Q169">
        <v>27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7" x14ac:dyDescent="0.25">
      <c r="A170" t="s">
        <v>1260</v>
      </c>
      <c r="B170" t="s">
        <v>565</v>
      </c>
      <c r="C170" t="s">
        <v>555</v>
      </c>
      <c r="D170" t="s">
        <v>591</v>
      </c>
      <c r="E170" t="s">
        <v>1434</v>
      </c>
      <c r="F170" t="s">
        <v>571</v>
      </c>
      <c r="G170" s="204"/>
      <c r="H170">
        <v>75</v>
      </c>
      <c r="I170">
        <v>46392.75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7" x14ac:dyDescent="0.25">
      <c r="A171" t="s">
        <v>391</v>
      </c>
      <c r="B171" t="s">
        <v>556</v>
      </c>
      <c r="C171" t="s">
        <v>555</v>
      </c>
      <c r="D171" t="s">
        <v>591</v>
      </c>
      <c r="E171" t="s">
        <v>1258</v>
      </c>
      <c r="F171" t="s">
        <v>571</v>
      </c>
      <c r="G171" s="204"/>
      <c r="L171">
        <v>0</v>
      </c>
      <c r="M171">
        <v>0</v>
      </c>
      <c r="N171">
        <v>180</v>
      </c>
      <c r="O171">
        <v>168645.6</v>
      </c>
      <c r="P171">
        <v>180</v>
      </c>
      <c r="Q171">
        <v>180</v>
      </c>
      <c r="T171">
        <v>0</v>
      </c>
      <c r="U171">
        <v>0</v>
      </c>
      <c r="V171">
        <v>45</v>
      </c>
      <c r="W171">
        <v>42161.4</v>
      </c>
      <c r="X171">
        <v>45</v>
      </c>
      <c r="Y171">
        <v>45</v>
      </c>
      <c r="Z171">
        <v>42161.4</v>
      </c>
      <c r="AA171">
        <v>936.92000000000007</v>
      </c>
    </row>
    <row r="172" spans="1:27" x14ac:dyDescent="0.25">
      <c r="A172" t="s">
        <v>97</v>
      </c>
      <c r="B172" t="s">
        <v>566</v>
      </c>
      <c r="C172" t="s">
        <v>920</v>
      </c>
      <c r="D172" t="s">
        <v>920</v>
      </c>
      <c r="E172" t="s">
        <v>1212</v>
      </c>
      <c r="F172" t="s">
        <v>571</v>
      </c>
      <c r="G172" s="204"/>
      <c r="H172">
        <v>3750</v>
      </c>
      <c r="I172">
        <v>27675.000000000004</v>
      </c>
      <c r="L172">
        <v>3750</v>
      </c>
      <c r="M172">
        <v>31575</v>
      </c>
      <c r="N172">
        <v>2500</v>
      </c>
      <c r="O172">
        <v>21050</v>
      </c>
      <c r="P172">
        <v>2500</v>
      </c>
      <c r="Q172">
        <v>6250</v>
      </c>
      <c r="T172">
        <v>0</v>
      </c>
      <c r="U172">
        <v>0</v>
      </c>
      <c r="V172">
        <v>8500</v>
      </c>
      <c r="W172">
        <v>71570</v>
      </c>
      <c r="X172">
        <v>8500</v>
      </c>
      <c r="Y172">
        <v>8500</v>
      </c>
    </row>
    <row r="173" spans="1:27" x14ac:dyDescent="0.25">
      <c r="A173" t="s">
        <v>391</v>
      </c>
      <c r="B173" t="s">
        <v>556</v>
      </c>
      <c r="C173" t="s">
        <v>555</v>
      </c>
      <c r="D173" t="s">
        <v>591</v>
      </c>
      <c r="E173" t="s">
        <v>1434</v>
      </c>
      <c r="F173" t="s">
        <v>571</v>
      </c>
      <c r="G173" s="204"/>
      <c r="H173">
        <v>10</v>
      </c>
      <c r="I173">
        <v>9940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7" x14ac:dyDescent="0.25">
      <c r="A174" t="s">
        <v>33</v>
      </c>
      <c r="B174" t="s">
        <v>566</v>
      </c>
      <c r="C174" t="s">
        <v>920</v>
      </c>
      <c r="D174" t="s">
        <v>920</v>
      </c>
      <c r="E174" t="s">
        <v>1266</v>
      </c>
      <c r="F174" t="s">
        <v>571</v>
      </c>
      <c r="G174" s="204"/>
      <c r="H174">
        <v>250</v>
      </c>
      <c r="I174">
        <v>8270</v>
      </c>
      <c r="L174">
        <v>250</v>
      </c>
      <c r="M174">
        <v>8602.5</v>
      </c>
      <c r="N174">
        <v>0</v>
      </c>
      <c r="O174">
        <v>0</v>
      </c>
      <c r="P174">
        <v>0</v>
      </c>
      <c r="Q174">
        <v>250</v>
      </c>
      <c r="R174">
        <v>8602.5</v>
      </c>
      <c r="S174">
        <v>34.409999999999997</v>
      </c>
      <c r="T174">
        <v>0</v>
      </c>
      <c r="U174">
        <v>0</v>
      </c>
      <c r="V174">
        <v>500</v>
      </c>
      <c r="W174">
        <v>17205</v>
      </c>
      <c r="X174">
        <v>500</v>
      </c>
      <c r="Y174">
        <v>500</v>
      </c>
    </row>
    <row r="175" spans="1:27" x14ac:dyDescent="0.25">
      <c r="A175" t="s">
        <v>34</v>
      </c>
      <c r="B175" t="s">
        <v>556</v>
      </c>
      <c r="C175" t="s">
        <v>1860</v>
      </c>
      <c r="D175" t="s">
        <v>589</v>
      </c>
      <c r="E175" t="s">
        <v>1216</v>
      </c>
      <c r="F175" t="s">
        <v>571</v>
      </c>
      <c r="G175" s="204"/>
      <c r="H175">
        <v>600</v>
      </c>
      <c r="I175">
        <v>67980</v>
      </c>
      <c r="L175">
        <v>3579</v>
      </c>
      <c r="M175">
        <v>525471.92000000004</v>
      </c>
      <c r="N175">
        <v>1250</v>
      </c>
      <c r="O175">
        <v>169412.5</v>
      </c>
      <c r="P175">
        <v>1250</v>
      </c>
      <c r="Q175">
        <v>4829</v>
      </c>
      <c r="T175">
        <v>0</v>
      </c>
      <c r="U175">
        <v>0</v>
      </c>
      <c r="V175">
        <v>3000</v>
      </c>
      <c r="W175">
        <v>406590</v>
      </c>
      <c r="X175">
        <v>3000</v>
      </c>
      <c r="Y175">
        <v>3000</v>
      </c>
    </row>
    <row r="176" spans="1:27" x14ac:dyDescent="0.25">
      <c r="A176" t="s">
        <v>1582</v>
      </c>
      <c r="B176" t="s">
        <v>554</v>
      </c>
      <c r="C176" t="s">
        <v>555</v>
      </c>
      <c r="D176" t="s">
        <v>591</v>
      </c>
      <c r="E176" t="s">
        <v>1434</v>
      </c>
      <c r="F176" t="s">
        <v>571</v>
      </c>
      <c r="G176" s="204"/>
      <c r="J176">
        <v>139</v>
      </c>
      <c r="K176">
        <v>150860.87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7" x14ac:dyDescent="0.25">
      <c r="A177" t="s">
        <v>882</v>
      </c>
      <c r="B177" t="s">
        <v>554</v>
      </c>
      <c r="C177" t="s">
        <v>1860</v>
      </c>
      <c r="D177" t="s">
        <v>973</v>
      </c>
      <c r="E177" t="s">
        <v>1248</v>
      </c>
      <c r="F177" t="s">
        <v>571</v>
      </c>
      <c r="G177" s="204"/>
      <c r="L177">
        <v>0</v>
      </c>
      <c r="M177">
        <v>0</v>
      </c>
      <c r="N177">
        <v>20</v>
      </c>
      <c r="O177">
        <v>35000</v>
      </c>
      <c r="P177">
        <v>20</v>
      </c>
      <c r="Q177">
        <v>20</v>
      </c>
      <c r="R177">
        <v>35000</v>
      </c>
      <c r="S177">
        <v>1750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7" x14ac:dyDescent="0.25">
      <c r="A178" t="s">
        <v>409</v>
      </c>
      <c r="B178" t="s">
        <v>556</v>
      </c>
      <c r="C178" t="s">
        <v>555</v>
      </c>
      <c r="D178" t="s">
        <v>591</v>
      </c>
      <c r="E178" t="s">
        <v>1434</v>
      </c>
      <c r="F178" t="s">
        <v>571</v>
      </c>
      <c r="G178" s="204"/>
      <c r="H178">
        <v>50</v>
      </c>
      <c r="I178">
        <v>3600</v>
      </c>
      <c r="L178">
        <v>7710</v>
      </c>
      <c r="M178">
        <v>501921.00000000006</v>
      </c>
      <c r="N178">
        <v>0</v>
      </c>
      <c r="O178">
        <v>0</v>
      </c>
      <c r="P178">
        <v>0</v>
      </c>
      <c r="Q178">
        <v>7710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7" x14ac:dyDescent="0.25">
      <c r="A179" t="s">
        <v>81</v>
      </c>
      <c r="B179" t="s">
        <v>567</v>
      </c>
      <c r="C179" t="s">
        <v>920</v>
      </c>
      <c r="D179" t="s">
        <v>920</v>
      </c>
      <c r="E179" t="s">
        <v>1316</v>
      </c>
      <c r="F179" t="s">
        <v>571</v>
      </c>
      <c r="G179" s="204"/>
      <c r="L179">
        <v>2000</v>
      </c>
      <c r="M179">
        <v>42540</v>
      </c>
      <c r="N179">
        <v>1000</v>
      </c>
      <c r="O179">
        <v>21270</v>
      </c>
      <c r="P179">
        <v>1000</v>
      </c>
      <c r="Q179">
        <v>3000</v>
      </c>
      <c r="T179">
        <v>0</v>
      </c>
      <c r="U179">
        <v>0</v>
      </c>
      <c r="V179">
        <v>2500</v>
      </c>
      <c r="W179">
        <v>53175</v>
      </c>
      <c r="X179">
        <v>2500</v>
      </c>
      <c r="Y179">
        <v>2500</v>
      </c>
      <c r="Z179">
        <v>53175</v>
      </c>
      <c r="AA179">
        <v>21.27</v>
      </c>
    </row>
    <row r="180" spans="1:27" x14ac:dyDescent="0.25">
      <c r="A180" t="s">
        <v>704</v>
      </c>
      <c r="B180" t="s">
        <v>565</v>
      </c>
      <c r="C180" t="s">
        <v>1858</v>
      </c>
      <c r="D180" t="s">
        <v>625</v>
      </c>
      <c r="E180" t="s">
        <v>1224</v>
      </c>
      <c r="F180" t="s">
        <v>571</v>
      </c>
      <c r="G180" s="204"/>
      <c r="L180">
        <v>0</v>
      </c>
      <c r="M180">
        <v>0</v>
      </c>
      <c r="N180">
        <v>500</v>
      </c>
      <c r="O180">
        <v>137450</v>
      </c>
      <c r="P180">
        <v>500</v>
      </c>
      <c r="Q180">
        <v>500</v>
      </c>
      <c r="R180">
        <v>137450</v>
      </c>
      <c r="S180">
        <v>274.89999999999998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7" x14ac:dyDescent="0.25">
      <c r="A181" t="s">
        <v>873</v>
      </c>
      <c r="B181" t="s">
        <v>554</v>
      </c>
      <c r="C181" t="s">
        <v>1860</v>
      </c>
      <c r="D181" t="s">
        <v>973</v>
      </c>
      <c r="E181" t="s">
        <v>1248</v>
      </c>
      <c r="F181" t="s">
        <v>571</v>
      </c>
      <c r="G181" s="204"/>
      <c r="L181">
        <v>0</v>
      </c>
      <c r="M181">
        <v>0</v>
      </c>
      <c r="N181">
        <v>45</v>
      </c>
      <c r="O181">
        <v>58101.75</v>
      </c>
      <c r="P181">
        <v>45</v>
      </c>
      <c r="Q181">
        <v>45</v>
      </c>
      <c r="R181">
        <v>58101.75</v>
      </c>
      <c r="S181">
        <v>1291.1500000000001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7" x14ac:dyDescent="0.25">
      <c r="A182" t="s">
        <v>883</v>
      </c>
      <c r="B182" t="s">
        <v>554</v>
      </c>
      <c r="C182" t="s">
        <v>1860</v>
      </c>
      <c r="D182" t="s">
        <v>973</v>
      </c>
      <c r="E182" t="s">
        <v>1248</v>
      </c>
      <c r="F182" t="s">
        <v>571</v>
      </c>
      <c r="G182" s="204"/>
      <c r="L182">
        <v>0</v>
      </c>
      <c r="M182">
        <v>0</v>
      </c>
      <c r="N182">
        <v>20</v>
      </c>
      <c r="O182">
        <v>35000</v>
      </c>
      <c r="P182">
        <v>20</v>
      </c>
      <c r="Q182">
        <v>20</v>
      </c>
      <c r="R182">
        <v>35000</v>
      </c>
      <c r="S182">
        <v>1750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7" x14ac:dyDescent="0.25">
      <c r="A183" t="s">
        <v>477</v>
      </c>
      <c r="B183" t="s">
        <v>556</v>
      </c>
      <c r="C183" t="s">
        <v>1858</v>
      </c>
      <c r="D183" t="s">
        <v>628</v>
      </c>
      <c r="E183" t="s">
        <v>1273</v>
      </c>
      <c r="F183" t="s">
        <v>578</v>
      </c>
      <c r="G183" s="204">
        <v>47848</v>
      </c>
      <c r="H183">
        <v>435</v>
      </c>
      <c r="I183">
        <v>107619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7" x14ac:dyDescent="0.25">
      <c r="A184" t="s">
        <v>872</v>
      </c>
      <c r="B184" t="s">
        <v>554</v>
      </c>
      <c r="C184" t="s">
        <v>555</v>
      </c>
      <c r="D184" t="s">
        <v>971</v>
      </c>
      <c r="E184" t="s">
        <v>1269</v>
      </c>
      <c r="F184" t="s">
        <v>571</v>
      </c>
      <c r="G184" s="204"/>
      <c r="L184">
        <v>0</v>
      </c>
      <c r="M184">
        <v>0</v>
      </c>
      <c r="N184">
        <v>111</v>
      </c>
      <c r="O184">
        <v>74247.899999999994</v>
      </c>
      <c r="P184">
        <v>111</v>
      </c>
      <c r="Q184">
        <v>111</v>
      </c>
      <c r="R184">
        <v>74247.899999999994</v>
      </c>
      <c r="S184">
        <v>668.9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7" x14ac:dyDescent="0.25">
      <c r="A185" t="s">
        <v>125</v>
      </c>
      <c r="B185" t="s">
        <v>566</v>
      </c>
      <c r="C185" t="s">
        <v>920</v>
      </c>
      <c r="D185" t="s">
        <v>920</v>
      </c>
      <c r="E185" t="s">
        <v>1266</v>
      </c>
      <c r="F185" t="s">
        <v>571</v>
      </c>
      <c r="G185" s="204"/>
      <c r="J185">
        <v>1000</v>
      </c>
      <c r="K185">
        <v>15290</v>
      </c>
      <c r="L185">
        <v>1500</v>
      </c>
      <c r="M185">
        <v>23715</v>
      </c>
      <c r="N185">
        <v>500</v>
      </c>
      <c r="O185">
        <v>7905</v>
      </c>
      <c r="P185">
        <v>500</v>
      </c>
      <c r="Q185">
        <v>2000</v>
      </c>
      <c r="T185">
        <v>0</v>
      </c>
      <c r="U185">
        <v>0</v>
      </c>
      <c r="V185">
        <v>1000</v>
      </c>
      <c r="W185">
        <v>15810</v>
      </c>
      <c r="X185">
        <v>1000</v>
      </c>
      <c r="Y185">
        <v>1000</v>
      </c>
      <c r="Z185">
        <v>15810</v>
      </c>
      <c r="AA185">
        <v>15.81</v>
      </c>
    </row>
    <row r="186" spans="1:27" x14ac:dyDescent="0.25">
      <c r="A186" t="s">
        <v>452</v>
      </c>
      <c r="B186" t="s">
        <v>566</v>
      </c>
      <c r="C186" t="s">
        <v>920</v>
      </c>
      <c r="D186" t="s">
        <v>920</v>
      </c>
      <c r="E186" t="s">
        <v>1339</v>
      </c>
      <c r="F186" t="s">
        <v>571</v>
      </c>
      <c r="G186" s="204"/>
      <c r="H186">
        <v>2</v>
      </c>
      <c r="I186">
        <v>148.24</v>
      </c>
      <c r="L186">
        <v>20</v>
      </c>
      <c r="M186">
        <v>1770.85</v>
      </c>
      <c r="N186">
        <v>0</v>
      </c>
      <c r="O186">
        <v>0</v>
      </c>
      <c r="P186">
        <v>0</v>
      </c>
      <c r="Q186">
        <v>20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7" x14ac:dyDescent="0.25">
      <c r="A187" t="s">
        <v>480</v>
      </c>
      <c r="B187" t="s">
        <v>556</v>
      </c>
      <c r="C187" t="s">
        <v>1858</v>
      </c>
      <c r="D187" t="s">
        <v>584</v>
      </c>
      <c r="E187" t="s">
        <v>1216</v>
      </c>
      <c r="F187" t="s">
        <v>571</v>
      </c>
      <c r="G187" s="204"/>
      <c r="L187">
        <v>185</v>
      </c>
      <c r="M187">
        <v>90320.7</v>
      </c>
      <c r="N187">
        <v>0</v>
      </c>
      <c r="O187">
        <v>0</v>
      </c>
      <c r="P187">
        <v>0</v>
      </c>
      <c r="Q187">
        <v>185</v>
      </c>
      <c r="T187">
        <v>0</v>
      </c>
      <c r="U187">
        <v>0</v>
      </c>
      <c r="V187">
        <v>140</v>
      </c>
      <c r="W187">
        <v>68350.8</v>
      </c>
      <c r="X187">
        <v>140</v>
      </c>
      <c r="Y187">
        <v>140</v>
      </c>
      <c r="Z187">
        <v>68350.8</v>
      </c>
      <c r="AA187">
        <v>488.22</v>
      </c>
    </row>
    <row r="188" spans="1:27" x14ac:dyDescent="0.25">
      <c r="A188" t="s">
        <v>259</v>
      </c>
      <c r="B188" t="s">
        <v>562</v>
      </c>
      <c r="C188" t="s">
        <v>1858</v>
      </c>
      <c r="D188" t="s">
        <v>625</v>
      </c>
      <c r="E188" t="s">
        <v>1335</v>
      </c>
      <c r="F188" t="s">
        <v>571</v>
      </c>
      <c r="G188" s="204"/>
      <c r="H188">
        <v>100</v>
      </c>
      <c r="I188">
        <v>37288</v>
      </c>
      <c r="L188">
        <v>237</v>
      </c>
      <c r="M188">
        <v>94558.26</v>
      </c>
      <c r="N188">
        <v>0</v>
      </c>
      <c r="O188">
        <v>0</v>
      </c>
      <c r="P188">
        <v>0</v>
      </c>
      <c r="Q188">
        <v>237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7" x14ac:dyDescent="0.25">
      <c r="A189" t="s">
        <v>92</v>
      </c>
      <c r="B189" t="s">
        <v>556</v>
      </c>
      <c r="C189" t="s">
        <v>1859</v>
      </c>
      <c r="D189" t="s">
        <v>590</v>
      </c>
      <c r="E189" t="s">
        <v>1274</v>
      </c>
      <c r="F189" t="s">
        <v>571</v>
      </c>
      <c r="G189" s="204"/>
      <c r="J189">
        <v>83</v>
      </c>
      <c r="K189">
        <v>14147.35</v>
      </c>
      <c r="L189">
        <v>417</v>
      </c>
      <c r="M189">
        <v>71077.649999999994</v>
      </c>
      <c r="N189">
        <v>750</v>
      </c>
      <c r="O189">
        <v>127837.5</v>
      </c>
      <c r="P189">
        <v>750</v>
      </c>
      <c r="Q189">
        <v>1167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7" x14ac:dyDescent="0.25">
      <c r="A190" t="s">
        <v>101</v>
      </c>
      <c r="B190" t="s">
        <v>567</v>
      </c>
      <c r="C190" t="s">
        <v>920</v>
      </c>
      <c r="D190" t="s">
        <v>920</v>
      </c>
      <c r="E190" t="s">
        <v>1330</v>
      </c>
      <c r="F190" t="s">
        <v>571</v>
      </c>
      <c r="G190" s="204"/>
      <c r="H190">
        <v>5000</v>
      </c>
      <c r="I190">
        <v>86250</v>
      </c>
      <c r="L190">
        <v>7500</v>
      </c>
      <c r="M190">
        <v>166875</v>
      </c>
      <c r="N190">
        <v>0</v>
      </c>
      <c r="O190">
        <v>0</v>
      </c>
      <c r="P190">
        <v>0</v>
      </c>
      <c r="Q190">
        <v>7500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7" x14ac:dyDescent="0.25">
      <c r="A191" t="s">
        <v>408</v>
      </c>
      <c r="B191" t="s">
        <v>556</v>
      </c>
      <c r="C191" t="s">
        <v>555</v>
      </c>
      <c r="D191" t="s">
        <v>583</v>
      </c>
      <c r="E191" t="s">
        <v>1258</v>
      </c>
      <c r="F191" t="s">
        <v>571</v>
      </c>
      <c r="G191" s="204"/>
      <c r="L191">
        <v>0</v>
      </c>
      <c r="M191">
        <v>0</v>
      </c>
      <c r="N191">
        <v>1875</v>
      </c>
      <c r="O191">
        <v>103481.25</v>
      </c>
      <c r="P191">
        <v>1875</v>
      </c>
      <c r="Q191">
        <v>1875</v>
      </c>
      <c r="T191">
        <v>0</v>
      </c>
      <c r="U191">
        <v>0</v>
      </c>
      <c r="V191">
        <v>1500</v>
      </c>
      <c r="W191">
        <v>82785</v>
      </c>
      <c r="X191">
        <v>1500</v>
      </c>
      <c r="Y191">
        <v>1500</v>
      </c>
      <c r="Z191">
        <v>82785</v>
      </c>
      <c r="AA191">
        <v>55.19</v>
      </c>
    </row>
    <row r="192" spans="1:27" x14ac:dyDescent="0.25">
      <c r="A192" t="s">
        <v>539</v>
      </c>
      <c r="B192" t="s">
        <v>565</v>
      </c>
      <c r="C192" t="s">
        <v>1858</v>
      </c>
      <c r="D192" t="s">
        <v>579</v>
      </c>
      <c r="E192" t="s">
        <v>1188</v>
      </c>
      <c r="F192" t="s">
        <v>571</v>
      </c>
      <c r="G192" s="204"/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T192">
        <v>0</v>
      </c>
      <c r="U192">
        <v>0</v>
      </c>
      <c r="V192">
        <v>300</v>
      </c>
      <c r="W192">
        <v>140103</v>
      </c>
      <c r="X192">
        <v>300</v>
      </c>
      <c r="Y192">
        <v>300</v>
      </c>
      <c r="Z192">
        <v>140103</v>
      </c>
      <c r="AA192">
        <v>467.01</v>
      </c>
    </row>
    <row r="193" spans="1:27" x14ac:dyDescent="0.25">
      <c r="A193" t="s">
        <v>316</v>
      </c>
      <c r="B193" t="s">
        <v>556</v>
      </c>
      <c r="C193" t="s">
        <v>1859</v>
      </c>
      <c r="D193" t="s">
        <v>581</v>
      </c>
      <c r="E193" t="s">
        <v>1151</v>
      </c>
      <c r="F193" t="s">
        <v>571</v>
      </c>
      <c r="G193" s="204"/>
      <c r="L193">
        <v>0</v>
      </c>
      <c r="M193">
        <v>0</v>
      </c>
      <c r="N193">
        <v>275</v>
      </c>
      <c r="O193">
        <v>40521.25</v>
      </c>
      <c r="P193">
        <v>275</v>
      </c>
      <c r="Q193">
        <v>275</v>
      </c>
      <c r="R193">
        <v>40521.25</v>
      </c>
      <c r="S193">
        <v>147.35</v>
      </c>
      <c r="T193">
        <v>0</v>
      </c>
      <c r="U193">
        <v>0</v>
      </c>
      <c r="V193">
        <v>285</v>
      </c>
      <c r="W193">
        <v>43254.45</v>
      </c>
      <c r="X193">
        <v>285</v>
      </c>
      <c r="Y193">
        <v>285</v>
      </c>
    </row>
    <row r="194" spans="1:27" x14ac:dyDescent="0.25">
      <c r="A194" t="s">
        <v>539</v>
      </c>
      <c r="B194" t="s">
        <v>565</v>
      </c>
      <c r="C194" t="s">
        <v>1858</v>
      </c>
      <c r="D194" t="s">
        <v>579</v>
      </c>
      <c r="E194" t="s">
        <v>1266</v>
      </c>
      <c r="F194" t="s">
        <v>571</v>
      </c>
      <c r="G194" s="204"/>
      <c r="J194">
        <v>174</v>
      </c>
      <c r="K194">
        <v>58872.9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7" x14ac:dyDescent="0.25">
      <c r="A195" t="s">
        <v>539</v>
      </c>
      <c r="B195" t="s">
        <v>565</v>
      </c>
      <c r="C195" t="s">
        <v>1858</v>
      </c>
      <c r="D195" t="s">
        <v>579</v>
      </c>
      <c r="E195" t="s">
        <v>1136</v>
      </c>
      <c r="F195" t="s">
        <v>571</v>
      </c>
      <c r="G195" s="204"/>
      <c r="J195">
        <v>125</v>
      </c>
      <c r="K195">
        <v>26250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7" x14ac:dyDescent="0.25">
      <c r="A196" t="s">
        <v>539</v>
      </c>
      <c r="B196" t="s">
        <v>565</v>
      </c>
      <c r="C196" t="s">
        <v>1858</v>
      </c>
      <c r="D196" t="s">
        <v>579</v>
      </c>
      <c r="E196" t="s">
        <v>1173</v>
      </c>
      <c r="F196" t="s">
        <v>571</v>
      </c>
      <c r="G196" s="204"/>
      <c r="L196">
        <v>29</v>
      </c>
      <c r="M196">
        <v>13560.98</v>
      </c>
      <c r="N196">
        <v>0</v>
      </c>
      <c r="O196">
        <v>0</v>
      </c>
      <c r="P196">
        <v>0</v>
      </c>
      <c r="Q196">
        <v>29</v>
      </c>
      <c r="T196">
        <v>0</v>
      </c>
      <c r="U196">
        <v>0</v>
      </c>
      <c r="V196">
        <v>25</v>
      </c>
      <c r="W196">
        <v>15000</v>
      </c>
      <c r="X196">
        <v>25</v>
      </c>
      <c r="Y196">
        <v>25</v>
      </c>
      <c r="Z196">
        <v>15000</v>
      </c>
      <c r="AA196">
        <v>600</v>
      </c>
    </row>
    <row r="197" spans="1:27" x14ac:dyDescent="0.25">
      <c r="A197" t="s">
        <v>410</v>
      </c>
      <c r="B197" t="s">
        <v>556</v>
      </c>
      <c r="C197" t="s">
        <v>555</v>
      </c>
      <c r="D197" t="s">
        <v>583</v>
      </c>
      <c r="E197" t="s">
        <v>1258</v>
      </c>
      <c r="F197" t="s">
        <v>571</v>
      </c>
      <c r="G197" s="204"/>
      <c r="L197">
        <v>0</v>
      </c>
      <c r="M197">
        <v>0</v>
      </c>
      <c r="N197">
        <v>742</v>
      </c>
      <c r="O197">
        <v>55182.54</v>
      </c>
      <c r="P197">
        <v>742</v>
      </c>
      <c r="Q197">
        <v>742</v>
      </c>
      <c r="R197">
        <v>55182.54</v>
      </c>
      <c r="S197">
        <v>74.37</v>
      </c>
      <c r="T197">
        <v>0</v>
      </c>
      <c r="U197">
        <v>0</v>
      </c>
      <c r="V197">
        <v>1956</v>
      </c>
      <c r="W197">
        <v>145467.72</v>
      </c>
      <c r="X197">
        <v>1956</v>
      </c>
      <c r="Y197">
        <v>1956</v>
      </c>
    </row>
    <row r="198" spans="1:27" x14ac:dyDescent="0.25">
      <c r="A198" t="s">
        <v>400</v>
      </c>
      <c r="B198" t="s">
        <v>565</v>
      </c>
      <c r="C198" t="s">
        <v>555</v>
      </c>
      <c r="D198" t="s">
        <v>624</v>
      </c>
      <c r="E198" t="s">
        <v>1136</v>
      </c>
      <c r="F198" t="s">
        <v>571</v>
      </c>
      <c r="G198" s="204"/>
      <c r="J198">
        <v>34</v>
      </c>
      <c r="K198">
        <v>47834.600000000006</v>
      </c>
      <c r="L198">
        <v>6</v>
      </c>
      <c r="M198">
        <v>8441.4</v>
      </c>
      <c r="N198">
        <v>47</v>
      </c>
      <c r="O198">
        <v>73085</v>
      </c>
      <c r="P198">
        <v>47</v>
      </c>
      <c r="Q198">
        <v>53</v>
      </c>
      <c r="T198">
        <v>0</v>
      </c>
      <c r="U198">
        <v>0</v>
      </c>
      <c r="V198">
        <v>113</v>
      </c>
      <c r="W198">
        <v>175715</v>
      </c>
      <c r="X198">
        <v>113</v>
      </c>
      <c r="Y198">
        <v>113</v>
      </c>
    </row>
    <row r="199" spans="1:27" x14ac:dyDescent="0.25">
      <c r="A199" t="s">
        <v>491</v>
      </c>
      <c r="B199" t="s">
        <v>556</v>
      </c>
      <c r="C199" t="s">
        <v>555</v>
      </c>
      <c r="D199" t="s">
        <v>624</v>
      </c>
      <c r="E199" t="s">
        <v>1269</v>
      </c>
      <c r="F199" t="s">
        <v>571</v>
      </c>
      <c r="G199" s="204"/>
      <c r="L199">
        <v>23</v>
      </c>
      <c r="M199">
        <v>33742.15</v>
      </c>
      <c r="N199">
        <v>0</v>
      </c>
      <c r="O199">
        <v>0</v>
      </c>
      <c r="P199">
        <v>0</v>
      </c>
      <c r="Q199">
        <v>23</v>
      </c>
      <c r="R199">
        <v>33742.15</v>
      </c>
      <c r="S199">
        <v>1467.05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7" x14ac:dyDescent="0.25">
      <c r="A200" t="s">
        <v>270</v>
      </c>
      <c r="B200" t="s">
        <v>562</v>
      </c>
      <c r="C200" t="s">
        <v>1860</v>
      </c>
      <c r="D200" t="s">
        <v>622</v>
      </c>
      <c r="E200" t="s">
        <v>1248</v>
      </c>
      <c r="F200" t="s">
        <v>571</v>
      </c>
      <c r="G200" s="204"/>
      <c r="J200">
        <v>50</v>
      </c>
      <c r="K200">
        <v>31250</v>
      </c>
      <c r="L200">
        <v>50</v>
      </c>
      <c r="M200">
        <v>31250</v>
      </c>
      <c r="N200">
        <v>0</v>
      </c>
      <c r="O200">
        <v>0</v>
      </c>
      <c r="P200">
        <v>0</v>
      </c>
      <c r="Q200">
        <v>50</v>
      </c>
      <c r="R200">
        <v>31250</v>
      </c>
      <c r="S200">
        <v>625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7" x14ac:dyDescent="0.25">
      <c r="A201" t="s">
        <v>71</v>
      </c>
      <c r="B201" t="s">
        <v>566</v>
      </c>
      <c r="C201" t="s">
        <v>920</v>
      </c>
      <c r="D201" t="s">
        <v>920</v>
      </c>
      <c r="E201" t="s">
        <v>1330</v>
      </c>
      <c r="F201" t="s">
        <v>571</v>
      </c>
      <c r="G201" s="204"/>
      <c r="H201">
        <v>8500</v>
      </c>
      <c r="I201">
        <v>59755</v>
      </c>
      <c r="L201">
        <v>25000</v>
      </c>
      <c r="M201">
        <v>175000</v>
      </c>
      <c r="N201">
        <v>0</v>
      </c>
      <c r="O201">
        <v>0</v>
      </c>
      <c r="P201">
        <v>0</v>
      </c>
      <c r="Q201">
        <v>25000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7" x14ac:dyDescent="0.25">
      <c r="A202" t="s">
        <v>527</v>
      </c>
      <c r="B202" t="s">
        <v>562</v>
      </c>
      <c r="C202" t="s">
        <v>1860</v>
      </c>
      <c r="D202" t="s">
        <v>680</v>
      </c>
      <c r="E202" t="s">
        <v>1179</v>
      </c>
      <c r="F202" t="s">
        <v>571</v>
      </c>
      <c r="G202" s="204"/>
      <c r="H202">
        <v>18</v>
      </c>
      <c r="I202">
        <v>18270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7" x14ac:dyDescent="0.25">
      <c r="A203" t="s">
        <v>452</v>
      </c>
      <c r="B203" t="s">
        <v>566</v>
      </c>
      <c r="C203" t="s">
        <v>920</v>
      </c>
      <c r="D203" t="s">
        <v>920</v>
      </c>
      <c r="E203" t="s">
        <v>1266</v>
      </c>
      <c r="F203" t="s">
        <v>571</v>
      </c>
      <c r="G203" s="204"/>
      <c r="L203">
        <v>250</v>
      </c>
      <c r="M203">
        <v>3442.5</v>
      </c>
      <c r="N203">
        <v>0</v>
      </c>
      <c r="O203">
        <v>0</v>
      </c>
      <c r="P203">
        <v>0</v>
      </c>
      <c r="Q203">
        <v>250</v>
      </c>
      <c r="R203">
        <v>3442.5</v>
      </c>
      <c r="S203">
        <v>13.77</v>
      </c>
      <c r="T203">
        <v>0</v>
      </c>
      <c r="U203">
        <v>0</v>
      </c>
      <c r="V203">
        <v>250</v>
      </c>
      <c r="W203">
        <v>3442.5</v>
      </c>
      <c r="X203">
        <v>250</v>
      </c>
      <c r="Y203">
        <v>250</v>
      </c>
      <c r="Z203">
        <v>3442.5</v>
      </c>
      <c r="AA203">
        <v>13.77</v>
      </c>
    </row>
    <row r="204" spans="1:27" x14ac:dyDescent="0.25">
      <c r="A204" t="s">
        <v>31</v>
      </c>
      <c r="B204" t="s">
        <v>567</v>
      </c>
      <c r="C204" t="s">
        <v>920</v>
      </c>
      <c r="D204" t="s">
        <v>920</v>
      </c>
      <c r="E204" t="s">
        <v>1111</v>
      </c>
      <c r="F204" t="s">
        <v>571</v>
      </c>
      <c r="G204" s="204"/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T204">
        <v>0</v>
      </c>
      <c r="U204">
        <v>0</v>
      </c>
      <c r="V204">
        <v>500</v>
      </c>
      <c r="W204">
        <v>0</v>
      </c>
      <c r="X204">
        <v>0</v>
      </c>
      <c r="Y204">
        <v>0</v>
      </c>
      <c r="Z204">
        <v>0</v>
      </c>
    </row>
    <row r="205" spans="1:27" x14ac:dyDescent="0.25">
      <c r="A205" t="s">
        <v>71</v>
      </c>
      <c r="B205" t="s">
        <v>566</v>
      </c>
      <c r="C205" t="s">
        <v>920</v>
      </c>
      <c r="D205" t="s">
        <v>920</v>
      </c>
      <c r="E205" t="s">
        <v>1316</v>
      </c>
      <c r="F205" t="s">
        <v>571</v>
      </c>
      <c r="G205" s="204"/>
      <c r="L205">
        <v>2000</v>
      </c>
      <c r="M205">
        <v>17220</v>
      </c>
      <c r="N205">
        <v>1500</v>
      </c>
      <c r="O205">
        <v>12915</v>
      </c>
      <c r="P205">
        <v>1500</v>
      </c>
      <c r="Q205">
        <v>3500</v>
      </c>
      <c r="T205">
        <v>0</v>
      </c>
      <c r="U205">
        <v>0</v>
      </c>
      <c r="V205">
        <v>1000</v>
      </c>
      <c r="W205">
        <v>8610</v>
      </c>
      <c r="X205">
        <v>1000</v>
      </c>
      <c r="Y205">
        <v>1000</v>
      </c>
      <c r="Z205">
        <v>8610</v>
      </c>
      <c r="AA205">
        <v>8.61</v>
      </c>
    </row>
    <row r="206" spans="1:27" x14ac:dyDescent="0.25">
      <c r="A206" t="s">
        <v>1583</v>
      </c>
      <c r="B206" t="s">
        <v>554</v>
      </c>
      <c r="C206" t="s">
        <v>555</v>
      </c>
      <c r="D206" t="s">
        <v>1865</v>
      </c>
      <c r="E206" t="s">
        <v>1434</v>
      </c>
      <c r="F206" t="s">
        <v>571</v>
      </c>
      <c r="G206" s="204"/>
      <c r="J206">
        <v>100</v>
      </c>
      <c r="K206">
        <v>30038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7" x14ac:dyDescent="0.25">
      <c r="A207" t="s">
        <v>494</v>
      </c>
      <c r="B207" t="s">
        <v>562</v>
      </c>
      <c r="C207" t="s">
        <v>1860</v>
      </c>
      <c r="D207" t="s">
        <v>680</v>
      </c>
      <c r="E207" t="s">
        <v>1343</v>
      </c>
      <c r="F207" t="s">
        <v>571</v>
      </c>
      <c r="G207" s="204"/>
      <c r="H207">
        <v>71</v>
      </c>
      <c r="I207">
        <v>47729.04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7" x14ac:dyDescent="0.25">
      <c r="A208" t="s">
        <v>494</v>
      </c>
      <c r="B208" t="s">
        <v>562</v>
      </c>
      <c r="C208" t="s">
        <v>1860</v>
      </c>
      <c r="D208" t="s">
        <v>680</v>
      </c>
      <c r="E208" t="s">
        <v>1177</v>
      </c>
      <c r="F208" t="s">
        <v>571</v>
      </c>
      <c r="G208" s="204"/>
      <c r="H208">
        <v>78</v>
      </c>
      <c r="I208">
        <v>52434.720000000001</v>
      </c>
      <c r="L208">
        <v>144</v>
      </c>
      <c r="M208">
        <v>103434.48</v>
      </c>
      <c r="N208">
        <v>0</v>
      </c>
      <c r="O208">
        <v>0</v>
      </c>
      <c r="P208">
        <v>0</v>
      </c>
      <c r="Q208">
        <v>144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7" x14ac:dyDescent="0.25">
      <c r="A209" t="s">
        <v>8</v>
      </c>
      <c r="B209" t="s">
        <v>556</v>
      </c>
      <c r="C209" t="s">
        <v>564</v>
      </c>
      <c r="D209" t="s">
        <v>632</v>
      </c>
      <c r="E209" t="s">
        <v>1164</v>
      </c>
      <c r="F209" t="s">
        <v>571</v>
      </c>
      <c r="G209" s="204"/>
      <c r="L209">
        <v>246</v>
      </c>
      <c r="M209">
        <v>32912.340000000004</v>
      </c>
      <c r="N209">
        <v>32</v>
      </c>
      <c r="O209">
        <v>4281.28</v>
      </c>
      <c r="P209">
        <v>32</v>
      </c>
      <c r="Q209">
        <v>278</v>
      </c>
      <c r="R209">
        <v>37193.620000000003</v>
      </c>
      <c r="S209">
        <v>133.79000000000002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7" x14ac:dyDescent="0.25">
      <c r="A210" t="s">
        <v>507</v>
      </c>
      <c r="B210" t="s">
        <v>565</v>
      </c>
      <c r="C210" t="s">
        <v>1860</v>
      </c>
      <c r="D210" t="s">
        <v>680</v>
      </c>
      <c r="E210" t="s">
        <v>1179</v>
      </c>
      <c r="F210" t="s">
        <v>571</v>
      </c>
      <c r="G210" s="204"/>
      <c r="L210">
        <v>153</v>
      </c>
      <c r="M210">
        <v>112308.94999999998</v>
      </c>
      <c r="N210">
        <v>0</v>
      </c>
      <c r="O210">
        <v>0</v>
      </c>
      <c r="P210">
        <v>0</v>
      </c>
      <c r="Q210">
        <v>153</v>
      </c>
      <c r="R210">
        <v>112308.94999999998</v>
      </c>
      <c r="S210">
        <v>734.04542483660123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7" x14ac:dyDescent="0.25">
      <c r="A211" t="s">
        <v>700</v>
      </c>
      <c r="B211" t="s">
        <v>562</v>
      </c>
      <c r="C211" t="s">
        <v>1860</v>
      </c>
      <c r="D211" t="s">
        <v>612</v>
      </c>
      <c r="E211" t="s">
        <v>1212</v>
      </c>
      <c r="F211" t="s">
        <v>578</v>
      </c>
      <c r="G211" s="204">
        <v>46752</v>
      </c>
      <c r="L211">
        <v>18</v>
      </c>
      <c r="M211">
        <v>17280</v>
      </c>
      <c r="N211">
        <v>24</v>
      </c>
      <c r="O211">
        <v>23040</v>
      </c>
      <c r="P211">
        <v>24</v>
      </c>
      <c r="Q211">
        <v>42</v>
      </c>
      <c r="R211">
        <v>40320</v>
      </c>
      <c r="S211">
        <v>960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7" x14ac:dyDescent="0.25">
      <c r="A212" t="s">
        <v>479</v>
      </c>
      <c r="B212" t="s">
        <v>562</v>
      </c>
      <c r="C212" t="s">
        <v>1860</v>
      </c>
      <c r="D212" t="s">
        <v>622</v>
      </c>
      <c r="E212" t="s">
        <v>1139</v>
      </c>
      <c r="F212" t="s">
        <v>571</v>
      </c>
      <c r="G212" s="204"/>
      <c r="L212">
        <v>0</v>
      </c>
      <c r="M212">
        <v>0</v>
      </c>
      <c r="N212">
        <v>60</v>
      </c>
      <c r="O212">
        <v>218700</v>
      </c>
      <c r="P212">
        <v>60</v>
      </c>
      <c r="Q212">
        <v>60</v>
      </c>
      <c r="R212">
        <v>218700</v>
      </c>
      <c r="S212">
        <v>3645</v>
      </c>
      <c r="T212">
        <v>0</v>
      </c>
      <c r="U212">
        <v>0</v>
      </c>
      <c r="V212">
        <v>115</v>
      </c>
      <c r="W212">
        <v>419175</v>
      </c>
      <c r="X212">
        <v>115</v>
      </c>
      <c r="Y212">
        <v>115</v>
      </c>
    </row>
    <row r="213" spans="1:27" x14ac:dyDescent="0.25">
      <c r="A213" t="s">
        <v>479</v>
      </c>
      <c r="B213" t="s">
        <v>562</v>
      </c>
      <c r="C213" t="s">
        <v>1860</v>
      </c>
      <c r="D213" t="s">
        <v>622</v>
      </c>
      <c r="E213" t="s">
        <v>1400</v>
      </c>
      <c r="F213" t="s">
        <v>571</v>
      </c>
      <c r="G213" s="204"/>
      <c r="J213">
        <v>20</v>
      </c>
      <c r="K213">
        <v>55040</v>
      </c>
      <c r="L213">
        <v>29</v>
      </c>
      <c r="M213">
        <v>83798.399999999994</v>
      </c>
      <c r="N213">
        <v>0</v>
      </c>
      <c r="O213">
        <v>0</v>
      </c>
      <c r="P213">
        <v>0</v>
      </c>
      <c r="Q213">
        <v>29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7" x14ac:dyDescent="0.25">
      <c r="A214" t="s">
        <v>479</v>
      </c>
      <c r="B214" t="s">
        <v>562</v>
      </c>
      <c r="C214" t="s">
        <v>1860</v>
      </c>
      <c r="D214" t="s">
        <v>622</v>
      </c>
      <c r="E214" t="s">
        <v>1179</v>
      </c>
      <c r="F214" t="s">
        <v>571</v>
      </c>
      <c r="G214" s="204"/>
      <c r="L214">
        <v>4</v>
      </c>
      <c r="M214">
        <v>13867.2</v>
      </c>
      <c r="N214">
        <v>0</v>
      </c>
      <c r="O214">
        <v>0</v>
      </c>
      <c r="P214">
        <v>0</v>
      </c>
      <c r="Q214">
        <v>4</v>
      </c>
      <c r="R214">
        <v>13867.2</v>
      </c>
      <c r="S214">
        <v>3466.8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7" x14ac:dyDescent="0.25">
      <c r="A215" t="s">
        <v>316</v>
      </c>
      <c r="B215" t="s">
        <v>556</v>
      </c>
      <c r="C215" t="s">
        <v>1859</v>
      </c>
      <c r="D215" t="s">
        <v>581</v>
      </c>
      <c r="E215" t="s">
        <v>1264</v>
      </c>
      <c r="F215" t="s">
        <v>571</v>
      </c>
      <c r="G215" s="204"/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T215">
        <v>0</v>
      </c>
      <c r="U215">
        <v>0</v>
      </c>
      <c r="V215">
        <v>1035</v>
      </c>
      <c r="W215">
        <v>126518.39999999999</v>
      </c>
      <c r="X215">
        <v>1035</v>
      </c>
      <c r="Y215">
        <v>1035</v>
      </c>
      <c r="Z215">
        <v>126518.39999999999</v>
      </c>
      <c r="AA215">
        <v>122.24</v>
      </c>
    </row>
    <row r="216" spans="1:27" x14ac:dyDescent="0.25">
      <c r="A216" t="s">
        <v>1153</v>
      </c>
      <c r="B216" t="s">
        <v>556</v>
      </c>
      <c r="C216" t="s">
        <v>1859</v>
      </c>
      <c r="D216" t="s">
        <v>593</v>
      </c>
      <c r="E216" t="s">
        <v>1152</v>
      </c>
      <c r="F216" t="s">
        <v>571</v>
      </c>
      <c r="G216" s="204"/>
      <c r="L216">
        <v>147</v>
      </c>
      <c r="M216">
        <v>22702.68</v>
      </c>
      <c r="N216">
        <v>0</v>
      </c>
      <c r="O216">
        <v>0</v>
      </c>
      <c r="P216">
        <v>0</v>
      </c>
      <c r="Q216">
        <v>147</v>
      </c>
      <c r="R216">
        <v>22702.68</v>
      </c>
      <c r="S216">
        <v>154.44</v>
      </c>
      <c r="T216">
        <v>0</v>
      </c>
      <c r="U216">
        <v>0</v>
      </c>
      <c r="V216">
        <v>613</v>
      </c>
      <c r="W216">
        <v>94671.72</v>
      </c>
      <c r="X216">
        <v>613</v>
      </c>
      <c r="Y216">
        <v>613</v>
      </c>
    </row>
    <row r="217" spans="1:27" x14ac:dyDescent="0.25">
      <c r="A217" t="s">
        <v>298</v>
      </c>
      <c r="B217" t="s">
        <v>562</v>
      </c>
      <c r="C217" t="s">
        <v>1859</v>
      </c>
      <c r="D217" t="s">
        <v>621</v>
      </c>
      <c r="E217" t="s">
        <v>1173</v>
      </c>
      <c r="F217" t="s">
        <v>571</v>
      </c>
      <c r="G217" s="204"/>
      <c r="J217">
        <v>2</v>
      </c>
      <c r="K217">
        <v>14306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7" x14ac:dyDescent="0.25">
      <c r="A218" t="s">
        <v>1130</v>
      </c>
      <c r="B218" t="s">
        <v>562</v>
      </c>
      <c r="E218" t="s">
        <v>1111</v>
      </c>
      <c r="F218" t="s">
        <v>571</v>
      </c>
      <c r="G218" s="204"/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T218">
        <v>0</v>
      </c>
      <c r="U218">
        <v>0</v>
      </c>
      <c r="V218">
        <v>32</v>
      </c>
      <c r="W218">
        <v>0</v>
      </c>
      <c r="X218">
        <v>0</v>
      </c>
      <c r="Y218">
        <v>0</v>
      </c>
      <c r="Z218">
        <v>0</v>
      </c>
    </row>
    <row r="219" spans="1:27" x14ac:dyDescent="0.25">
      <c r="A219" t="s">
        <v>298</v>
      </c>
      <c r="B219" t="s">
        <v>562</v>
      </c>
      <c r="C219" t="s">
        <v>1859</v>
      </c>
      <c r="D219" t="s">
        <v>621</v>
      </c>
      <c r="E219" t="s">
        <v>1216</v>
      </c>
      <c r="F219" t="s">
        <v>571</v>
      </c>
      <c r="G219" s="204"/>
      <c r="L219">
        <v>25</v>
      </c>
      <c r="M219">
        <v>131565</v>
      </c>
      <c r="N219">
        <v>0</v>
      </c>
      <c r="O219">
        <v>0</v>
      </c>
      <c r="P219">
        <v>0</v>
      </c>
      <c r="Q219">
        <v>25</v>
      </c>
      <c r="R219">
        <v>131565</v>
      </c>
      <c r="S219">
        <v>5262.6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7" x14ac:dyDescent="0.25">
      <c r="A220" t="s">
        <v>1131</v>
      </c>
      <c r="B220" t="s">
        <v>562</v>
      </c>
      <c r="E220" t="s">
        <v>1111</v>
      </c>
      <c r="F220" t="s">
        <v>571</v>
      </c>
      <c r="G220" s="204"/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T220">
        <v>0</v>
      </c>
      <c r="U220">
        <v>0</v>
      </c>
      <c r="V220">
        <v>10</v>
      </c>
      <c r="W220">
        <v>0</v>
      </c>
      <c r="X220">
        <v>0</v>
      </c>
      <c r="Y220">
        <v>0</v>
      </c>
      <c r="Z220">
        <v>0</v>
      </c>
    </row>
    <row r="221" spans="1:27" x14ac:dyDescent="0.25">
      <c r="A221" t="s">
        <v>1697</v>
      </c>
      <c r="C221" t="s">
        <v>1859</v>
      </c>
      <c r="D221" t="s">
        <v>569</v>
      </c>
      <c r="E221" t="s">
        <v>1167</v>
      </c>
      <c r="F221" t="s">
        <v>571</v>
      </c>
      <c r="G221" s="204"/>
      <c r="H221">
        <v>4</v>
      </c>
      <c r="I221">
        <v>700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7" x14ac:dyDescent="0.25">
      <c r="A222" t="s">
        <v>891</v>
      </c>
      <c r="B222" t="s">
        <v>562</v>
      </c>
      <c r="C222" t="s">
        <v>1859</v>
      </c>
      <c r="D222" t="s">
        <v>618</v>
      </c>
      <c r="E222" t="s">
        <v>1456</v>
      </c>
      <c r="F222" t="s">
        <v>571</v>
      </c>
      <c r="G222" s="204"/>
      <c r="H222">
        <v>15</v>
      </c>
      <c r="L222">
        <v>4</v>
      </c>
      <c r="M222">
        <v>20000</v>
      </c>
      <c r="N222">
        <v>0</v>
      </c>
      <c r="O222">
        <v>0</v>
      </c>
      <c r="P222">
        <v>0</v>
      </c>
      <c r="Q222">
        <v>4</v>
      </c>
      <c r="R222">
        <v>20000</v>
      </c>
      <c r="S222">
        <v>5000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7" x14ac:dyDescent="0.25">
      <c r="A223" t="s">
        <v>449</v>
      </c>
      <c r="B223" t="s">
        <v>566</v>
      </c>
      <c r="C223" t="s">
        <v>920</v>
      </c>
      <c r="D223" t="s">
        <v>920</v>
      </c>
      <c r="E223" t="s">
        <v>1266</v>
      </c>
      <c r="F223" t="s">
        <v>571</v>
      </c>
      <c r="G223" s="204"/>
      <c r="H223">
        <v>1000</v>
      </c>
      <c r="I223">
        <v>6950</v>
      </c>
      <c r="L223">
        <v>3200</v>
      </c>
      <c r="M223">
        <v>23616</v>
      </c>
      <c r="N223">
        <v>0</v>
      </c>
      <c r="O223">
        <v>0</v>
      </c>
      <c r="P223">
        <v>0</v>
      </c>
      <c r="Q223">
        <v>3200</v>
      </c>
      <c r="T223">
        <v>0</v>
      </c>
      <c r="U223">
        <v>0</v>
      </c>
      <c r="V223">
        <v>2250</v>
      </c>
      <c r="W223">
        <v>16605</v>
      </c>
      <c r="X223">
        <v>2250</v>
      </c>
      <c r="Y223">
        <v>2250</v>
      </c>
    </row>
    <row r="224" spans="1:27" x14ac:dyDescent="0.25">
      <c r="A224" t="s">
        <v>1584</v>
      </c>
      <c r="B224" t="s">
        <v>554</v>
      </c>
      <c r="C224" t="s">
        <v>555</v>
      </c>
      <c r="D224" t="s">
        <v>1865</v>
      </c>
      <c r="E224" t="s">
        <v>1434</v>
      </c>
      <c r="F224" t="s">
        <v>571</v>
      </c>
      <c r="G224" s="204"/>
      <c r="J224">
        <v>50</v>
      </c>
      <c r="K224">
        <v>27350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7" x14ac:dyDescent="0.25">
      <c r="A225" t="s">
        <v>401</v>
      </c>
      <c r="B225" t="s">
        <v>562</v>
      </c>
      <c r="C225" t="s">
        <v>555</v>
      </c>
      <c r="D225" t="s">
        <v>624</v>
      </c>
      <c r="E225" t="s">
        <v>1269</v>
      </c>
      <c r="F225" t="s">
        <v>571</v>
      </c>
      <c r="G225" s="204"/>
      <c r="J225">
        <v>1</v>
      </c>
      <c r="K225">
        <v>1951</v>
      </c>
      <c r="L225">
        <v>44</v>
      </c>
      <c r="M225">
        <v>89191.5</v>
      </c>
      <c r="N225">
        <v>0</v>
      </c>
      <c r="O225">
        <v>0</v>
      </c>
      <c r="P225">
        <v>0</v>
      </c>
      <c r="Q225">
        <v>44</v>
      </c>
      <c r="T225">
        <v>0</v>
      </c>
      <c r="U225">
        <v>0</v>
      </c>
      <c r="V225">
        <v>40</v>
      </c>
      <c r="W225">
        <v>91430</v>
      </c>
      <c r="X225">
        <v>40</v>
      </c>
      <c r="Y225">
        <v>40</v>
      </c>
    </row>
    <row r="226" spans="1:27" x14ac:dyDescent="0.25">
      <c r="A226" t="s">
        <v>59</v>
      </c>
      <c r="B226" t="s">
        <v>566</v>
      </c>
      <c r="C226" t="s">
        <v>920</v>
      </c>
      <c r="D226" t="s">
        <v>920</v>
      </c>
      <c r="E226" t="s">
        <v>1212</v>
      </c>
      <c r="F226" t="s">
        <v>571</v>
      </c>
      <c r="G226" s="204"/>
      <c r="H226">
        <v>250</v>
      </c>
      <c r="I226">
        <v>4167.5</v>
      </c>
      <c r="L226">
        <v>500</v>
      </c>
      <c r="M226">
        <v>8585</v>
      </c>
      <c r="N226">
        <v>0</v>
      </c>
      <c r="O226">
        <v>0</v>
      </c>
      <c r="P226">
        <v>0</v>
      </c>
      <c r="Q226">
        <v>500</v>
      </c>
      <c r="T226">
        <v>0</v>
      </c>
      <c r="U226">
        <v>0</v>
      </c>
      <c r="V226">
        <v>1000</v>
      </c>
      <c r="W226">
        <v>17760</v>
      </c>
      <c r="X226">
        <v>1000</v>
      </c>
      <c r="Y226">
        <v>1000</v>
      </c>
    </row>
    <row r="227" spans="1:27" x14ac:dyDescent="0.25">
      <c r="A227" t="s">
        <v>369</v>
      </c>
      <c r="B227" t="s">
        <v>556</v>
      </c>
      <c r="C227" t="s">
        <v>1858</v>
      </c>
      <c r="D227" t="s">
        <v>584</v>
      </c>
      <c r="E227" t="s">
        <v>1330</v>
      </c>
      <c r="F227" t="s">
        <v>571</v>
      </c>
      <c r="G227" s="204"/>
      <c r="J227">
        <v>585</v>
      </c>
      <c r="K227">
        <v>256364.55000000002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7" x14ac:dyDescent="0.25">
      <c r="A228" t="s">
        <v>7</v>
      </c>
      <c r="B228" t="s">
        <v>566</v>
      </c>
      <c r="C228" t="s">
        <v>920</v>
      </c>
      <c r="D228" t="s">
        <v>920</v>
      </c>
      <c r="E228" t="s">
        <v>1247</v>
      </c>
      <c r="F228" t="s">
        <v>571</v>
      </c>
      <c r="G228" s="204"/>
      <c r="L228">
        <v>5880</v>
      </c>
      <c r="M228">
        <v>48568.800000000003</v>
      </c>
      <c r="N228">
        <v>0</v>
      </c>
      <c r="O228">
        <v>0</v>
      </c>
      <c r="P228">
        <v>0</v>
      </c>
      <c r="Q228">
        <v>5880</v>
      </c>
      <c r="T228">
        <v>0</v>
      </c>
      <c r="U228">
        <v>0</v>
      </c>
      <c r="V228">
        <v>2000</v>
      </c>
      <c r="W228">
        <v>16520</v>
      </c>
      <c r="X228">
        <v>2000</v>
      </c>
      <c r="Y228">
        <v>2000</v>
      </c>
      <c r="Z228">
        <v>16520</v>
      </c>
      <c r="AA228">
        <v>8.26</v>
      </c>
    </row>
    <row r="229" spans="1:27" x14ac:dyDescent="0.25">
      <c r="A229" t="s">
        <v>87</v>
      </c>
      <c r="B229" t="s">
        <v>566</v>
      </c>
      <c r="C229" t="s">
        <v>920</v>
      </c>
      <c r="D229" t="s">
        <v>920</v>
      </c>
      <c r="E229" t="s">
        <v>1138</v>
      </c>
      <c r="F229" t="s">
        <v>571</v>
      </c>
      <c r="G229" s="204"/>
      <c r="H229">
        <v>17900</v>
      </c>
      <c r="I229">
        <v>100594</v>
      </c>
      <c r="L229">
        <v>14000</v>
      </c>
      <c r="M229">
        <v>75040</v>
      </c>
      <c r="N229">
        <v>9000</v>
      </c>
      <c r="O229">
        <v>69840</v>
      </c>
      <c r="P229">
        <v>9000</v>
      </c>
      <c r="Q229">
        <v>23000</v>
      </c>
      <c r="T229">
        <v>0</v>
      </c>
      <c r="U229">
        <v>0</v>
      </c>
      <c r="V229">
        <v>21000</v>
      </c>
      <c r="W229">
        <v>162960</v>
      </c>
      <c r="X229">
        <v>21000</v>
      </c>
      <c r="Y229">
        <v>21000</v>
      </c>
    </row>
    <row r="230" spans="1:27" x14ac:dyDescent="0.25">
      <c r="A230" t="s">
        <v>369</v>
      </c>
      <c r="B230" t="s">
        <v>556</v>
      </c>
      <c r="C230" t="s">
        <v>1858</v>
      </c>
      <c r="D230" t="s">
        <v>584</v>
      </c>
      <c r="E230" t="s">
        <v>1343</v>
      </c>
      <c r="F230" t="s">
        <v>571</v>
      </c>
      <c r="G230" s="204"/>
      <c r="H230">
        <v>142</v>
      </c>
      <c r="I230">
        <v>37901.22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7" x14ac:dyDescent="0.25">
      <c r="A231" t="s">
        <v>369</v>
      </c>
      <c r="B231" t="s">
        <v>556</v>
      </c>
      <c r="C231" t="s">
        <v>1858</v>
      </c>
      <c r="D231" t="s">
        <v>584</v>
      </c>
      <c r="E231" t="s">
        <v>1698</v>
      </c>
      <c r="F231" t="s">
        <v>571</v>
      </c>
      <c r="G231" s="204"/>
      <c r="J231">
        <v>77</v>
      </c>
      <c r="K231">
        <v>27239.52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7" x14ac:dyDescent="0.25">
      <c r="A232" t="s">
        <v>369</v>
      </c>
      <c r="B232" t="s">
        <v>556</v>
      </c>
      <c r="C232" t="s">
        <v>1858</v>
      </c>
      <c r="D232" t="s">
        <v>584</v>
      </c>
      <c r="E232" t="s">
        <v>1266</v>
      </c>
      <c r="F232" t="s">
        <v>571</v>
      </c>
      <c r="G232" s="204"/>
      <c r="H232">
        <v>151</v>
      </c>
      <c r="I232">
        <v>53417.760000000002</v>
      </c>
      <c r="L232">
        <v>1142</v>
      </c>
      <c r="M232">
        <v>673216.88</v>
      </c>
      <c r="N232">
        <v>0</v>
      </c>
      <c r="O232">
        <v>0</v>
      </c>
      <c r="P232">
        <v>0</v>
      </c>
      <c r="Q232">
        <v>1142</v>
      </c>
      <c r="T232">
        <v>0</v>
      </c>
      <c r="U232">
        <v>0</v>
      </c>
      <c r="V232">
        <v>1724</v>
      </c>
      <c r="W232">
        <v>988955.36</v>
      </c>
      <c r="X232">
        <v>1724</v>
      </c>
      <c r="Y232">
        <v>1724</v>
      </c>
    </row>
    <row r="233" spans="1:27" x14ac:dyDescent="0.25">
      <c r="A233" t="s">
        <v>318</v>
      </c>
      <c r="B233" t="s">
        <v>565</v>
      </c>
      <c r="C233" t="s">
        <v>1859</v>
      </c>
      <c r="D233" t="s">
        <v>610</v>
      </c>
      <c r="E233" t="s">
        <v>1111</v>
      </c>
      <c r="F233" t="s">
        <v>571</v>
      </c>
      <c r="G233" s="204"/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T233">
        <v>0</v>
      </c>
      <c r="U233">
        <v>0</v>
      </c>
      <c r="V233">
        <v>216</v>
      </c>
      <c r="W233">
        <v>0.02</v>
      </c>
      <c r="X233">
        <v>0</v>
      </c>
      <c r="Y233">
        <v>0</v>
      </c>
      <c r="Z233">
        <v>0.02</v>
      </c>
    </row>
    <row r="234" spans="1:27" x14ac:dyDescent="0.25">
      <c r="A234" t="s">
        <v>392</v>
      </c>
      <c r="B234" t="s">
        <v>554</v>
      </c>
      <c r="C234" t="s">
        <v>555</v>
      </c>
      <c r="D234" t="s">
        <v>583</v>
      </c>
      <c r="E234" t="s">
        <v>1258</v>
      </c>
      <c r="F234" t="s">
        <v>571</v>
      </c>
      <c r="G234" s="204"/>
      <c r="L234">
        <v>0</v>
      </c>
      <c r="M234">
        <v>0</v>
      </c>
      <c r="N234">
        <v>110</v>
      </c>
      <c r="O234">
        <v>170186.5</v>
      </c>
      <c r="P234">
        <v>110</v>
      </c>
      <c r="Q234">
        <v>110</v>
      </c>
      <c r="R234">
        <v>170186.5</v>
      </c>
      <c r="S234">
        <v>1547.15</v>
      </c>
      <c r="T234">
        <v>0</v>
      </c>
      <c r="U234">
        <v>0</v>
      </c>
      <c r="V234">
        <v>110</v>
      </c>
      <c r="W234">
        <v>170186.5</v>
      </c>
      <c r="X234">
        <v>110</v>
      </c>
      <c r="Y234">
        <v>110</v>
      </c>
      <c r="Z234">
        <v>170186.5</v>
      </c>
      <c r="AA234">
        <v>1547.15</v>
      </c>
    </row>
    <row r="235" spans="1:27" x14ac:dyDescent="0.25">
      <c r="A235" t="s">
        <v>123</v>
      </c>
      <c r="B235" t="s">
        <v>1031</v>
      </c>
      <c r="C235" t="s">
        <v>920</v>
      </c>
      <c r="D235" t="s">
        <v>920</v>
      </c>
      <c r="E235" t="s">
        <v>1488</v>
      </c>
      <c r="F235" t="s">
        <v>571</v>
      </c>
      <c r="G235" s="204"/>
      <c r="J235">
        <v>20</v>
      </c>
      <c r="K235">
        <v>553.6</v>
      </c>
      <c r="L235">
        <v>84</v>
      </c>
      <c r="M235">
        <v>2325.12</v>
      </c>
      <c r="N235">
        <v>0</v>
      </c>
      <c r="O235">
        <v>0</v>
      </c>
      <c r="P235">
        <v>0</v>
      </c>
      <c r="Q235">
        <v>84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7" x14ac:dyDescent="0.25">
      <c r="A236" t="s">
        <v>21</v>
      </c>
      <c r="B236" t="s">
        <v>566</v>
      </c>
      <c r="C236" t="s">
        <v>920</v>
      </c>
      <c r="D236" t="s">
        <v>920</v>
      </c>
      <c r="E236" t="s">
        <v>1299</v>
      </c>
      <c r="F236" t="s">
        <v>571</v>
      </c>
      <c r="G236" s="204"/>
      <c r="L236">
        <v>700</v>
      </c>
      <c r="M236">
        <v>12495</v>
      </c>
      <c r="N236">
        <v>700</v>
      </c>
      <c r="O236">
        <v>12495</v>
      </c>
      <c r="P236">
        <v>700</v>
      </c>
      <c r="Q236">
        <v>1400</v>
      </c>
      <c r="T236">
        <v>0</v>
      </c>
      <c r="U236">
        <v>0</v>
      </c>
      <c r="V236">
        <v>700</v>
      </c>
      <c r="W236">
        <v>12495</v>
      </c>
      <c r="X236">
        <v>700</v>
      </c>
      <c r="Y236">
        <v>700</v>
      </c>
      <c r="Z236">
        <v>12495</v>
      </c>
      <c r="AA236">
        <v>17.850000000000001</v>
      </c>
    </row>
    <row r="237" spans="1:27" x14ac:dyDescent="0.25">
      <c r="A237" t="s">
        <v>103</v>
      </c>
      <c r="B237" t="s">
        <v>567</v>
      </c>
      <c r="C237" t="s">
        <v>920</v>
      </c>
      <c r="D237" t="s">
        <v>920</v>
      </c>
      <c r="E237" t="s">
        <v>1488</v>
      </c>
      <c r="F237" t="s">
        <v>571</v>
      </c>
      <c r="G237" s="204"/>
      <c r="J237">
        <v>60</v>
      </c>
      <c r="K237">
        <v>1219.8</v>
      </c>
      <c r="L237">
        <v>210</v>
      </c>
      <c r="M237">
        <v>4269.2999999999993</v>
      </c>
      <c r="N237">
        <v>0</v>
      </c>
      <c r="O237">
        <v>0</v>
      </c>
      <c r="P237">
        <v>0</v>
      </c>
      <c r="Q237">
        <v>210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7" x14ac:dyDescent="0.25">
      <c r="A238" t="s">
        <v>312</v>
      </c>
      <c r="B238" t="s">
        <v>556</v>
      </c>
      <c r="C238" t="s">
        <v>1859</v>
      </c>
      <c r="D238" t="s">
        <v>581</v>
      </c>
      <c r="E238" t="s">
        <v>1213</v>
      </c>
      <c r="F238" t="s">
        <v>571</v>
      </c>
      <c r="G238" s="204"/>
      <c r="L238">
        <v>33</v>
      </c>
      <c r="M238">
        <v>31174.77</v>
      </c>
      <c r="N238">
        <v>18</v>
      </c>
      <c r="O238">
        <v>17004.419999999998</v>
      </c>
      <c r="P238">
        <v>18</v>
      </c>
      <c r="Q238">
        <v>51</v>
      </c>
      <c r="R238">
        <v>48179.19</v>
      </c>
      <c r="S238">
        <v>944.69</v>
      </c>
      <c r="T238">
        <v>0</v>
      </c>
      <c r="U238">
        <v>0</v>
      </c>
      <c r="V238">
        <v>144</v>
      </c>
      <c r="W238">
        <v>136035.35999999999</v>
      </c>
      <c r="X238">
        <v>144</v>
      </c>
      <c r="Y238">
        <v>144</v>
      </c>
    </row>
    <row r="239" spans="1:27" x14ac:dyDescent="0.25">
      <c r="A239" t="s">
        <v>1127</v>
      </c>
      <c r="B239" t="s">
        <v>554</v>
      </c>
      <c r="E239" t="s">
        <v>1111</v>
      </c>
      <c r="F239" t="s">
        <v>571</v>
      </c>
      <c r="G239" s="204"/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T239">
        <v>0</v>
      </c>
      <c r="U239">
        <v>0</v>
      </c>
      <c r="V239">
        <v>30</v>
      </c>
      <c r="W239">
        <v>0</v>
      </c>
      <c r="X239">
        <v>0</v>
      </c>
      <c r="Y239">
        <v>0</v>
      </c>
      <c r="Z239">
        <v>0</v>
      </c>
    </row>
    <row r="240" spans="1:27" x14ac:dyDescent="0.25">
      <c r="A240" t="s">
        <v>369</v>
      </c>
      <c r="B240" t="s">
        <v>556</v>
      </c>
      <c r="C240" t="s">
        <v>1858</v>
      </c>
      <c r="D240" t="s">
        <v>584</v>
      </c>
      <c r="E240" t="s">
        <v>1173</v>
      </c>
      <c r="F240" t="s">
        <v>571</v>
      </c>
      <c r="G240" s="204"/>
      <c r="L240">
        <v>7</v>
      </c>
      <c r="M240">
        <v>4144</v>
      </c>
      <c r="N240">
        <v>0</v>
      </c>
      <c r="O240">
        <v>0</v>
      </c>
      <c r="P240">
        <v>0</v>
      </c>
      <c r="Q240">
        <v>7</v>
      </c>
      <c r="R240">
        <v>4144</v>
      </c>
      <c r="S240">
        <v>592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7" x14ac:dyDescent="0.25">
      <c r="A241" t="s">
        <v>393</v>
      </c>
      <c r="B241" t="s">
        <v>554</v>
      </c>
      <c r="C241" t="s">
        <v>555</v>
      </c>
      <c r="D241" t="s">
        <v>583</v>
      </c>
      <c r="E241" t="s">
        <v>1258</v>
      </c>
      <c r="F241" t="s">
        <v>571</v>
      </c>
      <c r="G241" s="204"/>
      <c r="L241">
        <v>0</v>
      </c>
      <c r="M241">
        <v>0</v>
      </c>
      <c r="N241">
        <v>63</v>
      </c>
      <c r="O241">
        <v>89797.68</v>
      </c>
      <c r="P241">
        <v>63</v>
      </c>
      <c r="Q241">
        <v>63</v>
      </c>
      <c r="R241">
        <v>89797.68</v>
      </c>
      <c r="S241">
        <v>1425.36</v>
      </c>
      <c r="T241">
        <v>0</v>
      </c>
      <c r="U241">
        <v>0</v>
      </c>
      <c r="V241">
        <v>63</v>
      </c>
      <c r="W241">
        <v>89797.68</v>
      </c>
      <c r="X241">
        <v>63</v>
      </c>
      <c r="Y241">
        <v>63</v>
      </c>
      <c r="Z241">
        <v>89797.68</v>
      </c>
      <c r="AA241">
        <v>1425.36</v>
      </c>
    </row>
    <row r="242" spans="1:27" x14ac:dyDescent="0.25">
      <c r="A242" t="s">
        <v>394</v>
      </c>
      <c r="B242" t="s">
        <v>554</v>
      </c>
      <c r="C242" t="s">
        <v>555</v>
      </c>
      <c r="D242" t="s">
        <v>583</v>
      </c>
      <c r="E242" t="s">
        <v>1258</v>
      </c>
      <c r="F242" t="s">
        <v>571</v>
      </c>
      <c r="G242" s="204"/>
      <c r="L242">
        <v>0</v>
      </c>
      <c r="M242">
        <v>0</v>
      </c>
      <c r="N242">
        <v>103</v>
      </c>
      <c r="O242">
        <v>148306.60999999999</v>
      </c>
      <c r="P242">
        <v>103</v>
      </c>
      <c r="Q242">
        <v>103</v>
      </c>
      <c r="R242">
        <v>148306.60999999999</v>
      </c>
      <c r="S242">
        <v>1439.87</v>
      </c>
      <c r="T242">
        <v>0</v>
      </c>
      <c r="U242">
        <v>0</v>
      </c>
      <c r="V242">
        <v>103</v>
      </c>
      <c r="W242">
        <v>148306.60999999999</v>
      </c>
      <c r="X242">
        <v>103</v>
      </c>
      <c r="Y242">
        <v>103</v>
      </c>
      <c r="Z242">
        <v>148306.60999999999</v>
      </c>
      <c r="AA242">
        <v>1439.87</v>
      </c>
    </row>
    <row r="243" spans="1:27" x14ac:dyDescent="0.25">
      <c r="A243" t="s">
        <v>395</v>
      </c>
      <c r="B243" t="s">
        <v>554</v>
      </c>
      <c r="C243" t="s">
        <v>555</v>
      </c>
      <c r="D243" t="s">
        <v>583</v>
      </c>
      <c r="E243" t="s">
        <v>1258</v>
      </c>
      <c r="F243" t="s">
        <v>571</v>
      </c>
      <c r="G243" s="204"/>
      <c r="L243">
        <v>0</v>
      </c>
      <c r="M243">
        <v>0</v>
      </c>
      <c r="N243">
        <v>104</v>
      </c>
      <c r="O243">
        <v>169887.12</v>
      </c>
      <c r="P243">
        <v>104</v>
      </c>
      <c r="Q243">
        <v>104</v>
      </c>
      <c r="R243">
        <v>169887.12</v>
      </c>
      <c r="S243">
        <v>1633.53</v>
      </c>
      <c r="T243">
        <v>0</v>
      </c>
      <c r="U243">
        <v>0</v>
      </c>
      <c r="V243">
        <v>104</v>
      </c>
      <c r="W243">
        <v>169887.12</v>
      </c>
      <c r="X243">
        <v>104</v>
      </c>
      <c r="Y243">
        <v>104</v>
      </c>
      <c r="Z243">
        <v>169887.12</v>
      </c>
      <c r="AA243">
        <v>1633.53</v>
      </c>
    </row>
    <row r="244" spans="1:27" x14ac:dyDescent="0.25">
      <c r="A244" t="s">
        <v>122</v>
      </c>
      <c r="B244" t="s">
        <v>565</v>
      </c>
      <c r="C244" t="s">
        <v>1859</v>
      </c>
      <c r="D244" t="s">
        <v>637</v>
      </c>
      <c r="E244" t="s">
        <v>1311</v>
      </c>
      <c r="F244" t="s">
        <v>571</v>
      </c>
      <c r="G244" s="204"/>
      <c r="H244">
        <v>100</v>
      </c>
      <c r="I244">
        <v>28553</v>
      </c>
      <c r="L244">
        <v>150</v>
      </c>
      <c r="M244">
        <v>44115</v>
      </c>
      <c r="N244">
        <v>0</v>
      </c>
      <c r="O244">
        <v>0</v>
      </c>
      <c r="P244">
        <v>0</v>
      </c>
      <c r="Q244">
        <v>150</v>
      </c>
      <c r="T244">
        <v>0</v>
      </c>
      <c r="U244">
        <v>0</v>
      </c>
      <c r="V244">
        <v>500</v>
      </c>
      <c r="W244">
        <v>185000</v>
      </c>
      <c r="X244">
        <v>500</v>
      </c>
      <c r="Y244">
        <v>500</v>
      </c>
    </row>
    <row r="245" spans="1:27" x14ac:dyDescent="0.25">
      <c r="A245" t="s">
        <v>526</v>
      </c>
      <c r="B245" t="s">
        <v>562</v>
      </c>
      <c r="C245" t="s">
        <v>564</v>
      </c>
      <c r="D245" t="s">
        <v>675</v>
      </c>
      <c r="E245" t="s">
        <v>1252</v>
      </c>
      <c r="F245" t="s">
        <v>571</v>
      </c>
      <c r="G245" s="204"/>
      <c r="J245">
        <v>56</v>
      </c>
      <c r="K245">
        <v>28686.560000000001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7" x14ac:dyDescent="0.25">
      <c r="A246" t="s">
        <v>701</v>
      </c>
      <c r="B246" t="s">
        <v>565</v>
      </c>
      <c r="C246" t="s">
        <v>1859</v>
      </c>
      <c r="D246" t="s">
        <v>613</v>
      </c>
      <c r="E246" t="s">
        <v>1167</v>
      </c>
      <c r="F246" t="s">
        <v>571</v>
      </c>
      <c r="G246" s="204"/>
      <c r="H246">
        <v>118</v>
      </c>
      <c r="I246">
        <v>9687.8000000000011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7" x14ac:dyDescent="0.25">
      <c r="A247" t="s">
        <v>119</v>
      </c>
      <c r="B247" t="s">
        <v>566</v>
      </c>
      <c r="C247" t="s">
        <v>920</v>
      </c>
      <c r="D247" t="s">
        <v>920</v>
      </c>
      <c r="E247" t="s">
        <v>1138</v>
      </c>
      <c r="F247" t="s">
        <v>571</v>
      </c>
      <c r="G247" s="204"/>
      <c r="L247">
        <v>5540</v>
      </c>
      <c r="M247">
        <v>55359.6</v>
      </c>
      <c r="N247">
        <v>0</v>
      </c>
      <c r="O247">
        <v>0</v>
      </c>
      <c r="P247">
        <v>0</v>
      </c>
      <c r="Q247">
        <v>5540</v>
      </c>
      <c r="T247">
        <v>0</v>
      </c>
      <c r="U247">
        <v>0</v>
      </c>
      <c r="V247">
        <v>2000</v>
      </c>
      <c r="W247">
        <v>26480</v>
      </c>
      <c r="X247">
        <v>2000</v>
      </c>
      <c r="Y247">
        <v>2000</v>
      </c>
      <c r="Z247">
        <v>26480</v>
      </c>
      <c r="AA247">
        <v>13.24</v>
      </c>
    </row>
    <row r="248" spans="1:27" x14ac:dyDescent="0.25">
      <c r="A248" t="s">
        <v>72</v>
      </c>
      <c r="B248" t="s">
        <v>556</v>
      </c>
      <c r="C248" t="s">
        <v>1859</v>
      </c>
      <c r="D248" t="s">
        <v>613</v>
      </c>
      <c r="E248" t="s">
        <v>1167</v>
      </c>
      <c r="F248" t="s">
        <v>571</v>
      </c>
      <c r="G248" s="204"/>
      <c r="L248">
        <v>0</v>
      </c>
      <c r="M248">
        <v>0</v>
      </c>
      <c r="N248">
        <v>48</v>
      </c>
      <c r="O248">
        <v>9427.2000000000007</v>
      </c>
      <c r="P248">
        <v>48</v>
      </c>
      <c r="Q248">
        <v>48</v>
      </c>
      <c r="R248">
        <v>9427.2000000000007</v>
      </c>
      <c r="S248">
        <v>196.4</v>
      </c>
      <c r="T248">
        <v>0</v>
      </c>
      <c r="U248">
        <v>0</v>
      </c>
      <c r="V248">
        <v>192</v>
      </c>
      <c r="W248">
        <v>37708.799999999996</v>
      </c>
      <c r="X248">
        <v>192</v>
      </c>
      <c r="Y248">
        <v>192</v>
      </c>
    </row>
    <row r="249" spans="1:27" x14ac:dyDescent="0.25">
      <c r="A249" t="s">
        <v>318</v>
      </c>
      <c r="B249" t="s">
        <v>565</v>
      </c>
      <c r="C249" t="s">
        <v>1859</v>
      </c>
      <c r="D249" t="s">
        <v>610</v>
      </c>
      <c r="E249" t="s">
        <v>1150</v>
      </c>
      <c r="F249" t="s">
        <v>571</v>
      </c>
      <c r="G249" s="204"/>
      <c r="L249">
        <v>100</v>
      </c>
      <c r="M249">
        <v>14598</v>
      </c>
      <c r="N249">
        <v>0</v>
      </c>
      <c r="O249">
        <v>0</v>
      </c>
      <c r="P249">
        <v>0</v>
      </c>
      <c r="Q249">
        <v>100</v>
      </c>
      <c r="R249">
        <v>14598</v>
      </c>
      <c r="S249">
        <v>145.97999999999999</v>
      </c>
      <c r="T249">
        <v>0</v>
      </c>
      <c r="U249">
        <v>0</v>
      </c>
      <c r="V249">
        <v>120</v>
      </c>
      <c r="W249">
        <v>17517.599999999999</v>
      </c>
      <c r="X249">
        <v>120</v>
      </c>
      <c r="Y249">
        <v>120</v>
      </c>
    </row>
    <row r="250" spans="1:27" x14ac:dyDescent="0.25">
      <c r="A250" t="s">
        <v>1155</v>
      </c>
      <c r="B250" t="s">
        <v>556</v>
      </c>
      <c r="C250" t="s">
        <v>1859</v>
      </c>
      <c r="D250" t="s">
        <v>593</v>
      </c>
      <c r="E250" t="s">
        <v>1152</v>
      </c>
      <c r="F250" t="s">
        <v>571</v>
      </c>
      <c r="G250" s="204"/>
      <c r="L250">
        <v>30</v>
      </c>
      <c r="M250">
        <v>4039.2</v>
      </c>
      <c r="N250">
        <v>0</v>
      </c>
      <c r="O250">
        <v>0</v>
      </c>
      <c r="P250">
        <v>0</v>
      </c>
      <c r="Q250">
        <v>30</v>
      </c>
      <c r="R250">
        <v>4039.2</v>
      </c>
      <c r="S250">
        <v>134.63999999999999</v>
      </c>
      <c r="T250">
        <v>0</v>
      </c>
      <c r="U250">
        <v>0</v>
      </c>
      <c r="V250">
        <v>170</v>
      </c>
      <c r="W250">
        <v>22888.799999999999</v>
      </c>
      <c r="X250">
        <v>170</v>
      </c>
      <c r="Y250">
        <v>170</v>
      </c>
    </row>
    <row r="251" spans="1:27" x14ac:dyDescent="0.25">
      <c r="A251" t="s">
        <v>935</v>
      </c>
      <c r="C251" t="s">
        <v>555</v>
      </c>
      <c r="D251" t="s">
        <v>645</v>
      </c>
      <c r="E251" t="s">
        <v>1256</v>
      </c>
      <c r="F251" t="s">
        <v>571</v>
      </c>
      <c r="G251" s="204"/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T251">
        <v>0</v>
      </c>
      <c r="U251">
        <v>0</v>
      </c>
      <c r="V251">
        <v>240</v>
      </c>
      <c r="W251">
        <v>76800</v>
      </c>
      <c r="X251">
        <v>240</v>
      </c>
      <c r="Y251">
        <v>240</v>
      </c>
      <c r="Z251">
        <v>76800</v>
      </c>
      <c r="AA251">
        <v>320</v>
      </c>
    </row>
    <row r="252" spans="1:27" x14ac:dyDescent="0.25">
      <c r="A252" t="s">
        <v>706</v>
      </c>
      <c r="B252" t="s">
        <v>566</v>
      </c>
      <c r="C252" t="s">
        <v>920</v>
      </c>
      <c r="D252" t="s">
        <v>920</v>
      </c>
      <c r="E252" t="s">
        <v>1266</v>
      </c>
      <c r="F252" t="s">
        <v>571</v>
      </c>
      <c r="G252" s="204"/>
      <c r="I252">
        <v>21120</v>
      </c>
      <c r="L252">
        <v>1000</v>
      </c>
      <c r="M252">
        <v>20500</v>
      </c>
      <c r="N252">
        <v>0</v>
      </c>
      <c r="O252">
        <v>0</v>
      </c>
      <c r="P252">
        <v>0</v>
      </c>
      <c r="Q252">
        <v>1000</v>
      </c>
      <c r="R252">
        <v>20500</v>
      </c>
      <c r="S252">
        <v>20.5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7" x14ac:dyDescent="0.25">
      <c r="A253" t="s">
        <v>51</v>
      </c>
      <c r="B253" t="s">
        <v>567</v>
      </c>
      <c r="C253" t="s">
        <v>920</v>
      </c>
      <c r="D253" t="s">
        <v>920</v>
      </c>
      <c r="E253" t="s">
        <v>1138</v>
      </c>
      <c r="F253" t="s">
        <v>571</v>
      </c>
      <c r="G253" s="204"/>
      <c r="H253">
        <v>1139</v>
      </c>
      <c r="I253">
        <v>20194.47</v>
      </c>
      <c r="L253">
        <v>2554</v>
      </c>
      <c r="M253">
        <v>50007.32</v>
      </c>
      <c r="N253">
        <v>0</v>
      </c>
      <c r="O253">
        <v>0</v>
      </c>
      <c r="P253">
        <v>0</v>
      </c>
      <c r="Q253">
        <v>2554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7" x14ac:dyDescent="0.25">
      <c r="A254" t="s">
        <v>396</v>
      </c>
      <c r="B254" t="s">
        <v>565</v>
      </c>
      <c r="C254" t="s">
        <v>555</v>
      </c>
      <c r="D254" t="s">
        <v>624</v>
      </c>
      <c r="E254" t="s">
        <v>1136</v>
      </c>
      <c r="F254" t="s">
        <v>571</v>
      </c>
      <c r="G254" s="204"/>
      <c r="H254">
        <v>25</v>
      </c>
      <c r="I254">
        <v>18750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7" x14ac:dyDescent="0.25">
      <c r="A255" t="s">
        <v>11</v>
      </c>
      <c r="B255" t="s">
        <v>566</v>
      </c>
      <c r="C255" t="s">
        <v>920</v>
      </c>
      <c r="D255" t="s">
        <v>920</v>
      </c>
      <c r="E255" t="s">
        <v>1212</v>
      </c>
      <c r="F255" t="s">
        <v>571</v>
      </c>
      <c r="G255" s="204"/>
      <c r="H255">
        <v>5000</v>
      </c>
      <c r="I255">
        <v>38850</v>
      </c>
      <c r="L255">
        <v>5000</v>
      </c>
      <c r="M255">
        <v>41500</v>
      </c>
      <c r="N255">
        <v>2500</v>
      </c>
      <c r="O255">
        <v>20750</v>
      </c>
      <c r="P255">
        <v>2500</v>
      </c>
      <c r="Q255">
        <v>7500</v>
      </c>
      <c r="T255">
        <v>0</v>
      </c>
      <c r="U255">
        <v>0</v>
      </c>
      <c r="V255">
        <v>5000</v>
      </c>
      <c r="W255">
        <v>41500</v>
      </c>
      <c r="X255">
        <v>5000</v>
      </c>
      <c r="Y255">
        <v>5000</v>
      </c>
      <c r="Z255">
        <v>41500</v>
      </c>
      <c r="AA255">
        <v>8.3000000000000007</v>
      </c>
    </row>
    <row r="256" spans="1:27" x14ac:dyDescent="0.25">
      <c r="A256" t="s">
        <v>304</v>
      </c>
      <c r="B256" t="s">
        <v>562</v>
      </c>
      <c r="C256" t="s">
        <v>1859</v>
      </c>
      <c r="D256" t="s">
        <v>633</v>
      </c>
      <c r="E256" t="s">
        <v>1138</v>
      </c>
      <c r="F256" t="s">
        <v>571</v>
      </c>
      <c r="G256" s="204"/>
      <c r="L256">
        <v>202</v>
      </c>
      <c r="M256">
        <v>55471.22</v>
      </c>
      <c r="N256">
        <v>48</v>
      </c>
      <c r="O256">
        <v>13181.28</v>
      </c>
      <c r="P256">
        <v>48</v>
      </c>
      <c r="Q256">
        <v>250</v>
      </c>
      <c r="R256">
        <v>68652.5</v>
      </c>
      <c r="S256">
        <v>274.61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7" x14ac:dyDescent="0.25">
      <c r="A257" t="s">
        <v>71</v>
      </c>
      <c r="B257" t="s">
        <v>566</v>
      </c>
      <c r="C257" t="s">
        <v>920</v>
      </c>
      <c r="D257" t="s">
        <v>920</v>
      </c>
      <c r="E257" t="s">
        <v>1138</v>
      </c>
      <c r="F257" t="s">
        <v>571</v>
      </c>
      <c r="G257" s="204"/>
      <c r="L257">
        <v>38000</v>
      </c>
      <c r="M257">
        <v>202396.62</v>
      </c>
      <c r="N257">
        <v>0</v>
      </c>
      <c r="O257">
        <v>0</v>
      </c>
      <c r="P257">
        <v>0</v>
      </c>
      <c r="Q257">
        <v>38000</v>
      </c>
      <c r="T257">
        <v>0</v>
      </c>
      <c r="U257">
        <v>0</v>
      </c>
      <c r="V257">
        <v>17000</v>
      </c>
      <c r="W257">
        <v>102510</v>
      </c>
      <c r="X257">
        <v>17000</v>
      </c>
      <c r="Y257">
        <v>17000</v>
      </c>
      <c r="Z257">
        <v>102510</v>
      </c>
      <c r="AA257">
        <v>6.03</v>
      </c>
    </row>
    <row r="258" spans="1:27" x14ac:dyDescent="0.25">
      <c r="A258" t="s">
        <v>111</v>
      </c>
      <c r="B258" t="s">
        <v>566</v>
      </c>
      <c r="C258" t="s">
        <v>920</v>
      </c>
      <c r="D258" t="s">
        <v>920</v>
      </c>
      <c r="E258" t="s">
        <v>1212</v>
      </c>
      <c r="F258" t="s">
        <v>571</v>
      </c>
      <c r="G258" s="204"/>
      <c r="H258">
        <v>1500</v>
      </c>
      <c r="I258">
        <v>16320</v>
      </c>
      <c r="L258">
        <v>3500</v>
      </c>
      <c r="M258">
        <v>39375</v>
      </c>
      <c r="N258">
        <v>0</v>
      </c>
      <c r="O258">
        <v>0</v>
      </c>
      <c r="P258">
        <v>0</v>
      </c>
      <c r="Q258">
        <v>3500</v>
      </c>
      <c r="T258">
        <v>0</v>
      </c>
      <c r="U258">
        <v>0</v>
      </c>
      <c r="V258">
        <v>2000</v>
      </c>
      <c r="W258">
        <v>22500</v>
      </c>
      <c r="X258">
        <v>2000</v>
      </c>
      <c r="Y258">
        <v>2000</v>
      </c>
    </row>
    <row r="259" spans="1:27" x14ac:dyDescent="0.25">
      <c r="A259" t="s">
        <v>397</v>
      </c>
      <c r="B259" t="s">
        <v>565</v>
      </c>
      <c r="C259" t="s">
        <v>555</v>
      </c>
      <c r="D259" t="s">
        <v>624</v>
      </c>
      <c r="E259" t="s">
        <v>1269</v>
      </c>
      <c r="F259" t="s">
        <v>571</v>
      </c>
      <c r="G259" s="204"/>
      <c r="H259">
        <v>20</v>
      </c>
      <c r="I259">
        <v>15700</v>
      </c>
      <c r="K259">
        <v>16700</v>
      </c>
      <c r="L259">
        <v>72</v>
      </c>
      <c r="M259">
        <v>58466.7</v>
      </c>
      <c r="N259">
        <v>0</v>
      </c>
      <c r="O259">
        <v>0</v>
      </c>
      <c r="P259">
        <v>0</v>
      </c>
      <c r="Q259">
        <v>72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7" x14ac:dyDescent="0.25">
      <c r="A260" t="s">
        <v>490</v>
      </c>
      <c r="B260" t="s">
        <v>556</v>
      </c>
      <c r="C260" t="s">
        <v>555</v>
      </c>
      <c r="D260" t="s">
        <v>624</v>
      </c>
      <c r="E260" t="s">
        <v>1269</v>
      </c>
      <c r="F260" t="s">
        <v>571</v>
      </c>
      <c r="G260" s="204"/>
      <c r="H260">
        <v>25</v>
      </c>
      <c r="I260">
        <v>22081</v>
      </c>
      <c r="L260">
        <v>184</v>
      </c>
      <c r="M260">
        <v>184368</v>
      </c>
      <c r="N260">
        <v>8</v>
      </c>
      <c r="O260">
        <v>8016</v>
      </c>
      <c r="P260">
        <v>8</v>
      </c>
      <c r="Q260">
        <v>192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7" x14ac:dyDescent="0.25">
      <c r="A261" t="s">
        <v>398</v>
      </c>
      <c r="B261" t="s">
        <v>565</v>
      </c>
      <c r="C261" t="s">
        <v>555</v>
      </c>
      <c r="D261" t="s">
        <v>624</v>
      </c>
      <c r="E261" t="s">
        <v>1269</v>
      </c>
      <c r="F261" t="s">
        <v>571</v>
      </c>
      <c r="G261" s="204"/>
      <c r="H261">
        <v>11</v>
      </c>
      <c r="I261">
        <v>12639</v>
      </c>
      <c r="L261">
        <v>25</v>
      </c>
      <c r="M261">
        <v>35000</v>
      </c>
      <c r="N261">
        <v>0</v>
      </c>
      <c r="O261">
        <v>0</v>
      </c>
      <c r="P261">
        <v>0</v>
      </c>
      <c r="Q261">
        <v>25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7" x14ac:dyDescent="0.25">
      <c r="A262" t="s">
        <v>17</v>
      </c>
      <c r="B262" t="s">
        <v>565</v>
      </c>
      <c r="C262" t="s">
        <v>920</v>
      </c>
      <c r="D262" t="s">
        <v>920</v>
      </c>
      <c r="E262" t="s">
        <v>1316</v>
      </c>
      <c r="F262" t="s">
        <v>571</v>
      </c>
      <c r="G262" s="204"/>
      <c r="J262">
        <v>100</v>
      </c>
      <c r="K262">
        <v>8640</v>
      </c>
      <c r="L262">
        <v>150</v>
      </c>
      <c r="M262">
        <v>12960</v>
      </c>
      <c r="N262">
        <v>100</v>
      </c>
      <c r="O262">
        <v>8942.0000000000018</v>
      </c>
      <c r="P262">
        <v>100</v>
      </c>
      <c r="Q262">
        <v>250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7" x14ac:dyDescent="0.25">
      <c r="A263" t="s">
        <v>35</v>
      </c>
      <c r="B263" t="s">
        <v>567</v>
      </c>
      <c r="C263" t="s">
        <v>920</v>
      </c>
      <c r="D263" t="s">
        <v>920</v>
      </c>
      <c r="E263" t="s">
        <v>1266</v>
      </c>
      <c r="F263" t="s">
        <v>571</v>
      </c>
      <c r="G263" s="204"/>
      <c r="L263">
        <v>1000</v>
      </c>
      <c r="M263">
        <v>9900</v>
      </c>
      <c r="N263">
        <v>0</v>
      </c>
      <c r="O263">
        <v>0</v>
      </c>
      <c r="P263">
        <v>0</v>
      </c>
      <c r="Q263">
        <v>1000</v>
      </c>
      <c r="T263">
        <v>0</v>
      </c>
      <c r="U263">
        <v>0</v>
      </c>
      <c r="V263">
        <v>500</v>
      </c>
      <c r="W263">
        <v>5120</v>
      </c>
      <c r="X263">
        <v>500</v>
      </c>
      <c r="Y263">
        <v>500</v>
      </c>
      <c r="Z263">
        <v>5120</v>
      </c>
      <c r="AA263">
        <v>10.24</v>
      </c>
    </row>
    <row r="264" spans="1:27" x14ac:dyDescent="0.25">
      <c r="A264" t="s">
        <v>399</v>
      </c>
      <c r="B264" t="s">
        <v>556</v>
      </c>
      <c r="C264" t="s">
        <v>555</v>
      </c>
      <c r="D264" t="s">
        <v>624</v>
      </c>
      <c r="E264" t="s">
        <v>1269</v>
      </c>
      <c r="F264" t="s">
        <v>571</v>
      </c>
      <c r="G264" s="204"/>
      <c r="H264">
        <v>53</v>
      </c>
      <c r="I264">
        <v>85913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7" x14ac:dyDescent="0.25">
      <c r="A265" t="s">
        <v>71</v>
      </c>
      <c r="B265" t="s">
        <v>566</v>
      </c>
      <c r="C265" t="s">
        <v>920</v>
      </c>
      <c r="D265" t="s">
        <v>920</v>
      </c>
      <c r="E265" t="s">
        <v>1266</v>
      </c>
      <c r="F265" t="s">
        <v>571</v>
      </c>
      <c r="G265" s="204"/>
      <c r="L265">
        <v>11500</v>
      </c>
      <c r="M265">
        <v>85790</v>
      </c>
      <c r="N265">
        <v>6000</v>
      </c>
      <c r="O265">
        <v>44760</v>
      </c>
      <c r="P265">
        <v>6000</v>
      </c>
      <c r="Q265">
        <v>17500</v>
      </c>
      <c r="T265">
        <v>0</v>
      </c>
      <c r="U265">
        <v>0</v>
      </c>
      <c r="V265">
        <v>5000</v>
      </c>
      <c r="W265">
        <v>37300</v>
      </c>
      <c r="X265">
        <v>5000</v>
      </c>
      <c r="Y265">
        <v>5000</v>
      </c>
      <c r="Z265">
        <v>37300</v>
      </c>
      <c r="AA265">
        <v>7.46</v>
      </c>
    </row>
    <row r="266" spans="1:27" x14ac:dyDescent="0.25">
      <c r="A266" t="s">
        <v>59</v>
      </c>
      <c r="B266" t="s">
        <v>566</v>
      </c>
      <c r="C266" t="s">
        <v>920</v>
      </c>
      <c r="D266" t="s">
        <v>920</v>
      </c>
      <c r="E266" t="s">
        <v>1372</v>
      </c>
      <c r="F266" t="s">
        <v>571</v>
      </c>
      <c r="G266" s="204"/>
      <c r="J266">
        <v>220</v>
      </c>
      <c r="K266">
        <v>20952.8</v>
      </c>
      <c r="L266">
        <v>240</v>
      </c>
      <c r="M266">
        <v>23357.800000000003</v>
      </c>
      <c r="N266">
        <v>0</v>
      </c>
      <c r="O266">
        <v>0</v>
      </c>
      <c r="P266">
        <v>0</v>
      </c>
      <c r="Q266">
        <v>240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7" x14ac:dyDescent="0.25">
      <c r="A267" t="s">
        <v>399</v>
      </c>
      <c r="B267" t="s">
        <v>556</v>
      </c>
      <c r="C267" t="s">
        <v>555</v>
      </c>
      <c r="D267" t="s">
        <v>624</v>
      </c>
      <c r="E267" t="s">
        <v>1136</v>
      </c>
      <c r="F267" t="s">
        <v>571</v>
      </c>
      <c r="G267" s="204"/>
      <c r="L267">
        <v>60</v>
      </c>
      <c r="M267">
        <v>101313</v>
      </c>
      <c r="N267">
        <v>0</v>
      </c>
      <c r="O267">
        <v>0</v>
      </c>
      <c r="P267">
        <v>0</v>
      </c>
      <c r="Q267">
        <v>60</v>
      </c>
      <c r="R267">
        <v>101313</v>
      </c>
      <c r="S267">
        <v>1688.55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7" x14ac:dyDescent="0.25">
      <c r="A268" t="s">
        <v>485</v>
      </c>
      <c r="B268" t="s">
        <v>556</v>
      </c>
      <c r="C268" t="s">
        <v>555</v>
      </c>
      <c r="D268" t="s">
        <v>624</v>
      </c>
      <c r="E268" t="s">
        <v>1269</v>
      </c>
      <c r="F268" t="s">
        <v>571</v>
      </c>
      <c r="G268" s="204"/>
      <c r="H268">
        <v>45</v>
      </c>
      <c r="I268">
        <v>87795</v>
      </c>
      <c r="L268">
        <v>61</v>
      </c>
      <c r="M268">
        <v>122050.01</v>
      </c>
      <c r="N268">
        <v>0</v>
      </c>
      <c r="O268">
        <v>0</v>
      </c>
      <c r="P268">
        <v>0</v>
      </c>
      <c r="Q268">
        <v>61</v>
      </c>
      <c r="T268">
        <v>0</v>
      </c>
      <c r="U268">
        <v>0</v>
      </c>
      <c r="V268">
        <v>117</v>
      </c>
      <c r="W268">
        <v>255618.09</v>
      </c>
      <c r="X268">
        <v>117</v>
      </c>
      <c r="Y268">
        <v>117</v>
      </c>
    </row>
    <row r="269" spans="1:27" x14ac:dyDescent="0.25">
      <c r="A269" t="s">
        <v>87</v>
      </c>
      <c r="B269" t="s">
        <v>566</v>
      </c>
      <c r="C269" t="s">
        <v>920</v>
      </c>
      <c r="D269" t="s">
        <v>920</v>
      </c>
      <c r="E269" t="s">
        <v>1242</v>
      </c>
      <c r="F269" t="s">
        <v>571</v>
      </c>
      <c r="G269" s="204"/>
      <c r="J269">
        <v>487</v>
      </c>
      <c r="K269">
        <v>6452.75</v>
      </c>
      <c r="L269">
        <v>1363</v>
      </c>
      <c r="M269">
        <v>18059.75</v>
      </c>
      <c r="N269">
        <v>0</v>
      </c>
      <c r="O269">
        <v>0</v>
      </c>
      <c r="P269">
        <v>0</v>
      </c>
      <c r="Q269">
        <v>1363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7" x14ac:dyDescent="0.25">
      <c r="A270" t="s">
        <v>1020</v>
      </c>
      <c r="C270" t="s">
        <v>555</v>
      </c>
      <c r="D270" t="s">
        <v>624</v>
      </c>
      <c r="E270" t="s">
        <v>1269</v>
      </c>
      <c r="F270" t="s">
        <v>571</v>
      </c>
      <c r="G270" s="204"/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T270">
        <v>0</v>
      </c>
      <c r="U270">
        <v>0</v>
      </c>
      <c r="V270">
        <v>60</v>
      </c>
      <c r="W270">
        <v>380604</v>
      </c>
      <c r="X270">
        <v>60</v>
      </c>
      <c r="Y270">
        <v>60</v>
      </c>
      <c r="Z270">
        <v>380604</v>
      </c>
      <c r="AA270">
        <v>6343.4</v>
      </c>
    </row>
    <row r="271" spans="1:27" x14ac:dyDescent="0.25">
      <c r="A271" t="s">
        <v>59</v>
      </c>
      <c r="B271" t="s">
        <v>566</v>
      </c>
      <c r="C271" t="s">
        <v>920</v>
      </c>
      <c r="D271" t="s">
        <v>920</v>
      </c>
      <c r="E271" t="s">
        <v>1138</v>
      </c>
      <c r="F271" t="s">
        <v>571</v>
      </c>
      <c r="G271" s="204"/>
      <c r="L271">
        <v>8600</v>
      </c>
      <c r="M271">
        <v>104956</v>
      </c>
      <c r="N271">
        <v>0</v>
      </c>
      <c r="O271">
        <v>0</v>
      </c>
      <c r="P271">
        <v>0</v>
      </c>
      <c r="Q271">
        <v>8600</v>
      </c>
      <c r="T271">
        <v>0</v>
      </c>
      <c r="U271">
        <v>0</v>
      </c>
      <c r="V271">
        <v>1200</v>
      </c>
      <c r="W271">
        <v>15612</v>
      </c>
      <c r="X271">
        <v>1200</v>
      </c>
      <c r="Y271">
        <v>1200</v>
      </c>
      <c r="Z271">
        <v>15612</v>
      </c>
      <c r="AA271">
        <v>13.01</v>
      </c>
    </row>
    <row r="272" spans="1:27" x14ac:dyDescent="0.25">
      <c r="A272" t="s">
        <v>33</v>
      </c>
      <c r="B272" t="s">
        <v>566</v>
      </c>
      <c r="C272" t="s">
        <v>920</v>
      </c>
      <c r="D272" t="s">
        <v>920</v>
      </c>
      <c r="E272" t="s">
        <v>1330</v>
      </c>
      <c r="F272" t="s">
        <v>571</v>
      </c>
      <c r="G272" s="204"/>
      <c r="L272">
        <v>778</v>
      </c>
      <c r="M272">
        <v>25876.28</v>
      </c>
      <c r="N272">
        <v>0</v>
      </c>
      <c r="O272">
        <v>0</v>
      </c>
      <c r="P272">
        <v>0</v>
      </c>
      <c r="Q272">
        <v>778</v>
      </c>
      <c r="R272">
        <v>25876.28</v>
      </c>
      <c r="S272">
        <v>33.26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71</v>
      </c>
      <c r="B273" t="s">
        <v>566</v>
      </c>
      <c r="C273" t="s">
        <v>920</v>
      </c>
      <c r="D273" t="s">
        <v>920</v>
      </c>
      <c r="E273" t="s">
        <v>1449</v>
      </c>
      <c r="F273" t="s">
        <v>571</v>
      </c>
      <c r="G273" s="204"/>
      <c r="L273">
        <v>4</v>
      </c>
      <c r="M273">
        <v>184.08</v>
      </c>
      <c r="N273">
        <v>0</v>
      </c>
      <c r="O273">
        <v>0</v>
      </c>
      <c r="P273">
        <v>0</v>
      </c>
      <c r="Q273">
        <v>4</v>
      </c>
      <c r="R273">
        <v>184.08</v>
      </c>
      <c r="S273">
        <v>46.02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84</v>
      </c>
      <c r="B274" t="s">
        <v>556</v>
      </c>
      <c r="C274" t="s">
        <v>1859</v>
      </c>
      <c r="D274" t="s">
        <v>596</v>
      </c>
      <c r="E274" t="s">
        <v>1149</v>
      </c>
      <c r="F274" t="s">
        <v>571</v>
      </c>
      <c r="G274" s="204"/>
      <c r="L274">
        <v>0</v>
      </c>
      <c r="M274">
        <v>0</v>
      </c>
      <c r="N274">
        <v>125</v>
      </c>
      <c r="O274">
        <v>10048.75</v>
      </c>
      <c r="P274">
        <v>125</v>
      </c>
      <c r="Q274">
        <v>125</v>
      </c>
      <c r="R274">
        <v>10048.75</v>
      </c>
      <c r="S274">
        <v>80.39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854</v>
      </c>
      <c r="B275" t="s">
        <v>565</v>
      </c>
      <c r="C275" t="s">
        <v>1859</v>
      </c>
      <c r="D275" t="s">
        <v>980</v>
      </c>
      <c r="E275" t="s">
        <v>1149</v>
      </c>
      <c r="F275" t="s">
        <v>571</v>
      </c>
      <c r="G275" s="204"/>
      <c r="L275">
        <v>0</v>
      </c>
      <c r="M275">
        <v>0</v>
      </c>
      <c r="N275">
        <v>100</v>
      </c>
      <c r="O275">
        <v>15230</v>
      </c>
      <c r="P275">
        <v>100</v>
      </c>
      <c r="Q275">
        <v>100</v>
      </c>
      <c r="R275">
        <v>15230</v>
      </c>
      <c r="S275">
        <v>152.30000000000001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111</v>
      </c>
      <c r="B276" t="s">
        <v>566</v>
      </c>
      <c r="C276" t="s">
        <v>920</v>
      </c>
      <c r="D276" t="s">
        <v>920</v>
      </c>
      <c r="E276" t="s">
        <v>1449</v>
      </c>
      <c r="F276" t="s">
        <v>571</v>
      </c>
      <c r="G276" s="204"/>
      <c r="L276">
        <v>6</v>
      </c>
      <c r="M276">
        <v>413.46</v>
      </c>
      <c r="N276">
        <v>0</v>
      </c>
      <c r="O276">
        <v>0</v>
      </c>
      <c r="P276">
        <v>0</v>
      </c>
      <c r="Q276">
        <v>6</v>
      </c>
      <c r="R276">
        <v>413.46</v>
      </c>
      <c r="S276">
        <v>68.91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402</v>
      </c>
      <c r="B277" t="s">
        <v>556</v>
      </c>
      <c r="C277" t="s">
        <v>555</v>
      </c>
      <c r="D277" t="s">
        <v>620</v>
      </c>
      <c r="E277" t="s">
        <v>1269</v>
      </c>
      <c r="F277" t="s">
        <v>571</v>
      </c>
      <c r="G277" s="204"/>
      <c r="H277">
        <v>100</v>
      </c>
      <c r="I277">
        <v>78474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33</v>
      </c>
      <c r="B278" t="s">
        <v>566</v>
      </c>
      <c r="C278" t="s">
        <v>920</v>
      </c>
      <c r="D278" t="s">
        <v>920</v>
      </c>
      <c r="E278" t="s">
        <v>1408</v>
      </c>
      <c r="F278" t="s">
        <v>571</v>
      </c>
      <c r="G278" s="204"/>
      <c r="L278">
        <v>4</v>
      </c>
      <c r="M278">
        <v>591.24</v>
      </c>
      <c r="N278">
        <v>0</v>
      </c>
      <c r="O278">
        <v>0</v>
      </c>
      <c r="P278">
        <v>0</v>
      </c>
      <c r="Q278">
        <v>4</v>
      </c>
      <c r="R278">
        <v>591.24</v>
      </c>
      <c r="S278">
        <v>147.81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262</v>
      </c>
      <c r="B279" t="s">
        <v>556</v>
      </c>
      <c r="C279" t="s">
        <v>1858</v>
      </c>
      <c r="D279" t="s">
        <v>604</v>
      </c>
      <c r="E279" t="s">
        <v>1262</v>
      </c>
      <c r="F279" t="s">
        <v>571</v>
      </c>
      <c r="G279" s="204"/>
      <c r="J279">
        <v>177</v>
      </c>
      <c r="K279">
        <v>6618</v>
      </c>
      <c r="L279">
        <v>4824</v>
      </c>
      <c r="M279">
        <v>147132</v>
      </c>
      <c r="N279">
        <v>0</v>
      </c>
      <c r="O279">
        <v>0</v>
      </c>
      <c r="P279">
        <v>0</v>
      </c>
      <c r="Q279">
        <v>4824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1585</v>
      </c>
      <c r="B280" t="s">
        <v>556</v>
      </c>
      <c r="C280" t="s">
        <v>555</v>
      </c>
      <c r="D280" t="s">
        <v>620</v>
      </c>
      <c r="E280" t="s">
        <v>1434</v>
      </c>
      <c r="F280" t="s">
        <v>571</v>
      </c>
      <c r="G280" s="204"/>
      <c r="H280">
        <v>14</v>
      </c>
      <c r="I280">
        <v>9250.92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1586</v>
      </c>
      <c r="B281" t="s">
        <v>565</v>
      </c>
      <c r="C281" t="s">
        <v>555</v>
      </c>
      <c r="D281" t="s">
        <v>620</v>
      </c>
      <c r="E281" t="s">
        <v>1269</v>
      </c>
      <c r="F281" t="s">
        <v>571</v>
      </c>
      <c r="G281" s="204"/>
      <c r="J281">
        <v>32</v>
      </c>
      <c r="K281">
        <v>25862.400000000001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1586</v>
      </c>
      <c r="B282" t="s">
        <v>565</v>
      </c>
      <c r="C282" t="s">
        <v>555</v>
      </c>
      <c r="D282" t="s">
        <v>620</v>
      </c>
      <c r="E282" t="s">
        <v>1373</v>
      </c>
      <c r="F282" t="s">
        <v>571</v>
      </c>
      <c r="G282" s="204"/>
      <c r="J282">
        <v>12</v>
      </c>
      <c r="K282">
        <v>10740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403</v>
      </c>
      <c r="B283" t="s">
        <v>565</v>
      </c>
      <c r="C283" t="s">
        <v>555</v>
      </c>
      <c r="D283" t="s">
        <v>620</v>
      </c>
      <c r="E283" t="s">
        <v>1269</v>
      </c>
      <c r="F283" t="s">
        <v>571</v>
      </c>
      <c r="G283" s="204"/>
      <c r="J283">
        <v>5</v>
      </c>
      <c r="K283">
        <v>6194.95</v>
      </c>
      <c r="L283">
        <v>25</v>
      </c>
      <c r="M283">
        <v>35000</v>
      </c>
      <c r="N283">
        <v>0</v>
      </c>
      <c r="O283">
        <v>0</v>
      </c>
      <c r="P283">
        <v>0</v>
      </c>
      <c r="Q283">
        <v>25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25</v>
      </c>
      <c r="B284" t="s">
        <v>566</v>
      </c>
      <c r="C284" t="s">
        <v>920</v>
      </c>
      <c r="D284" t="s">
        <v>920</v>
      </c>
      <c r="E284" t="s">
        <v>1266</v>
      </c>
      <c r="F284" t="s">
        <v>571</v>
      </c>
      <c r="G284" s="204"/>
      <c r="J284">
        <v>2000</v>
      </c>
      <c r="K284">
        <v>32320</v>
      </c>
      <c r="L284">
        <v>3000</v>
      </c>
      <c r="M284">
        <v>49370</v>
      </c>
      <c r="N284">
        <v>1000</v>
      </c>
      <c r="O284">
        <v>16830</v>
      </c>
      <c r="P284">
        <v>1000</v>
      </c>
      <c r="Q284">
        <v>4000</v>
      </c>
      <c r="T284">
        <v>0</v>
      </c>
      <c r="U284">
        <v>0</v>
      </c>
      <c r="V284">
        <v>4000</v>
      </c>
      <c r="W284">
        <v>67320</v>
      </c>
      <c r="X284">
        <v>4000</v>
      </c>
      <c r="Y284">
        <v>4000</v>
      </c>
    </row>
    <row r="285" spans="1:25" x14ac:dyDescent="0.25">
      <c r="A285" t="s">
        <v>403</v>
      </c>
      <c r="B285" t="s">
        <v>565</v>
      </c>
      <c r="C285" t="s">
        <v>555</v>
      </c>
      <c r="D285" t="s">
        <v>620</v>
      </c>
      <c r="E285" t="s">
        <v>1699</v>
      </c>
      <c r="F285" t="s">
        <v>571</v>
      </c>
      <c r="G285" s="204"/>
      <c r="H285">
        <v>24</v>
      </c>
      <c r="I285">
        <v>20592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404</v>
      </c>
      <c r="B286" t="s">
        <v>554</v>
      </c>
      <c r="C286" t="s">
        <v>555</v>
      </c>
      <c r="D286" t="s">
        <v>656</v>
      </c>
      <c r="E286" t="s">
        <v>1269</v>
      </c>
      <c r="F286" t="s">
        <v>571</v>
      </c>
      <c r="G286" s="204"/>
      <c r="L286">
        <v>12</v>
      </c>
      <c r="M286">
        <v>24999.96</v>
      </c>
      <c r="N286">
        <v>0</v>
      </c>
      <c r="O286">
        <v>0</v>
      </c>
      <c r="P286">
        <v>0</v>
      </c>
      <c r="Q286">
        <v>12</v>
      </c>
      <c r="R286">
        <v>24999.96</v>
      </c>
      <c r="S286">
        <v>2083.33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124</v>
      </c>
      <c r="B287" t="s">
        <v>556</v>
      </c>
      <c r="C287" t="s">
        <v>1859</v>
      </c>
      <c r="D287" t="s">
        <v>601</v>
      </c>
      <c r="E287" t="s">
        <v>1152</v>
      </c>
      <c r="F287" t="s">
        <v>571</v>
      </c>
      <c r="G287" s="204"/>
      <c r="H287">
        <v>200</v>
      </c>
      <c r="I287">
        <v>31872</v>
      </c>
      <c r="L287">
        <v>350</v>
      </c>
      <c r="M287">
        <v>55776</v>
      </c>
      <c r="N287">
        <v>0</v>
      </c>
      <c r="O287">
        <v>0</v>
      </c>
      <c r="P287">
        <v>0</v>
      </c>
      <c r="Q287">
        <v>350</v>
      </c>
      <c r="T287">
        <v>0</v>
      </c>
      <c r="U287">
        <v>0</v>
      </c>
      <c r="V287">
        <v>500</v>
      </c>
      <c r="W287">
        <v>79680</v>
      </c>
      <c r="X287">
        <v>500</v>
      </c>
      <c r="Y287">
        <v>500</v>
      </c>
    </row>
    <row r="288" spans="1:25" x14ac:dyDescent="0.25">
      <c r="A288" t="s">
        <v>704</v>
      </c>
      <c r="B288" t="s">
        <v>565</v>
      </c>
      <c r="C288" t="s">
        <v>1858</v>
      </c>
      <c r="D288" t="s">
        <v>625</v>
      </c>
      <c r="E288" t="s">
        <v>1226</v>
      </c>
      <c r="F288" t="s">
        <v>571</v>
      </c>
      <c r="G288" s="204"/>
      <c r="J288">
        <v>44</v>
      </c>
      <c r="K288">
        <v>15119.72</v>
      </c>
      <c r="L288">
        <v>0</v>
      </c>
      <c r="M288">
        <v>0</v>
      </c>
      <c r="N288">
        <v>50</v>
      </c>
      <c r="O288">
        <v>16317</v>
      </c>
      <c r="P288">
        <v>50</v>
      </c>
      <c r="Q288">
        <v>50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7" x14ac:dyDescent="0.25">
      <c r="A289" t="s">
        <v>55</v>
      </c>
      <c r="B289" t="s">
        <v>566</v>
      </c>
      <c r="C289" t="s">
        <v>920</v>
      </c>
      <c r="D289" t="s">
        <v>920</v>
      </c>
      <c r="E289" t="s">
        <v>1359</v>
      </c>
      <c r="F289" t="s">
        <v>571</v>
      </c>
      <c r="G289" s="204"/>
      <c r="L289">
        <v>1</v>
      </c>
      <c r="M289">
        <v>74.209999999999994</v>
      </c>
      <c r="N289">
        <v>0</v>
      </c>
      <c r="O289">
        <v>0</v>
      </c>
      <c r="P289">
        <v>0</v>
      </c>
      <c r="Q289">
        <v>1</v>
      </c>
      <c r="R289">
        <v>74.209999999999994</v>
      </c>
      <c r="S289">
        <v>74.209999999999994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7" x14ac:dyDescent="0.25">
      <c r="A290" t="s">
        <v>11</v>
      </c>
      <c r="B290" t="s">
        <v>566</v>
      </c>
      <c r="C290" t="s">
        <v>920</v>
      </c>
      <c r="D290" t="s">
        <v>920</v>
      </c>
      <c r="E290" t="s">
        <v>1138</v>
      </c>
      <c r="F290" t="s">
        <v>571</v>
      </c>
      <c r="G290" s="204"/>
      <c r="L290">
        <v>0</v>
      </c>
      <c r="M290">
        <v>0</v>
      </c>
      <c r="N290">
        <v>500</v>
      </c>
      <c r="O290">
        <v>2950</v>
      </c>
      <c r="P290">
        <v>500</v>
      </c>
      <c r="Q290">
        <v>500</v>
      </c>
      <c r="R290">
        <v>2950</v>
      </c>
      <c r="S290">
        <v>5.9</v>
      </c>
      <c r="T290">
        <v>0</v>
      </c>
      <c r="U290">
        <v>0</v>
      </c>
      <c r="V290">
        <v>1000</v>
      </c>
      <c r="W290">
        <v>6335</v>
      </c>
      <c r="X290">
        <v>1000</v>
      </c>
      <c r="Y290">
        <v>1000</v>
      </c>
    </row>
    <row r="291" spans="1:27" x14ac:dyDescent="0.25">
      <c r="A291" t="s">
        <v>538</v>
      </c>
      <c r="B291" t="s">
        <v>556</v>
      </c>
      <c r="C291" t="s">
        <v>555</v>
      </c>
      <c r="D291" t="s">
        <v>620</v>
      </c>
      <c r="E291" t="s">
        <v>1269</v>
      </c>
      <c r="F291" t="s">
        <v>571</v>
      </c>
      <c r="G291" s="204"/>
      <c r="H291">
        <v>13</v>
      </c>
      <c r="I291">
        <v>9793.5499999999993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7" x14ac:dyDescent="0.25">
      <c r="A292" t="s">
        <v>538</v>
      </c>
      <c r="B292" t="s">
        <v>556</v>
      </c>
      <c r="C292" t="s">
        <v>555</v>
      </c>
      <c r="D292" t="s">
        <v>620</v>
      </c>
      <c r="E292" t="s">
        <v>1700</v>
      </c>
      <c r="F292" t="s">
        <v>571</v>
      </c>
      <c r="G292" s="204"/>
      <c r="J292">
        <v>10</v>
      </c>
      <c r="K292">
        <v>9302.5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7" x14ac:dyDescent="0.25">
      <c r="A293" t="s">
        <v>15</v>
      </c>
      <c r="B293" t="s">
        <v>566</v>
      </c>
      <c r="C293" t="s">
        <v>920</v>
      </c>
      <c r="D293" t="s">
        <v>920</v>
      </c>
      <c r="E293" t="s">
        <v>1390</v>
      </c>
      <c r="F293" t="s">
        <v>571</v>
      </c>
      <c r="G293" s="204"/>
      <c r="J293">
        <v>2</v>
      </c>
      <c r="K293">
        <v>135.32</v>
      </c>
      <c r="L293">
        <v>6</v>
      </c>
      <c r="M293">
        <v>426.24</v>
      </c>
      <c r="N293">
        <v>0</v>
      </c>
      <c r="O293">
        <v>0</v>
      </c>
      <c r="P293">
        <v>0</v>
      </c>
      <c r="Q293">
        <v>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7" x14ac:dyDescent="0.25">
      <c r="A294" t="s">
        <v>863</v>
      </c>
      <c r="B294" t="s">
        <v>556</v>
      </c>
      <c r="C294" t="s">
        <v>555</v>
      </c>
      <c r="D294" t="s">
        <v>620</v>
      </c>
      <c r="E294" t="s">
        <v>1269</v>
      </c>
      <c r="F294" t="s">
        <v>571</v>
      </c>
      <c r="G294" s="204"/>
      <c r="J294">
        <v>5</v>
      </c>
      <c r="K294">
        <v>6835.75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7" x14ac:dyDescent="0.25">
      <c r="A295" t="s">
        <v>71</v>
      </c>
      <c r="B295" t="s">
        <v>566</v>
      </c>
      <c r="C295" t="s">
        <v>920</v>
      </c>
      <c r="D295" t="s">
        <v>920</v>
      </c>
      <c r="E295" t="s">
        <v>1332</v>
      </c>
      <c r="F295" t="s">
        <v>571</v>
      </c>
      <c r="G295" s="204"/>
      <c r="L295">
        <v>39</v>
      </c>
      <c r="M295">
        <v>2021.55</v>
      </c>
      <c r="N295">
        <v>0</v>
      </c>
      <c r="O295">
        <v>0</v>
      </c>
      <c r="P295">
        <v>0</v>
      </c>
      <c r="Q295">
        <v>39</v>
      </c>
      <c r="R295">
        <v>2021.55</v>
      </c>
      <c r="S295">
        <v>51.834615384615383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7" x14ac:dyDescent="0.25">
      <c r="A296" t="s">
        <v>863</v>
      </c>
      <c r="B296" t="s">
        <v>556</v>
      </c>
      <c r="C296" t="s">
        <v>555</v>
      </c>
      <c r="D296" t="s">
        <v>620</v>
      </c>
      <c r="E296" t="s">
        <v>1255</v>
      </c>
      <c r="F296" t="s">
        <v>571</v>
      </c>
      <c r="G296" s="204"/>
      <c r="L296">
        <v>31</v>
      </c>
      <c r="M296">
        <v>38607.4</v>
      </c>
      <c r="N296">
        <v>0</v>
      </c>
      <c r="O296">
        <v>0</v>
      </c>
      <c r="P296">
        <v>0</v>
      </c>
      <c r="Q296">
        <v>31</v>
      </c>
      <c r="T296">
        <v>0</v>
      </c>
      <c r="U296">
        <v>0</v>
      </c>
      <c r="V296">
        <v>19</v>
      </c>
      <c r="W296">
        <v>23662.6</v>
      </c>
      <c r="X296">
        <v>19</v>
      </c>
      <c r="Y296">
        <v>19</v>
      </c>
      <c r="Z296">
        <v>23662.6</v>
      </c>
      <c r="AA296">
        <v>1245.3999999999999</v>
      </c>
    </row>
    <row r="297" spans="1:27" x14ac:dyDescent="0.25">
      <c r="A297" t="s">
        <v>119</v>
      </c>
      <c r="B297" t="s">
        <v>566</v>
      </c>
      <c r="C297" t="s">
        <v>920</v>
      </c>
      <c r="D297" t="s">
        <v>920</v>
      </c>
      <c r="E297" t="s">
        <v>1212</v>
      </c>
      <c r="F297" t="s">
        <v>571</v>
      </c>
      <c r="G297" s="204"/>
      <c r="H297">
        <v>1500</v>
      </c>
      <c r="I297">
        <v>19650</v>
      </c>
      <c r="L297">
        <v>625</v>
      </c>
      <c r="M297">
        <v>8187.5</v>
      </c>
      <c r="N297">
        <v>1000</v>
      </c>
      <c r="O297">
        <v>13550</v>
      </c>
      <c r="P297">
        <v>1000</v>
      </c>
      <c r="Q297">
        <v>1625</v>
      </c>
      <c r="T297">
        <v>0</v>
      </c>
      <c r="U297">
        <v>0</v>
      </c>
      <c r="V297">
        <v>5000</v>
      </c>
      <c r="W297">
        <v>67750</v>
      </c>
      <c r="X297">
        <v>5000</v>
      </c>
      <c r="Y297">
        <v>5000</v>
      </c>
    </row>
    <row r="298" spans="1:27" x14ac:dyDescent="0.25">
      <c r="A298" t="s">
        <v>25</v>
      </c>
      <c r="B298" t="s">
        <v>566</v>
      </c>
      <c r="C298" t="s">
        <v>920</v>
      </c>
      <c r="D298" t="s">
        <v>920</v>
      </c>
      <c r="E298" t="s">
        <v>1181</v>
      </c>
      <c r="F298" t="s">
        <v>571</v>
      </c>
      <c r="G298" s="204"/>
      <c r="L298">
        <v>238</v>
      </c>
      <c r="M298">
        <v>6209.42</v>
      </c>
      <c r="N298">
        <v>0</v>
      </c>
      <c r="O298">
        <v>0</v>
      </c>
      <c r="P298">
        <v>0</v>
      </c>
      <c r="Q298">
        <v>238</v>
      </c>
      <c r="R298">
        <v>6209.42</v>
      </c>
      <c r="S298">
        <v>26.09</v>
      </c>
      <c r="T298">
        <v>0</v>
      </c>
      <c r="U298">
        <v>0</v>
      </c>
      <c r="V298">
        <v>375</v>
      </c>
      <c r="W298">
        <v>9581.25</v>
      </c>
      <c r="X298">
        <v>375</v>
      </c>
      <c r="Y298">
        <v>375</v>
      </c>
    </row>
    <row r="299" spans="1:27" x14ac:dyDescent="0.25">
      <c r="A299" t="s">
        <v>852</v>
      </c>
      <c r="B299" t="s">
        <v>565</v>
      </c>
      <c r="C299" t="s">
        <v>555</v>
      </c>
      <c r="D299" t="s">
        <v>620</v>
      </c>
      <c r="E299" t="s">
        <v>1269</v>
      </c>
      <c r="F299" t="s">
        <v>571</v>
      </c>
      <c r="G299" s="204"/>
      <c r="J299">
        <v>19</v>
      </c>
      <c r="K299">
        <v>39809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7" x14ac:dyDescent="0.25">
      <c r="A300" t="s">
        <v>852</v>
      </c>
      <c r="B300" t="s">
        <v>565</v>
      </c>
      <c r="C300" t="s">
        <v>555</v>
      </c>
      <c r="D300" t="s">
        <v>620</v>
      </c>
      <c r="E300" t="s">
        <v>1255</v>
      </c>
      <c r="F300" t="s">
        <v>571</v>
      </c>
      <c r="G300" s="204"/>
      <c r="L300">
        <v>114</v>
      </c>
      <c r="M300">
        <v>164582.06</v>
      </c>
      <c r="N300">
        <v>0</v>
      </c>
      <c r="O300">
        <v>0</v>
      </c>
      <c r="P300">
        <v>0</v>
      </c>
      <c r="Q300">
        <v>114</v>
      </c>
      <c r="R300">
        <v>164582.06</v>
      </c>
      <c r="S300">
        <v>1443.7022807017543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7" x14ac:dyDescent="0.25">
      <c r="A301" t="s">
        <v>15</v>
      </c>
      <c r="B301" t="s">
        <v>566</v>
      </c>
      <c r="C301" t="s">
        <v>920</v>
      </c>
      <c r="D301" t="s">
        <v>920</v>
      </c>
      <c r="E301" t="s">
        <v>1339</v>
      </c>
      <c r="F301" t="s">
        <v>571</v>
      </c>
      <c r="G301" s="204"/>
      <c r="J301">
        <v>10</v>
      </c>
      <c r="K301">
        <v>676.6</v>
      </c>
      <c r="L301">
        <v>22</v>
      </c>
      <c r="M301">
        <v>1562.88</v>
      </c>
      <c r="N301">
        <v>0</v>
      </c>
      <c r="O301">
        <v>0</v>
      </c>
      <c r="P301">
        <v>0</v>
      </c>
      <c r="Q301">
        <v>22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7" x14ac:dyDescent="0.25">
      <c r="A302" t="s">
        <v>405</v>
      </c>
      <c r="B302" t="s">
        <v>556</v>
      </c>
      <c r="C302" t="s">
        <v>555</v>
      </c>
      <c r="D302" t="s">
        <v>645</v>
      </c>
      <c r="E302" t="s">
        <v>1255</v>
      </c>
      <c r="F302" t="s">
        <v>571</v>
      </c>
      <c r="G302" s="204"/>
      <c r="L302">
        <v>13</v>
      </c>
      <c r="M302">
        <v>41660</v>
      </c>
      <c r="N302">
        <v>0</v>
      </c>
      <c r="O302">
        <v>0</v>
      </c>
      <c r="P302">
        <v>0</v>
      </c>
      <c r="Q302">
        <v>13</v>
      </c>
      <c r="R302">
        <v>41660</v>
      </c>
      <c r="S302">
        <v>3204.6153846153848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7" x14ac:dyDescent="0.25">
      <c r="A303" t="s">
        <v>100</v>
      </c>
      <c r="B303" t="s">
        <v>556</v>
      </c>
      <c r="C303" t="s">
        <v>1859</v>
      </c>
      <c r="D303" t="s">
        <v>587</v>
      </c>
      <c r="E303" t="s">
        <v>1152</v>
      </c>
      <c r="F303" t="s">
        <v>571</v>
      </c>
      <c r="G303" s="204"/>
      <c r="H303">
        <v>150</v>
      </c>
      <c r="I303">
        <v>59250</v>
      </c>
      <c r="J303">
        <v>150</v>
      </c>
      <c r="K303">
        <v>59250</v>
      </c>
      <c r="L303">
        <v>280</v>
      </c>
      <c r="M303">
        <v>110600</v>
      </c>
      <c r="N303">
        <v>200</v>
      </c>
      <c r="O303">
        <v>79000</v>
      </c>
      <c r="P303">
        <v>200</v>
      </c>
      <c r="Q303">
        <v>480</v>
      </c>
      <c r="T303">
        <v>0</v>
      </c>
      <c r="U303">
        <v>0</v>
      </c>
      <c r="V303">
        <v>400</v>
      </c>
      <c r="W303">
        <v>158000</v>
      </c>
      <c r="X303">
        <v>400</v>
      </c>
      <c r="Y303">
        <v>400</v>
      </c>
    </row>
    <row r="304" spans="1:27" x14ac:dyDescent="0.25">
      <c r="A304" t="s">
        <v>119</v>
      </c>
      <c r="B304" t="s">
        <v>566</v>
      </c>
      <c r="C304" t="s">
        <v>920</v>
      </c>
      <c r="D304" t="s">
        <v>920</v>
      </c>
      <c r="E304" t="s">
        <v>1266</v>
      </c>
      <c r="F304" t="s">
        <v>571</v>
      </c>
      <c r="G304" s="204"/>
      <c r="L304">
        <v>500</v>
      </c>
      <c r="M304">
        <v>7010</v>
      </c>
      <c r="N304">
        <v>250</v>
      </c>
      <c r="O304">
        <v>3505</v>
      </c>
      <c r="P304">
        <v>250</v>
      </c>
      <c r="Q304">
        <v>750</v>
      </c>
      <c r="R304">
        <v>10515</v>
      </c>
      <c r="S304">
        <v>14.02</v>
      </c>
      <c r="T304">
        <v>0</v>
      </c>
      <c r="U304">
        <v>0</v>
      </c>
      <c r="V304">
        <v>750</v>
      </c>
      <c r="W304">
        <v>10515</v>
      </c>
      <c r="X304">
        <v>750</v>
      </c>
      <c r="Y304">
        <v>750</v>
      </c>
      <c r="Z304">
        <v>10515</v>
      </c>
      <c r="AA304">
        <v>14.02</v>
      </c>
    </row>
    <row r="305" spans="1:27" x14ac:dyDescent="0.25">
      <c r="A305" t="s">
        <v>59</v>
      </c>
      <c r="B305" t="s">
        <v>566</v>
      </c>
      <c r="C305" t="s">
        <v>920</v>
      </c>
      <c r="D305" t="s">
        <v>920</v>
      </c>
      <c r="E305" t="s">
        <v>1330</v>
      </c>
      <c r="F305" t="s">
        <v>571</v>
      </c>
      <c r="G305" s="204"/>
      <c r="L305">
        <v>150</v>
      </c>
      <c r="M305">
        <v>3627</v>
      </c>
      <c r="N305">
        <v>0</v>
      </c>
      <c r="O305">
        <v>0</v>
      </c>
      <c r="P305">
        <v>0</v>
      </c>
      <c r="Q305">
        <v>150</v>
      </c>
      <c r="R305">
        <v>3627</v>
      </c>
      <c r="S305">
        <v>24.18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7" x14ac:dyDescent="0.25">
      <c r="A306" t="s">
        <v>102</v>
      </c>
      <c r="B306" t="s">
        <v>556</v>
      </c>
      <c r="C306" t="s">
        <v>1859</v>
      </c>
      <c r="D306" t="s">
        <v>587</v>
      </c>
      <c r="E306" t="s">
        <v>1152</v>
      </c>
      <c r="F306" t="s">
        <v>571</v>
      </c>
      <c r="G306" s="204"/>
      <c r="J306">
        <v>150</v>
      </c>
      <c r="K306">
        <v>52500</v>
      </c>
      <c r="L306">
        <v>111</v>
      </c>
      <c r="M306">
        <v>38850</v>
      </c>
      <c r="N306">
        <v>189</v>
      </c>
      <c r="O306">
        <v>66150</v>
      </c>
      <c r="P306">
        <v>189</v>
      </c>
      <c r="Q306">
        <v>300</v>
      </c>
      <c r="T306">
        <v>0</v>
      </c>
      <c r="U306">
        <v>0</v>
      </c>
      <c r="V306">
        <v>250</v>
      </c>
      <c r="W306">
        <v>87500</v>
      </c>
      <c r="X306">
        <v>250</v>
      </c>
      <c r="Y306">
        <v>250</v>
      </c>
    </row>
    <row r="307" spans="1:27" x14ac:dyDescent="0.25">
      <c r="A307" t="s">
        <v>1235</v>
      </c>
      <c r="B307" t="s">
        <v>554</v>
      </c>
      <c r="C307" t="s">
        <v>555</v>
      </c>
      <c r="D307" t="s">
        <v>1866</v>
      </c>
      <c r="E307" t="s">
        <v>1233</v>
      </c>
      <c r="F307" t="s">
        <v>571</v>
      </c>
      <c r="G307" s="204"/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T307">
        <v>0</v>
      </c>
      <c r="U307">
        <v>0</v>
      </c>
      <c r="V307">
        <v>25</v>
      </c>
      <c r="W307">
        <v>46475</v>
      </c>
      <c r="X307">
        <v>25</v>
      </c>
      <c r="Y307">
        <v>25</v>
      </c>
      <c r="Z307">
        <v>46475</v>
      </c>
      <c r="AA307">
        <v>1859</v>
      </c>
    </row>
    <row r="308" spans="1:27" x14ac:dyDescent="0.25">
      <c r="A308" t="s">
        <v>87</v>
      </c>
      <c r="B308" t="s">
        <v>566</v>
      </c>
      <c r="C308" t="s">
        <v>920</v>
      </c>
      <c r="D308" t="s">
        <v>920</v>
      </c>
      <c r="E308" t="s">
        <v>1330</v>
      </c>
      <c r="F308" t="s">
        <v>571</v>
      </c>
      <c r="G308" s="204"/>
      <c r="J308">
        <v>500</v>
      </c>
      <c r="K308">
        <v>4900</v>
      </c>
      <c r="L308">
        <v>1500</v>
      </c>
      <c r="M308">
        <v>14060</v>
      </c>
      <c r="N308">
        <v>0</v>
      </c>
      <c r="O308">
        <v>0</v>
      </c>
      <c r="P308">
        <v>0</v>
      </c>
      <c r="Q308">
        <v>1500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7" x14ac:dyDescent="0.25">
      <c r="A309" t="s">
        <v>1587</v>
      </c>
      <c r="B309" t="s">
        <v>565</v>
      </c>
      <c r="C309" t="s">
        <v>555</v>
      </c>
      <c r="D309" t="s">
        <v>620</v>
      </c>
      <c r="E309" t="s">
        <v>1269</v>
      </c>
      <c r="F309" t="s">
        <v>571</v>
      </c>
      <c r="G309" s="204"/>
      <c r="H309">
        <v>2</v>
      </c>
      <c r="I309">
        <v>5000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7" x14ac:dyDescent="0.25">
      <c r="A310" t="s">
        <v>461</v>
      </c>
      <c r="B310" t="s">
        <v>567</v>
      </c>
      <c r="C310" t="s">
        <v>920</v>
      </c>
      <c r="D310" t="s">
        <v>920</v>
      </c>
      <c r="E310" t="s">
        <v>1266</v>
      </c>
      <c r="F310" t="s">
        <v>578</v>
      </c>
      <c r="G310" s="204">
        <v>46752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T310">
        <v>0</v>
      </c>
      <c r="U310">
        <v>0</v>
      </c>
      <c r="V310">
        <v>100</v>
      </c>
      <c r="W310">
        <v>951</v>
      </c>
      <c r="X310">
        <v>100</v>
      </c>
      <c r="Y310">
        <v>100</v>
      </c>
      <c r="Z310">
        <v>951</v>
      </c>
      <c r="AA310">
        <v>9.51</v>
      </c>
    </row>
    <row r="311" spans="1:27" x14ac:dyDescent="0.25">
      <c r="A311" t="s">
        <v>7</v>
      </c>
      <c r="B311" t="s">
        <v>566</v>
      </c>
      <c r="C311" t="s">
        <v>920</v>
      </c>
      <c r="D311" t="s">
        <v>920</v>
      </c>
      <c r="E311" t="s">
        <v>1266</v>
      </c>
      <c r="F311" t="s">
        <v>571</v>
      </c>
      <c r="G311" s="204"/>
      <c r="J311">
        <v>5000</v>
      </c>
      <c r="K311">
        <v>35850</v>
      </c>
      <c r="L311">
        <v>4500</v>
      </c>
      <c r="M311">
        <v>32985</v>
      </c>
      <c r="N311">
        <v>1500</v>
      </c>
      <c r="O311">
        <v>11115</v>
      </c>
      <c r="P311">
        <v>1500</v>
      </c>
      <c r="Q311">
        <v>6000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7" x14ac:dyDescent="0.25">
      <c r="A312" t="s">
        <v>5</v>
      </c>
      <c r="B312" t="s">
        <v>566</v>
      </c>
      <c r="C312" t="s">
        <v>920</v>
      </c>
      <c r="D312" t="s">
        <v>920</v>
      </c>
      <c r="E312" t="s">
        <v>1315</v>
      </c>
      <c r="F312" t="s">
        <v>571</v>
      </c>
      <c r="G312" s="204"/>
      <c r="H312">
        <v>500</v>
      </c>
      <c r="I312">
        <v>5445</v>
      </c>
      <c r="L312">
        <v>500</v>
      </c>
      <c r="M312">
        <v>6805</v>
      </c>
      <c r="N312">
        <v>0</v>
      </c>
      <c r="O312">
        <v>0</v>
      </c>
      <c r="P312">
        <v>0</v>
      </c>
      <c r="Q312">
        <v>500</v>
      </c>
      <c r="R312">
        <v>6805</v>
      </c>
      <c r="S312">
        <v>13.61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7" x14ac:dyDescent="0.25">
      <c r="A313" t="s">
        <v>13</v>
      </c>
      <c r="B313" t="s">
        <v>566</v>
      </c>
      <c r="C313" t="s">
        <v>920</v>
      </c>
      <c r="D313" t="s">
        <v>920</v>
      </c>
      <c r="E313" t="s">
        <v>1227</v>
      </c>
      <c r="F313" t="s">
        <v>571</v>
      </c>
      <c r="G313" s="204"/>
      <c r="L313">
        <v>500</v>
      </c>
      <c r="M313">
        <v>20020</v>
      </c>
      <c r="N313">
        <v>0</v>
      </c>
      <c r="O313">
        <v>0</v>
      </c>
      <c r="P313">
        <v>0</v>
      </c>
      <c r="Q313">
        <v>500</v>
      </c>
      <c r="R313">
        <v>20020</v>
      </c>
      <c r="S313">
        <v>40.04</v>
      </c>
      <c r="T313">
        <v>0</v>
      </c>
      <c r="U313">
        <v>0</v>
      </c>
      <c r="V313">
        <v>500</v>
      </c>
      <c r="W313">
        <v>20020</v>
      </c>
      <c r="X313">
        <v>500</v>
      </c>
      <c r="Y313">
        <v>500</v>
      </c>
      <c r="Z313">
        <v>20020</v>
      </c>
      <c r="AA313">
        <v>40.04</v>
      </c>
    </row>
    <row r="314" spans="1:27" x14ac:dyDescent="0.25">
      <c r="A314" t="s">
        <v>1587</v>
      </c>
      <c r="B314" t="s">
        <v>565</v>
      </c>
      <c r="C314" t="s">
        <v>555</v>
      </c>
      <c r="D314" t="s">
        <v>620</v>
      </c>
      <c r="E314" t="s">
        <v>1434</v>
      </c>
      <c r="F314" t="s">
        <v>571</v>
      </c>
      <c r="G314" s="204"/>
      <c r="J314">
        <v>2</v>
      </c>
      <c r="K314">
        <v>5000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7" x14ac:dyDescent="0.25">
      <c r="A315" t="s">
        <v>1234</v>
      </c>
      <c r="B315" t="s">
        <v>554</v>
      </c>
      <c r="C315" t="s">
        <v>555</v>
      </c>
      <c r="D315" t="s">
        <v>1866</v>
      </c>
      <c r="E315" t="s">
        <v>1233</v>
      </c>
      <c r="F315" t="s">
        <v>571</v>
      </c>
      <c r="G315" s="204"/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T315">
        <v>0</v>
      </c>
      <c r="U315">
        <v>0</v>
      </c>
      <c r="V315">
        <v>10</v>
      </c>
      <c r="W315">
        <v>35000</v>
      </c>
      <c r="X315">
        <v>10</v>
      </c>
      <c r="Y315">
        <v>10</v>
      </c>
      <c r="Z315">
        <v>35000</v>
      </c>
      <c r="AA315">
        <v>3500</v>
      </c>
    </row>
    <row r="316" spans="1:27" x14ac:dyDescent="0.25">
      <c r="A316" t="s">
        <v>81</v>
      </c>
      <c r="B316" t="s">
        <v>567</v>
      </c>
      <c r="C316" t="s">
        <v>920</v>
      </c>
      <c r="D316" t="s">
        <v>920</v>
      </c>
      <c r="E316" t="s">
        <v>1266</v>
      </c>
      <c r="F316" t="s">
        <v>571</v>
      </c>
      <c r="G316" s="204"/>
      <c r="L316">
        <v>1130</v>
      </c>
      <c r="M316">
        <v>20611.2</v>
      </c>
      <c r="N316">
        <v>0</v>
      </c>
      <c r="O316">
        <v>0</v>
      </c>
      <c r="P316">
        <v>0</v>
      </c>
      <c r="Q316">
        <v>1130</v>
      </c>
      <c r="T316">
        <v>0</v>
      </c>
      <c r="U316">
        <v>0</v>
      </c>
      <c r="V316">
        <v>100</v>
      </c>
      <c r="W316">
        <v>2006</v>
      </c>
      <c r="X316">
        <v>100</v>
      </c>
      <c r="Y316">
        <v>100</v>
      </c>
      <c r="Z316">
        <v>2006</v>
      </c>
      <c r="AA316">
        <v>20.059999999999999</v>
      </c>
    </row>
    <row r="317" spans="1:27" x14ac:dyDescent="0.25">
      <c r="A317" t="s">
        <v>17</v>
      </c>
      <c r="B317" t="s">
        <v>565</v>
      </c>
      <c r="C317" t="s">
        <v>920</v>
      </c>
      <c r="D317" t="s">
        <v>920</v>
      </c>
      <c r="E317" t="s">
        <v>1190</v>
      </c>
      <c r="F317" t="s">
        <v>571</v>
      </c>
      <c r="G317" s="204"/>
      <c r="L317">
        <v>200</v>
      </c>
      <c r="M317">
        <v>17884</v>
      </c>
      <c r="N317">
        <v>0</v>
      </c>
      <c r="O317">
        <v>0</v>
      </c>
      <c r="P317">
        <v>0</v>
      </c>
      <c r="Q317">
        <v>200</v>
      </c>
      <c r="T317">
        <v>0</v>
      </c>
      <c r="U317">
        <v>0</v>
      </c>
      <c r="V317">
        <v>100</v>
      </c>
      <c r="W317">
        <v>8942</v>
      </c>
      <c r="X317">
        <v>100</v>
      </c>
      <c r="Y317">
        <v>100</v>
      </c>
      <c r="Z317">
        <v>8942</v>
      </c>
      <c r="AA317">
        <v>89.42</v>
      </c>
    </row>
    <row r="318" spans="1:27" x14ac:dyDescent="0.25">
      <c r="A318" t="s">
        <v>1588</v>
      </c>
      <c r="B318" t="s">
        <v>565</v>
      </c>
      <c r="C318" t="s">
        <v>1859</v>
      </c>
      <c r="D318" t="s">
        <v>654</v>
      </c>
      <c r="E318" t="s">
        <v>1167</v>
      </c>
      <c r="F318" t="s">
        <v>571</v>
      </c>
      <c r="G318" s="204"/>
      <c r="H318">
        <v>37</v>
      </c>
      <c r="I318">
        <v>55107.06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7" x14ac:dyDescent="0.25">
      <c r="A319" t="s">
        <v>107</v>
      </c>
      <c r="B319" t="s">
        <v>566</v>
      </c>
      <c r="C319" t="s">
        <v>920</v>
      </c>
      <c r="D319" t="s">
        <v>920</v>
      </c>
      <c r="E319" t="s">
        <v>1212</v>
      </c>
      <c r="F319" t="s">
        <v>571</v>
      </c>
      <c r="G319" s="204"/>
      <c r="L319">
        <v>145</v>
      </c>
      <c r="M319">
        <v>2724.55</v>
      </c>
      <c r="N319">
        <v>0</v>
      </c>
      <c r="O319">
        <v>0</v>
      </c>
      <c r="P319">
        <v>0</v>
      </c>
      <c r="Q319">
        <v>145</v>
      </c>
      <c r="R319">
        <v>2724.55</v>
      </c>
      <c r="S319">
        <v>18.790000000000003</v>
      </c>
      <c r="T319">
        <v>0</v>
      </c>
      <c r="U319">
        <v>0</v>
      </c>
      <c r="V319">
        <v>150</v>
      </c>
      <c r="W319">
        <v>3240</v>
      </c>
      <c r="X319">
        <v>150</v>
      </c>
      <c r="Y319">
        <v>150</v>
      </c>
    </row>
    <row r="320" spans="1:27" x14ac:dyDescent="0.25">
      <c r="A320" t="s">
        <v>1540</v>
      </c>
      <c r="B320" t="s">
        <v>556</v>
      </c>
      <c r="C320" t="s">
        <v>1859</v>
      </c>
      <c r="D320" t="s">
        <v>607</v>
      </c>
      <c r="E320" t="s">
        <v>1368</v>
      </c>
      <c r="F320" t="s">
        <v>571</v>
      </c>
      <c r="G320" s="204"/>
      <c r="J320">
        <v>100</v>
      </c>
      <c r="K320">
        <v>18500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7" x14ac:dyDescent="0.25">
      <c r="A321" t="s">
        <v>1540</v>
      </c>
      <c r="B321" t="s">
        <v>556</v>
      </c>
      <c r="C321" t="s">
        <v>1859</v>
      </c>
      <c r="D321" t="s">
        <v>607</v>
      </c>
      <c r="E321" t="s">
        <v>1212</v>
      </c>
      <c r="F321" t="s">
        <v>571</v>
      </c>
      <c r="G321" s="204"/>
      <c r="H321">
        <v>50</v>
      </c>
      <c r="I321">
        <v>9250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7" x14ac:dyDescent="0.25">
      <c r="A322" t="s">
        <v>514</v>
      </c>
      <c r="B322" t="s">
        <v>556</v>
      </c>
      <c r="C322" t="s">
        <v>1859</v>
      </c>
      <c r="D322" t="s">
        <v>607</v>
      </c>
      <c r="E322" t="s">
        <v>1466</v>
      </c>
      <c r="F322" t="s">
        <v>571</v>
      </c>
      <c r="G322" s="204"/>
      <c r="H322">
        <v>250</v>
      </c>
      <c r="I322">
        <v>49855</v>
      </c>
      <c r="J322">
        <v>250</v>
      </c>
      <c r="K322">
        <v>49855</v>
      </c>
      <c r="L322">
        <v>250</v>
      </c>
      <c r="M322">
        <v>49855.000000000007</v>
      </c>
      <c r="N322">
        <v>0</v>
      </c>
      <c r="O322">
        <v>0</v>
      </c>
      <c r="P322">
        <v>0</v>
      </c>
      <c r="Q322">
        <v>250</v>
      </c>
      <c r="R322">
        <v>49855.000000000007</v>
      </c>
      <c r="S322">
        <v>199.42000000000002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7" x14ac:dyDescent="0.25">
      <c r="A323" t="s">
        <v>514</v>
      </c>
      <c r="B323" t="s">
        <v>556</v>
      </c>
      <c r="C323" t="s">
        <v>1859</v>
      </c>
      <c r="D323" t="s">
        <v>607</v>
      </c>
      <c r="E323" t="s">
        <v>1368</v>
      </c>
      <c r="F323" t="s">
        <v>571</v>
      </c>
      <c r="G323" s="204"/>
      <c r="J323">
        <v>100</v>
      </c>
      <c r="K323">
        <v>19942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7" x14ac:dyDescent="0.25">
      <c r="A324" t="s">
        <v>738</v>
      </c>
      <c r="B324" t="s">
        <v>556</v>
      </c>
      <c r="C324" t="s">
        <v>1859</v>
      </c>
      <c r="D324" t="s">
        <v>607</v>
      </c>
      <c r="E324" t="s">
        <v>1212</v>
      </c>
      <c r="F324" t="s">
        <v>571</v>
      </c>
      <c r="G324" s="204"/>
      <c r="L324">
        <v>0</v>
      </c>
      <c r="M324">
        <v>0</v>
      </c>
      <c r="N324">
        <v>25</v>
      </c>
      <c r="O324">
        <v>24150</v>
      </c>
      <c r="P324">
        <v>25</v>
      </c>
      <c r="Q324">
        <v>25</v>
      </c>
      <c r="R324">
        <v>24150</v>
      </c>
      <c r="S324">
        <v>966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7" x14ac:dyDescent="0.25">
      <c r="A325" t="s">
        <v>475</v>
      </c>
      <c r="B325" t="s">
        <v>556</v>
      </c>
      <c r="C325" t="s">
        <v>1860</v>
      </c>
      <c r="D325" t="s">
        <v>678</v>
      </c>
      <c r="E325" t="s">
        <v>1253</v>
      </c>
      <c r="F325" t="s">
        <v>571</v>
      </c>
      <c r="G325" s="204"/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T325">
        <v>0</v>
      </c>
      <c r="U325">
        <v>0</v>
      </c>
      <c r="V325">
        <v>105</v>
      </c>
      <c r="W325">
        <v>288551.55</v>
      </c>
      <c r="X325">
        <v>105</v>
      </c>
      <c r="Y325">
        <v>105</v>
      </c>
      <c r="Z325">
        <v>288551.55</v>
      </c>
      <c r="AA325">
        <v>2748.1099999999997</v>
      </c>
    </row>
    <row r="326" spans="1:27" x14ac:dyDescent="0.25">
      <c r="A326" t="s">
        <v>514</v>
      </c>
      <c r="B326" t="s">
        <v>556</v>
      </c>
      <c r="C326" t="s">
        <v>1859</v>
      </c>
      <c r="D326" t="s">
        <v>607</v>
      </c>
      <c r="E326" t="s">
        <v>1295</v>
      </c>
      <c r="F326" t="s">
        <v>571</v>
      </c>
      <c r="G326" s="204"/>
      <c r="H326">
        <v>500</v>
      </c>
      <c r="I326">
        <v>99710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7" x14ac:dyDescent="0.25">
      <c r="A327" t="s">
        <v>514</v>
      </c>
      <c r="B327" t="s">
        <v>556</v>
      </c>
      <c r="C327" t="s">
        <v>1859</v>
      </c>
      <c r="D327" t="s">
        <v>607</v>
      </c>
      <c r="E327" t="s">
        <v>1212</v>
      </c>
      <c r="F327" t="s">
        <v>571</v>
      </c>
      <c r="G327" s="204"/>
      <c r="J327">
        <v>100</v>
      </c>
      <c r="K327">
        <v>19308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7" x14ac:dyDescent="0.25">
      <c r="A328" t="s">
        <v>897</v>
      </c>
      <c r="B328" t="s">
        <v>556</v>
      </c>
      <c r="C328" t="s">
        <v>1859</v>
      </c>
      <c r="D328" t="s">
        <v>649</v>
      </c>
      <c r="E328" t="s">
        <v>1167</v>
      </c>
      <c r="F328" t="s">
        <v>571</v>
      </c>
      <c r="G328" s="204"/>
      <c r="L328">
        <v>393</v>
      </c>
      <c r="M328">
        <v>51999.99</v>
      </c>
      <c r="N328">
        <v>0</v>
      </c>
      <c r="O328">
        <v>0</v>
      </c>
      <c r="P328">
        <v>0</v>
      </c>
      <c r="Q328">
        <v>393</v>
      </c>
      <c r="R328">
        <v>51999.99</v>
      </c>
      <c r="S328">
        <v>132.31549618320611</v>
      </c>
      <c r="T328">
        <v>0</v>
      </c>
      <c r="U328">
        <v>0</v>
      </c>
      <c r="V328">
        <v>2757</v>
      </c>
      <c r="W328">
        <v>410434.58999999997</v>
      </c>
      <c r="X328">
        <v>2757</v>
      </c>
      <c r="Y328">
        <v>2757</v>
      </c>
    </row>
    <row r="329" spans="1:27" x14ac:dyDescent="0.25">
      <c r="A329" t="s">
        <v>260</v>
      </c>
      <c r="B329" t="s">
        <v>562</v>
      </c>
      <c r="C329" t="s">
        <v>1858</v>
      </c>
      <c r="D329" t="s">
        <v>569</v>
      </c>
      <c r="E329" t="s">
        <v>1224</v>
      </c>
      <c r="F329" t="s">
        <v>571</v>
      </c>
      <c r="G329" s="204"/>
      <c r="L329">
        <v>0</v>
      </c>
      <c r="M329">
        <v>0</v>
      </c>
      <c r="N329">
        <v>56</v>
      </c>
      <c r="O329">
        <v>36400</v>
      </c>
      <c r="P329">
        <v>56</v>
      </c>
      <c r="Q329">
        <v>56</v>
      </c>
      <c r="R329">
        <v>36400</v>
      </c>
      <c r="S329">
        <v>650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7" x14ac:dyDescent="0.25">
      <c r="A330" t="s">
        <v>260</v>
      </c>
      <c r="B330" t="s">
        <v>562</v>
      </c>
      <c r="C330" t="s">
        <v>1858</v>
      </c>
      <c r="D330" t="s">
        <v>569</v>
      </c>
      <c r="E330" t="s">
        <v>1335</v>
      </c>
      <c r="F330" t="s">
        <v>571</v>
      </c>
      <c r="G330" s="204"/>
      <c r="J330">
        <v>16</v>
      </c>
      <c r="K330">
        <v>6336</v>
      </c>
      <c r="L330">
        <v>44</v>
      </c>
      <c r="M330">
        <v>28600</v>
      </c>
      <c r="N330">
        <v>0</v>
      </c>
      <c r="O330">
        <v>0</v>
      </c>
      <c r="P330">
        <v>0</v>
      </c>
      <c r="Q330">
        <v>44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7" x14ac:dyDescent="0.25">
      <c r="A331" t="s">
        <v>99</v>
      </c>
      <c r="B331" t="s">
        <v>1031</v>
      </c>
      <c r="C331" t="s">
        <v>920</v>
      </c>
      <c r="D331" t="s">
        <v>920</v>
      </c>
      <c r="E331" t="s">
        <v>1266</v>
      </c>
      <c r="F331" t="s">
        <v>571</v>
      </c>
      <c r="G331" s="204"/>
      <c r="L331">
        <v>1371</v>
      </c>
      <c r="M331">
        <v>17274.599999999999</v>
      </c>
      <c r="N331">
        <v>500</v>
      </c>
      <c r="O331">
        <v>6300</v>
      </c>
      <c r="P331">
        <v>500</v>
      </c>
      <c r="Q331">
        <v>1871</v>
      </c>
      <c r="T331">
        <v>0</v>
      </c>
      <c r="U331">
        <v>0</v>
      </c>
      <c r="V331">
        <v>580</v>
      </c>
      <c r="W331">
        <v>7308</v>
      </c>
      <c r="X331">
        <v>580</v>
      </c>
      <c r="Y331">
        <v>580</v>
      </c>
      <c r="Z331">
        <v>7308</v>
      </c>
      <c r="AA331">
        <v>12.6</v>
      </c>
    </row>
    <row r="332" spans="1:27" x14ac:dyDescent="0.25">
      <c r="A332" t="s">
        <v>496</v>
      </c>
      <c r="B332" t="s">
        <v>562</v>
      </c>
      <c r="C332" t="s">
        <v>1859</v>
      </c>
      <c r="D332" t="s">
        <v>679</v>
      </c>
      <c r="E332" t="s">
        <v>1403</v>
      </c>
      <c r="F332" t="s">
        <v>571</v>
      </c>
      <c r="G332" s="204"/>
      <c r="J332">
        <v>135</v>
      </c>
      <c r="K332">
        <v>87165.45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7" x14ac:dyDescent="0.25">
      <c r="A333" t="s">
        <v>493</v>
      </c>
      <c r="B333" t="s">
        <v>562</v>
      </c>
      <c r="C333" t="s">
        <v>1859</v>
      </c>
      <c r="D333" t="s">
        <v>679</v>
      </c>
      <c r="E333" t="s">
        <v>1280</v>
      </c>
      <c r="F333" t="s">
        <v>571</v>
      </c>
      <c r="G333" s="204"/>
      <c r="J333">
        <v>121</v>
      </c>
      <c r="K333">
        <v>100006.5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7" x14ac:dyDescent="0.25">
      <c r="A334" t="s">
        <v>108</v>
      </c>
      <c r="B334" t="s">
        <v>556</v>
      </c>
      <c r="C334" t="s">
        <v>1859</v>
      </c>
      <c r="D334" t="s">
        <v>607</v>
      </c>
      <c r="E334" t="s">
        <v>1295</v>
      </c>
      <c r="F334" t="s">
        <v>571</v>
      </c>
      <c r="G334" s="204"/>
      <c r="L334">
        <v>65</v>
      </c>
      <c r="M334">
        <v>49910.060000000005</v>
      </c>
      <c r="N334">
        <v>0</v>
      </c>
      <c r="O334">
        <v>0</v>
      </c>
      <c r="P334">
        <v>0</v>
      </c>
      <c r="Q334">
        <v>65</v>
      </c>
      <c r="R334">
        <v>49910.060000000005</v>
      </c>
      <c r="S334">
        <v>767.847076923077</v>
      </c>
      <c r="T334">
        <v>0</v>
      </c>
      <c r="U334">
        <v>0</v>
      </c>
      <c r="V334">
        <v>220</v>
      </c>
      <c r="W334">
        <v>189842.4</v>
      </c>
      <c r="X334">
        <v>220</v>
      </c>
      <c r="Y334">
        <v>220</v>
      </c>
    </row>
    <row r="335" spans="1:27" x14ac:dyDescent="0.25">
      <c r="A335" t="s">
        <v>311</v>
      </c>
      <c r="B335" t="s">
        <v>554</v>
      </c>
      <c r="C335" t="s">
        <v>1859</v>
      </c>
      <c r="D335" t="s">
        <v>663</v>
      </c>
      <c r="E335" t="s">
        <v>1169</v>
      </c>
      <c r="F335" t="s">
        <v>571</v>
      </c>
      <c r="G335" s="204"/>
      <c r="L335">
        <v>0</v>
      </c>
      <c r="M335">
        <v>0</v>
      </c>
      <c r="N335">
        <v>18</v>
      </c>
      <c r="O335">
        <v>15390</v>
      </c>
      <c r="P335">
        <v>18</v>
      </c>
      <c r="Q335">
        <v>18</v>
      </c>
      <c r="R335">
        <v>15390</v>
      </c>
      <c r="S335">
        <v>855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7" x14ac:dyDescent="0.25">
      <c r="A336" t="s">
        <v>475</v>
      </c>
      <c r="B336" t="s">
        <v>556</v>
      </c>
      <c r="C336" t="s">
        <v>1860</v>
      </c>
      <c r="D336" t="s">
        <v>678</v>
      </c>
      <c r="E336" t="s">
        <v>1336</v>
      </c>
      <c r="F336" t="s">
        <v>578</v>
      </c>
      <c r="G336" s="204">
        <v>46477</v>
      </c>
      <c r="L336">
        <v>29</v>
      </c>
      <c r="M336">
        <v>68513.95</v>
      </c>
      <c r="N336">
        <v>0</v>
      </c>
      <c r="O336">
        <v>0</v>
      </c>
      <c r="P336">
        <v>0</v>
      </c>
      <c r="Q336">
        <v>29</v>
      </c>
      <c r="R336">
        <v>68513.95</v>
      </c>
      <c r="S336">
        <v>2362.5499999999997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7" x14ac:dyDescent="0.25">
      <c r="A337" t="s">
        <v>1589</v>
      </c>
      <c r="B337" t="s">
        <v>556</v>
      </c>
      <c r="C337" t="s">
        <v>1859</v>
      </c>
      <c r="D337" t="s">
        <v>1867</v>
      </c>
      <c r="E337" t="s">
        <v>1373</v>
      </c>
      <c r="F337" t="s">
        <v>571</v>
      </c>
      <c r="G337" s="204"/>
      <c r="J337">
        <v>50</v>
      </c>
      <c r="K337">
        <v>8377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7" x14ac:dyDescent="0.25">
      <c r="A338" t="s">
        <v>1590</v>
      </c>
      <c r="B338" t="s">
        <v>562</v>
      </c>
      <c r="C338" t="s">
        <v>1860</v>
      </c>
      <c r="D338" t="s">
        <v>1868</v>
      </c>
      <c r="E338" t="s">
        <v>1337</v>
      </c>
      <c r="F338" t="s">
        <v>571</v>
      </c>
      <c r="G338" s="204"/>
      <c r="H338">
        <v>7</v>
      </c>
      <c r="I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7" x14ac:dyDescent="0.25">
      <c r="A339" t="s">
        <v>461</v>
      </c>
      <c r="B339" t="s">
        <v>567</v>
      </c>
      <c r="C339" t="s">
        <v>920</v>
      </c>
      <c r="D339" t="s">
        <v>920</v>
      </c>
      <c r="E339" t="s">
        <v>1138</v>
      </c>
      <c r="F339" t="s">
        <v>571</v>
      </c>
      <c r="G339" s="204"/>
      <c r="J339">
        <v>29</v>
      </c>
      <c r="K339">
        <v>923.93999999999994</v>
      </c>
      <c r="L339">
        <v>100</v>
      </c>
      <c r="M339">
        <v>4400</v>
      </c>
      <c r="N339">
        <v>0</v>
      </c>
      <c r="O339">
        <v>0</v>
      </c>
      <c r="P339">
        <v>0</v>
      </c>
      <c r="Q339">
        <v>100</v>
      </c>
      <c r="T339">
        <v>0</v>
      </c>
      <c r="U339">
        <v>0</v>
      </c>
      <c r="V339">
        <v>400</v>
      </c>
      <c r="W339">
        <v>17600</v>
      </c>
      <c r="X339">
        <v>400</v>
      </c>
      <c r="Y339">
        <v>400</v>
      </c>
    </row>
    <row r="340" spans="1:27" x14ac:dyDescent="0.25">
      <c r="A340" t="s">
        <v>1591</v>
      </c>
      <c r="B340" t="s">
        <v>562</v>
      </c>
      <c r="C340" t="s">
        <v>564</v>
      </c>
      <c r="D340" t="s">
        <v>675</v>
      </c>
      <c r="E340" t="s">
        <v>1252</v>
      </c>
      <c r="F340" t="s">
        <v>571</v>
      </c>
      <c r="G340" s="204"/>
      <c r="J340">
        <v>10</v>
      </c>
      <c r="K340">
        <v>13928.7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7" x14ac:dyDescent="0.25">
      <c r="A341" t="s">
        <v>105</v>
      </c>
      <c r="B341" t="s">
        <v>567</v>
      </c>
      <c r="C341" t="s">
        <v>920</v>
      </c>
      <c r="D341" t="s">
        <v>920</v>
      </c>
      <c r="E341" t="s">
        <v>1138</v>
      </c>
      <c r="F341" t="s">
        <v>571</v>
      </c>
      <c r="G341" s="204"/>
      <c r="J341">
        <v>4535</v>
      </c>
      <c r="K341">
        <v>36552.1</v>
      </c>
      <c r="L341">
        <v>16862</v>
      </c>
      <c r="M341">
        <v>161597.71999999997</v>
      </c>
      <c r="N341">
        <v>0</v>
      </c>
      <c r="O341">
        <v>0</v>
      </c>
      <c r="P341">
        <v>0</v>
      </c>
      <c r="Q341">
        <v>16862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7" x14ac:dyDescent="0.25">
      <c r="A342" t="s">
        <v>370</v>
      </c>
      <c r="B342" t="s">
        <v>556</v>
      </c>
      <c r="C342" t="s">
        <v>1858</v>
      </c>
      <c r="D342" t="s">
        <v>582</v>
      </c>
      <c r="E342" t="s">
        <v>1266</v>
      </c>
      <c r="F342" t="s">
        <v>571</v>
      </c>
      <c r="G342" s="204"/>
      <c r="J342">
        <v>15</v>
      </c>
      <c r="K342">
        <v>17625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7" x14ac:dyDescent="0.25">
      <c r="A343" t="s">
        <v>370</v>
      </c>
      <c r="B343" t="s">
        <v>556</v>
      </c>
      <c r="C343" t="s">
        <v>1858</v>
      </c>
      <c r="D343" t="s">
        <v>582</v>
      </c>
      <c r="E343" t="s">
        <v>1435</v>
      </c>
      <c r="F343" t="s">
        <v>571</v>
      </c>
      <c r="G343" s="204"/>
      <c r="J343">
        <v>50</v>
      </c>
      <c r="K343">
        <v>58750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7" x14ac:dyDescent="0.25">
      <c r="A344" t="s">
        <v>370</v>
      </c>
      <c r="B344" t="s">
        <v>556</v>
      </c>
      <c r="C344" t="s">
        <v>1858</v>
      </c>
      <c r="D344" t="s">
        <v>582</v>
      </c>
      <c r="E344" t="s">
        <v>1338</v>
      </c>
      <c r="F344" t="s">
        <v>571</v>
      </c>
      <c r="G344" s="204"/>
      <c r="J344">
        <v>40</v>
      </c>
      <c r="K344">
        <v>23503.200000000001</v>
      </c>
      <c r="L344">
        <v>60</v>
      </c>
      <c r="M344">
        <v>35254.800000000003</v>
      </c>
      <c r="N344">
        <v>0</v>
      </c>
      <c r="O344">
        <v>0</v>
      </c>
      <c r="P344">
        <v>0</v>
      </c>
      <c r="Q344">
        <v>60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7" x14ac:dyDescent="0.25">
      <c r="A345" t="s">
        <v>34</v>
      </c>
      <c r="B345" t="s">
        <v>556</v>
      </c>
      <c r="C345" t="s">
        <v>1860</v>
      </c>
      <c r="D345" t="s">
        <v>589</v>
      </c>
      <c r="E345" t="s">
        <v>1288</v>
      </c>
      <c r="F345" t="s">
        <v>571</v>
      </c>
      <c r="G345" s="204"/>
      <c r="L345">
        <v>2092</v>
      </c>
      <c r="M345">
        <v>317843.52</v>
      </c>
      <c r="N345">
        <v>1408</v>
      </c>
      <c r="O345">
        <v>190826.23999999999</v>
      </c>
      <c r="P345">
        <v>1408</v>
      </c>
      <c r="Q345">
        <v>3500</v>
      </c>
      <c r="R345">
        <v>508669.76</v>
      </c>
      <c r="S345">
        <v>145.33421714285714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7" x14ac:dyDescent="0.25">
      <c r="A346" t="s">
        <v>299</v>
      </c>
      <c r="B346" t="s">
        <v>565</v>
      </c>
      <c r="C346" t="s">
        <v>1859</v>
      </c>
      <c r="D346" t="s">
        <v>592</v>
      </c>
      <c r="E346" t="s">
        <v>1343</v>
      </c>
      <c r="F346" t="s">
        <v>571</v>
      </c>
      <c r="G346" s="204"/>
      <c r="J346">
        <v>13</v>
      </c>
      <c r="K346">
        <v>8087.56</v>
      </c>
      <c r="L346">
        <v>14</v>
      </c>
      <c r="M346">
        <v>9406.4599999999991</v>
      </c>
      <c r="N346">
        <v>0</v>
      </c>
      <c r="O346">
        <v>0</v>
      </c>
      <c r="P346">
        <v>0</v>
      </c>
      <c r="Q346">
        <v>14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7" x14ac:dyDescent="0.25">
      <c r="A347" t="s">
        <v>39</v>
      </c>
      <c r="B347" t="s">
        <v>566</v>
      </c>
      <c r="C347" t="s">
        <v>920</v>
      </c>
      <c r="D347" t="s">
        <v>920</v>
      </c>
      <c r="E347" t="s">
        <v>1212</v>
      </c>
      <c r="F347" t="s">
        <v>578</v>
      </c>
      <c r="G347" s="204">
        <v>46752</v>
      </c>
      <c r="H347">
        <v>247</v>
      </c>
      <c r="I347">
        <v>2153.84</v>
      </c>
      <c r="L347">
        <v>1750</v>
      </c>
      <c r="M347">
        <v>16082.5</v>
      </c>
      <c r="N347">
        <v>0</v>
      </c>
      <c r="O347">
        <v>0</v>
      </c>
      <c r="P347">
        <v>0</v>
      </c>
      <c r="Q347">
        <v>1750</v>
      </c>
      <c r="T347">
        <v>0</v>
      </c>
      <c r="U347">
        <v>0</v>
      </c>
      <c r="V347">
        <v>1000</v>
      </c>
      <c r="W347">
        <v>9190</v>
      </c>
      <c r="X347">
        <v>1000</v>
      </c>
      <c r="Y347">
        <v>1000</v>
      </c>
    </row>
    <row r="348" spans="1:27" x14ac:dyDescent="0.25">
      <c r="A348" t="s">
        <v>299</v>
      </c>
      <c r="B348" t="s">
        <v>565</v>
      </c>
      <c r="C348" t="s">
        <v>1859</v>
      </c>
      <c r="D348" t="s">
        <v>592</v>
      </c>
      <c r="E348" t="s">
        <v>1167</v>
      </c>
      <c r="F348" t="s">
        <v>571</v>
      </c>
      <c r="G348" s="204"/>
      <c r="H348">
        <v>13</v>
      </c>
      <c r="I348">
        <v>3293.55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7" x14ac:dyDescent="0.25">
      <c r="A349" t="s">
        <v>449</v>
      </c>
      <c r="B349" t="s">
        <v>566</v>
      </c>
      <c r="C349" t="s">
        <v>920</v>
      </c>
      <c r="D349" t="s">
        <v>920</v>
      </c>
      <c r="E349" t="s">
        <v>1212</v>
      </c>
      <c r="F349" t="s">
        <v>571</v>
      </c>
      <c r="G349" s="204"/>
      <c r="H349">
        <v>2500</v>
      </c>
      <c r="I349">
        <v>16725</v>
      </c>
      <c r="L349">
        <v>2500</v>
      </c>
      <c r="M349">
        <v>18150</v>
      </c>
      <c r="N349">
        <v>0</v>
      </c>
      <c r="O349">
        <v>0</v>
      </c>
      <c r="P349">
        <v>0</v>
      </c>
      <c r="Q349">
        <v>2500</v>
      </c>
      <c r="R349">
        <v>18150</v>
      </c>
      <c r="S349">
        <v>7.26</v>
      </c>
      <c r="T349">
        <v>0</v>
      </c>
      <c r="U349">
        <v>0</v>
      </c>
      <c r="V349">
        <v>10000</v>
      </c>
      <c r="W349">
        <v>72600</v>
      </c>
      <c r="X349">
        <v>10000</v>
      </c>
      <c r="Y349">
        <v>10000</v>
      </c>
    </row>
    <row r="350" spans="1:27" x14ac:dyDescent="0.25">
      <c r="A350" t="s">
        <v>78</v>
      </c>
      <c r="B350" t="s">
        <v>556</v>
      </c>
      <c r="C350" t="s">
        <v>1859</v>
      </c>
      <c r="D350" t="s">
        <v>598</v>
      </c>
      <c r="E350" t="s">
        <v>1466</v>
      </c>
      <c r="F350" t="s">
        <v>571</v>
      </c>
      <c r="G350" s="204"/>
      <c r="H350">
        <v>100</v>
      </c>
      <c r="I350">
        <v>8964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7" x14ac:dyDescent="0.25">
      <c r="A351" t="s">
        <v>78</v>
      </c>
      <c r="B351" t="s">
        <v>556</v>
      </c>
      <c r="C351" t="s">
        <v>1859</v>
      </c>
      <c r="D351" t="s">
        <v>598</v>
      </c>
      <c r="E351" t="s">
        <v>1167</v>
      </c>
      <c r="F351" t="s">
        <v>571</v>
      </c>
      <c r="G351" s="204"/>
      <c r="L351">
        <v>4023</v>
      </c>
      <c r="M351">
        <v>180069.48</v>
      </c>
      <c r="N351">
        <v>0</v>
      </c>
      <c r="O351">
        <v>0</v>
      </c>
      <c r="P351">
        <v>0</v>
      </c>
      <c r="Q351">
        <v>4023</v>
      </c>
      <c r="T351">
        <v>0</v>
      </c>
      <c r="U351">
        <v>0</v>
      </c>
      <c r="V351">
        <v>1862</v>
      </c>
      <c r="W351">
        <v>83343.12</v>
      </c>
      <c r="X351">
        <v>1862</v>
      </c>
      <c r="Y351">
        <v>1862</v>
      </c>
      <c r="Z351">
        <v>83343.12</v>
      </c>
      <c r="AA351">
        <v>44.76</v>
      </c>
    </row>
    <row r="352" spans="1:27" x14ac:dyDescent="0.25">
      <c r="A352" t="s">
        <v>7</v>
      </c>
      <c r="B352" t="s">
        <v>566</v>
      </c>
      <c r="C352" t="s">
        <v>920</v>
      </c>
      <c r="D352" t="s">
        <v>920</v>
      </c>
      <c r="E352" t="s">
        <v>1212</v>
      </c>
      <c r="F352" t="s">
        <v>571</v>
      </c>
      <c r="G352" s="204"/>
      <c r="J352">
        <v>10250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T352">
        <v>0</v>
      </c>
      <c r="U352">
        <v>0</v>
      </c>
      <c r="V352">
        <v>10000</v>
      </c>
      <c r="W352">
        <v>73900</v>
      </c>
      <c r="X352">
        <v>10000</v>
      </c>
      <c r="Y352">
        <v>10000</v>
      </c>
      <c r="Z352">
        <v>73900</v>
      </c>
      <c r="AA352">
        <v>7.39</v>
      </c>
    </row>
    <row r="353" spans="1:27" x14ac:dyDescent="0.25">
      <c r="A353" t="s">
        <v>9</v>
      </c>
      <c r="B353" t="s">
        <v>566</v>
      </c>
      <c r="C353" t="s">
        <v>920</v>
      </c>
      <c r="D353" t="s">
        <v>920</v>
      </c>
      <c r="E353" t="s">
        <v>1212</v>
      </c>
      <c r="F353" t="s">
        <v>571</v>
      </c>
      <c r="G353" s="204"/>
      <c r="H353">
        <v>1000</v>
      </c>
      <c r="I353">
        <v>8650</v>
      </c>
      <c r="L353">
        <v>2000</v>
      </c>
      <c r="M353">
        <v>17880</v>
      </c>
      <c r="N353">
        <v>500</v>
      </c>
      <c r="O353">
        <v>4470</v>
      </c>
      <c r="P353">
        <v>500</v>
      </c>
      <c r="Q353">
        <v>2500</v>
      </c>
      <c r="T353">
        <v>0</v>
      </c>
      <c r="U353">
        <v>0</v>
      </c>
      <c r="V353">
        <v>7000</v>
      </c>
      <c r="W353">
        <v>62580</v>
      </c>
      <c r="X353">
        <v>7000</v>
      </c>
      <c r="Y353">
        <v>7000</v>
      </c>
    </row>
    <row r="354" spans="1:27" x14ac:dyDescent="0.25">
      <c r="A354" t="s">
        <v>300</v>
      </c>
      <c r="B354" t="s">
        <v>556</v>
      </c>
      <c r="C354" t="s">
        <v>1859</v>
      </c>
      <c r="D354" t="s">
        <v>667</v>
      </c>
      <c r="E354" t="s">
        <v>1167</v>
      </c>
      <c r="F354" t="s">
        <v>571</v>
      </c>
      <c r="G354" s="204"/>
      <c r="L354">
        <v>43</v>
      </c>
      <c r="M354">
        <v>4426.8499999999995</v>
      </c>
      <c r="N354">
        <v>31</v>
      </c>
      <c r="O354">
        <v>3191.4500000000003</v>
      </c>
      <c r="P354">
        <v>31</v>
      </c>
      <c r="Q354">
        <v>74</v>
      </c>
      <c r="T354">
        <v>0</v>
      </c>
      <c r="U354">
        <v>0</v>
      </c>
      <c r="V354">
        <v>37</v>
      </c>
      <c r="W354">
        <v>3809.1499999999996</v>
      </c>
      <c r="X354">
        <v>37</v>
      </c>
      <c r="Y354">
        <v>37</v>
      </c>
      <c r="Z354">
        <v>3809.1499999999996</v>
      </c>
      <c r="AA354">
        <v>102.94999999999999</v>
      </c>
    </row>
    <row r="355" spans="1:27" x14ac:dyDescent="0.25">
      <c r="A355" t="s">
        <v>80</v>
      </c>
      <c r="B355" t="s">
        <v>565</v>
      </c>
      <c r="C355" t="s">
        <v>1859</v>
      </c>
      <c r="D355" t="s">
        <v>598</v>
      </c>
      <c r="E355" t="s">
        <v>1167</v>
      </c>
      <c r="F355" t="s">
        <v>571</v>
      </c>
      <c r="G355" s="204"/>
      <c r="H355">
        <v>42</v>
      </c>
      <c r="I355">
        <v>6574.68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7" x14ac:dyDescent="0.25">
      <c r="A356" t="s">
        <v>309</v>
      </c>
      <c r="B356" t="s">
        <v>556</v>
      </c>
      <c r="C356" t="s">
        <v>1859</v>
      </c>
      <c r="D356" t="s">
        <v>581</v>
      </c>
      <c r="E356" t="s">
        <v>1292</v>
      </c>
      <c r="F356" t="s">
        <v>571</v>
      </c>
      <c r="G356" s="204"/>
      <c r="L356">
        <v>202</v>
      </c>
      <c r="M356">
        <v>58767.859999999993</v>
      </c>
      <c r="N356">
        <v>157</v>
      </c>
      <c r="O356">
        <v>47591.009999999995</v>
      </c>
      <c r="P356">
        <v>157</v>
      </c>
      <c r="Q356">
        <v>359</v>
      </c>
      <c r="T356">
        <v>0</v>
      </c>
      <c r="U356">
        <v>0</v>
      </c>
      <c r="V356">
        <v>100</v>
      </c>
      <c r="W356">
        <v>31008</v>
      </c>
      <c r="X356">
        <v>100</v>
      </c>
      <c r="Y356">
        <v>100</v>
      </c>
      <c r="Z356">
        <v>31008</v>
      </c>
      <c r="AA356">
        <v>310.08</v>
      </c>
    </row>
    <row r="357" spans="1:27" x14ac:dyDescent="0.25">
      <c r="A357" t="s">
        <v>860</v>
      </c>
      <c r="B357" t="s">
        <v>562</v>
      </c>
      <c r="C357" t="s">
        <v>1859</v>
      </c>
      <c r="D357" t="s">
        <v>598</v>
      </c>
      <c r="E357" t="s">
        <v>1167</v>
      </c>
      <c r="F357" t="s">
        <v>571</v>
      </c>
      <c r="G357" s="204"/>
      <c r="L357">
        <v>10</v>
      </c>
      <c r="M357">
        <v>8930</v>
      </c>
      <c r="N357">
        <v>0</v>
      </c>
      <c r="O357">
        <v>0</v>
      </c>
      <c r="P357">
        <v>0</v>
      </c>
      <c r="Q357">
        <v>10</v>
      </c>
      <c r="R357">
        <v>8930</v>
      </c>
      <c r="S357">
        <v>893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7" x14ac:dyDescent="0.25">
      <c r="A358" t="s">
        <v>103</v>
      </c>
      <c r="B358" t="s">
        <v>567</v>
      </c>
      <c r="C358" t="s">
        <v>920</v>
      </c>
      <c r="D358" t="s">
        <v>920</v>
      </c>
      <c r="E358" t="s">
        <v>1216</v>
      </c>
      <c r="F358" t="s">
        <v>578</v>
      </c>
      <c r="G358" s="204">
        <v>46752</v>
      </c>
      <c r="L358">
        <v>500</v>
      </c>
      <c r="M358">
        <v>12480</v>
      </c>
      <c r="N358">
        <v>0</v>
      </c>
      <c r="O358">
        <v>0</v>
      </c>
      <c r="P358">
        <v>0</v>
      </c>
      <c r="Q358">
        <v>500</v>
      </c>
      <c r="R358">
        <v>12480</v>
      </c>
      <c r="S358">
        <v>24.96</v>
      </c>
      <c r="T358">
        <v>0</v>
      </c>
      <c r="U358">
        <v>0</v>
      </c>
      <c r="V358">
        <v>3500</v>
      </c>
      <c r="W358">
        <v>76300</v>
      </c>
      <c r="X358">
        <v>3500</v>
      </c>
      <c r="Y358">
        <v>3500</v>
      </c>
    </row>
    <row r="359" spans="1:27" x14ac:dyDescent="0.25">
      <c r="A359" t="s">
        <v>301</v>
      </c>
      <c r="B359" t="s">
        <v>556</v>
      </c>
      <c r="C359" t="s">
        <v>1859</v>
      </c>
      <c r="D359" t="s">
        <v>581</v>
      </c>
      <c r="E359" t="s">
        <v>1292</v>
      </c>
      <c r="F359" t="s">
        <v>571</v>
      </c>
      <c r="G359" s="204"/>
      <c r="L359">
        <v>217</v>
      </c>
      <c r="M359">
        <v>113148.14000000001</v>
      </c>
      <c r="N359">
        <v>83</v>
      </c>
      <c r="O359">
        <v>43277.86</v>
      </c>
      <c r="P359">
        <v>83</v>
      </c>
      <c r="Q359">
        <v>300</v>
      </c>
      <c r="T359">
        <v>0</v>
      </c>
      <c r="U359">
        <v>0</v>
      </c>
      <c r="V359">
        <v>100</v>
      </c>
      <c r="W359">
        <v>56052</v>
      </c>
      <c r="X359">
        <v>100</v>
      </c>
      <c r="Y359">
        <v>100</v>
      </c>
      <c r="Z359">
        <v>56052</v>
      </c>
      <c r="AA359">
        <v>560.52</v>
      </c>
    </row>
    <row r="360" spans="1:27" x14ac:dyDescent="0.25">
      <c r="A360" t="s">
        <v>728</v>
      </c>
      <c r="C360" t="s">
        <v>1860</v>
      </c>
      <c r="D360" t="s">
        <v>978</v>
      </c>
      <c r="E360" t="s">
        <v>1284</v>
      </c>
      <c r="F360" t="s">
        <v>571</v>
      </c>
      <c r="G360" s="204"/>
      <c r="L360">
        <v>0</v>
      </c>
      <c r="M360">
        <v>0</v>
      </c>
      <c r="N360">
        <v>19</v>
      </c>
      <c r="O360">
        <v>11083.27</v>
      </c>
      <c r="P360">
        <v>19</v>
      </c>
      <c r="Q360">
        <v>19</v>
      </c>
      <c r="R360">
        <v>11083.27</v>
      </c>
      <c r="S360">
        <v>583.33000000000004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7" x14ac:dyDescent="0.25">
      <c r="A361" t="s">
        <v>106</v>
      </c>
      <c r="B361" t="s">
        <v>556</v>
      </c>
      <c r="C361" t="s">
        <v>1859</v>
      </c>
      <c r="D361" t="s">
        <v>607</v>
      </c>
      <c r="E361" t="s">
        <v>1212</v>
      </c>
      <c r="F361" t="s">
        <v>571</v>
      </c>
      <c r="G361" s="204"/>
      <c r="L361">
        <v>100</v>
      </c>
      <c r="M361">
        <v>84903</v>
      </c>
      <c r="N361">
        <v>0</v>
      </c>
      <c r="O361">
        <v>0</v>
      </c>
      <c r="P361">
        <v>0</v>
      </c>
      <c r="Q361">
        <v>100</v>
      </c>
      <c r="R361">
        <v>84903</v>
      </c>
      <c r="S361">
        <v>849.03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7" x14ac:dyDescent="0.25">
      <c r="A362" t="s">
        <v>1165</v>
      </c>
      <c r="B362" t="s">
        <v>554</v>
      </c>
      <c r="C362" t="s">
        <v>564</v>
      </c>
      <c r="D362" t="s">
        <v>632</v>
      </c>
      <c r="E362" t="s">
        <v>1164</v>
      </c>
      <c r="F362" t="s">
        <v>571</v>
      </c>
      <c r="G362" s="204"/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T362">
        <v>0</v>
      </c>
      <c r="U362">
        <v>0</v>
      </c>
      <c r="V362">
        <v>146</v>
      </c>
      <c r="W362">
        <v>23935.24</v>
      </c>
      <c r="X362">
        <v>146</v>
      </c>
      <c r="Y362">
        <v>146</v>
      </c>
      <c r="Z362">
        <v>23935.24</v>
      </c>
      <c r="AA362">
        <v>163.94</v>
      </c>
    </row>
    <row r="363" spans="1:27" x14ac:dyDescent="0.25">
      <c r="A363" t="s">
        <v>304</v>
      </c>
      <c r="B363" t="s">
        <v>562</v>
      </c>
      <c r="C363" t="s">
        <v>1859</v>
      </c>
      <c r="D363" t="s">
        <v>633</v>
      </c>
      <c r="E363" t="s">
        <v>1221</v>
      </c>
      <c r="F363" t="s">
        <v>571</v>
      </c>
      <c r="G363" s="204"/>
      <c r="I363">
        <v>66892.52</v>
      </c>
      <c r="L363">
        <v>0</v>
      </c>
      <c r="M363">
        <v>0</v>
      </c>
      <c r="N363">
        <v>50</v>
      </c>
      <c r="O363">
        <v>16234</v>
      </c>
      <c r="P363">
        <v>50</v>
      </c>
      <c r="Q363">
        <v>50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7" x14ac:dyDescent="0.25">
      <c r="A364" t="s">
        <v>1592</v>
      </c>
      <c r="B364" t="s">
        <v>556</v>
      </c>
      <c r="C364" t="s">
        <v>1859</v>
      </c>
      <c r="D364" t="s">
        <v>610</v>
      </c>
      <c r="E364" t="s">
        <v>1149</v>
      </c>
      <c r="F364" t="s">
        <v>571</v>
      </c>
      <c r="G364" s="204"/>
      <c r="J364">
        <v>1900</v>
      </c>
      <c r="K364">
        <v>132734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7" x14ac:dyDescent="0.25">
      <c r="A365" t="s">
        <v>113</v>
      </c>
      <c r="B365" t="s">
        <v>1031</v>
      </c>
      <c r="C365" t="s">
        <v>920</v>
      </c>
      <c r="D365" t="s">
        <v>920</v>
      </c>
      <c r="E365" t="s">
        <v>1316</v>
      </c>
      <c r="F365" t="s">
        <v>571</v>
      </c>
      <c r="G365" s="204"/>
      <c r="L365">
        <v>400</v>
      </c>
      <c r="M365">
        <v>34280</v>
      </c>
      <c r="N365">
        <v>0</v>
      </c>
      <c r="O365">
        <v>0</v>
      </c>
      <c r="P365">
        <v>0</v>
      </c>
      <c r="Q365">
        <v>400</v>
      </c>
      <c r="T365">
        <v>0</v>
      </c>
      <c r="U365">
        <v>0</v>
      </c>
      <c r="V365">
        <v>250</v>
      </c>
      <c r="W365">
        <v>21425</v>
      </c>
      <c r="X365">
        <v>250</v>
      </c>
      <c r="Y365">
        <v>250</v>
      </c>
      <c r="Z365">
        <v>21425</v>
      </c>
      <c r="AA365">
        <v>85.7</v>
      </c>
    </row>
    <row r="366" spans="1:27" x14ac:dyDescent="0.25">
      <c r="A366" t="s">
        <v>308</v>
      </c>
      <c r="B366" t="s">
        <v>556</v>
      </c>
      <c r="C366" t="s">
        <v>1859</v>
      </c>
      <c r="D366" t="s">
        <v>581</v>
      </c>
      <c r="E366" t="s">
        <v>1292</v>
      </c>
      <c r="F366" t="s">
        <v>571</v>
      </c>
      <c r="G366" s="204"/>
      <c r="L366">
        <v>268</v>
      </c>
      <c r="M366">
        <v>66423.799999999988</v>
      </c>
      <c r="N366">
        <v>116</v>
      </c>
      <c r="O366">
        <v>30907.040000000001</v>
      </c>
      <c r="P366">
        <v>116</v>
      </c>
      <c r="Q366">
        <v>384</v>
      </c>
      <c r="T366">
        <v>0</v>
      </c>
      <c r="U366">
        <v>0</v>
      </c>
      <c r="V366">
        <v>116</v>
      </c>
      <c r="W366">
        <v>30907.040000000001</v>
      </c>
      <c r="X366">
        <v>116</v>
      </c>
      <c r="Y366">
        <v>116</v>
      </c>
      <c r="Z366">
        <v>30907.040000000001</v>
      </c>
      <c r="AA366">
        <v>266.44</v>
      </c>
    </row>
    <row r="367" spans="1:27" x14ac:dyDescent="0.25">
      <c r="A367" t="s">
        <v>1592</v>
      </c>
      <c r="B367" t="s">
        <v>556</v>
      </c>
      <c r="C367" t="s">
        <v>1859</v>
      </c>
      <c r="D367" t="s">
        <v>610</v>
      </c>
      <c r="E367" t="s">
        <v>1361</v>
      </c>
      <c r="F367" t="s">
        <v>571</v>
      </c>
      <c r="G367" s="204"/>
      <c r="H367">
        <v>600</v>
      </c>
      <c r="I367">
        <v>46608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7" x14ac:dyDescent="0.25">
      <c r="A368" t="s">
        <v>7</v>
      </c>
      <c r="B368" t="s">
        <v>566</v>
      </c>
      <c r="C368" t="s">
        <v>920</v>
      </c>
      <c r="D368" t="s">
        <v>920</v>
      </c>
      <c r="E368" t="s">
        <v>1451</v>
      </c>
      <c r="F368" t="s">
        <v>571</v>
      </c>
      <c r="G368" s="204"/>
      <c r="L368">
        <v>336</v>
      </c>
      <c r="M368">
        <v>3232.32</v>
      </c>
      <c r="N368">
        <v>0</v>
      </c>
      <c r="O368">
        <v>0</v>
      </c>
      <c r="P368">
        <v>0</v>
      </c>
      <c r="Q368">
        <v>336</v>
      </c>
      <c r="R368">
        <v>3232.32</v>
      </c>
      <c r="S368">
        <v>9.620000000000001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7" x14ac:dyDescent="0.25">
      <c r="A369" t="s">
        <v>7</v>
      </c>
      <c r="B369" t="s">
        <v>566</v>
      </c>
      <c r="C369" t="s">
        <v>920</v>
      </c>
      <c r="D369" t="s">
        <v>920</v>
      </c>
      <c r="E369" t="s">
        <v>1391</v>
      </c>
      <c r="F369" t="s">
        <v>571</v>
      </c>
      <c r="G369" s="204"/>
      <c r="J369">
        <v>5</v>
      </c>
      <c r="K369">
        <v>219.1</v>
      </c>
      <c r="L369">
        <v>5</v>
      </c>
      <c r="M369">
        <v>230.1</v>
      </c>
      <c r="N369">
        <v>0</v>
      </c>
      <c r="O369">
        <v>0</v>
      </c>
      <c r="P369">
        <v>0</v>
      </c>
      <c r="Q369">
        <v>5</v>
      </c>
      <c r="R369">
        <v>230.1</v>
      </c>
      <c r="S369">
        <v>46.019999999999996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7" x14ac:dyDescent="0.25">
      <c r="A370" t="s">
        <v>302</v>
      </c>
      <c r="B370" t="s">
        <v>556</v>
      </c>
      <c r="C370" t="s">
        <v>1859</v>
      </c>
      <c r="D370" t="s">
        <v>610</v>
      </c>
      <c r="E370" t="s">
        <v>1250</v>
      </c>
      <c r="F370" t="s">
        <v>571</v>
      </c>
      <c r="G370" s="204"/>
      <c r="L370">
        <v>40</v>
      </c>
      <c r="M370">
        <v>6517.6</v>
      </c>
      <c r="N370">
        <v>0</v>
      </c>
      <c r="O370">
        <v>0</v>
      </c>
      <c r="P370">
        <v>0</v>
      </c>
      <c r="Q370">
        <v>40</v>
      </c>
      <c r="R370">
        <v>6517.6</v>
      </c>
      <c r="S370">
        <v>162.94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7" x14ac:dyDescent="0.25">
      <c r="A371" t="s">
        <v>302</v>
      </c>
      <c r="B371" t="s">
        <v>556</v>
      </c>
      <c r="C371" t="s">
        <v>1859</v>
      </c>
      <c r="D371" t="s">
        <v>610</v>
      </c>
      <c r="E371" t="s">
        <v>1150</v>
      </c>
      <c r="F371" t="s">
        <v>571</v>
      </c>
      <c r="G371" s="204"/>
      <c r="H371">
        <v>2429</v>
      </c>
      <c r="I371">
        <v>164787.71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7" x14ac:dyDescent="0.25">
      <c r="A372" t="s">
        <v>106</v>
      </c>
      <c r="B372" t="s">
        <v>556</v>
      </c>
      <c r="C372" t="s">
        <v>1859</v>
      </c>
      <c r="D372" t="s">
        <v>607</v>
      </c>
      <c r="E372" t="s">
        <v>1368</v>
      </c>
      <c r="F372" t="s">
        <v>571</v>
      </c>
      <c r="G372" s="204"/>
      <c r="L372">
        <v>100</v>
      </c>
      <c r="M372">
        <v>84903</v>
      </c>
      <c r="N372">
        <v>0</v>
      </c>
      <c r="O372">
        <v>0</v>
      </c>
      <c r="P372">
        <v>0</v>
      </c>
      <c r="Q372">
        <v>100</v>
      </c>
      <c r="R372">
        <v>84903</v>
      </c>
      <c r="S372">
        <v>849.03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7" x14ac:dyDescent="0.25">
      <c r="A373" t="s">
        <v>302</v>
      </c>
      <c r="B373" t="s">
        <v>556</v>
      </c>
      <c r="C373" t="s">
        <v>1859</v>
      </c>
      <c r="D373" t="s">
        <v>610</v>
      </c>
      <c r="E373" t="s">
        <v>1361</v>
      </c>
      <c r="F373" t="s">
        <v>571</v>
      </c>
      <c r="G373" s="204"/>
      <c r="J373">
        <v>431</v>
      </c>
      <c r="K373">
        <v>33992.97</v>
      </c>
      <c r="L373">
        <v>1148</v>
      </c>
      <c r="M373">
        <v>98486.920000000013</v>
      </c>
      <c r="N373">
        <v>0</v>
      </c>
      <c r="O373">
        <v>0</v>
      </c>
      <c r="P373">
        <v>0</v>
      </c>
      <c r="Q373">
        <v>1148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7" x14ac:dyDescent="0.25">
      <c r="A374" t="s">
        <v>63</v>
      </c>
      <c r="B374" t="s">
        <v>566</v>
      </c>
      <c r="C374" t="s">
        <v>920</v>
      </c>
      <c r="D374" t="s">
        <v>920</v>
      </c>
      <c r="E374" t="s">
        <v>1359</v>
      </c>
      <c r="F374" t="s">
        <v>571</v>
      </c>
      <c r="G374" s="204"/>
      <c r="L374">
        <v>6</v>
      </c>
      <c r="M374">
        <v>665.04</v>
      </c>
      <c r="N374">
        <v>0</v>
      </c>
      <c r="O374">
        <v>0</v>
      </c>
      <c r="P374">
        <v>0</v>
      </c>
      <c r="Q374">
        <v>6</v>
      </c>
      <c r="R374">
        <v>665.04</v>
      </c>
      <c r="S374">
        <v>110.83999999999999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7" x14ac:dyDescent="0.25">
      <c r="A375" t="s">
        <v>124</v>
      </c>
      <c r="B375" t="s">
        <v>556</v>
      </c>
      <c r="C375" t="s">
        <v>1859</v>
      </c>
      <c r="D375" t="s">
        <v>601</v>
      </c>
      <c r="E375" t="s">
        <v>1167</v>
      </c>
      <c r="F375" t="s">
        <v>571</v>
      </c>
      <c r="G375" s="204"/>
      <c r="L375">
        <v>138</v>
      </c>
      <c r="M375">
        <v>21991.68</v>
      </c>
      <c r="N375">
        <v>250</v>
      </c>
      <c r="O375">
        <v>39840</v>
      </c>
      <c r="P375">
        <v>250</v>
      </c>
      <c r="Q375">
        <v>388</v>
      </c>
      <c r="T375">
        <v>0</v>
      </c>
      <c r="U375">
        <v>0</v>
      </c>
      <c r="V375">
        <v>241</v>
      </c>
      <c r="W375">
        <v>38405.759999999995</v>
      </c>
      <c r="X375">
        <v>241</v>
      </c>
      <c r="Y375">
        <v>241</v>
      </c>
      <c r="Z375">
        <v>38405.759999999995</v>
      </c>
      <c r="AA375">
        <v>159.35999999999999</v>
      </c>
    </row>
    <row r="376" spans="1:27" x14ac:dyDescent="0.25">
      <c r="A376" t="s">
        <v>302</v>
      </c>
      <c r="B376" t="s">
        <v>556</v>
      </c>
      <c r="C376" t="s">
        <v>1859</v>
      </c>
      <c r="D376" t="s">
        <v>610</v>
      </c>
      <c r="E376" t="s">
        <v>1203</v>
      </c>
      <c r="F376" t="s">
        <v>571</v>
      </c>
      <c r="G376" s="204"/>
      <c r="J376">
        <v>60</v>
      </c>
      <c r="K376">
        <v>9776.4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7" x14ac:dyDescent="0.25">
      <c r="A377" t="s">
        <v>8</v>
      </c>
      <c r="B377" t="s">
        <v>556</v>
      </c>
      <c r="C377" t="s">
        <v>564</v>
      </c>
      <c r="D377" t="s">
        <v>632</v>
      </c>
      <c r="E377" t="s">
        <v>1701</v>
      </c>
      <c r="F377" t="s">
        <v>571</v>
      </c>
      <c r="G377" s="204"/>
      <c r="H377">
        <v>527</v>
      </c>
      <c r="I377">
        <v>56204.55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7" x14ac:dyDescent="0.25">
      <c r="A378" t="s">
        <v>8</v>
      </c>
      <c r="B378" t="s">
        <v>556</v>
      </c>
      <c r="C378" t="s">
        <v>564</v>
      </c>
      <c r="D378" t="s">
        <v>632</v>
      </c>
      <c r="E378" t="s">
        <v>1373</v>
      </c>
      <c r="F378" t="s">
        <v>571</v>
      </c>
      <c r="G378" s="204"/>
      <c r="H378">
        <v>50</v>
      </c>
      <c r="I378">
        <v>9318.5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7" x14ac:dyDescent="0.25">
      <c r="A379" t="s">
        <v>1593</v>
      </c>
      <c r="B379" t="s">
        <v>565</v>
      </c>
      <c r="C379" t="s">
        <v>1859</v>
      </c>
      <c r="D379" t="s">
        <v>610</v>
      </c>
      <c r="E379" t="s">
        <v>1702</v>
      </c>
      <c r="F379" t="s">
        <v>571</v>
      </c>
      <c r="G379" s="204"/>
      <c r="H379">
        <v>20</v>
      </c>
      <c r="I379">
        <v>5972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7" x14ac:dyDescent="0.25">
      <c r="A380" t="s">
        <v>303</v>
      </c>
      <c r="B380" t="s">
        <v>556</v>
      </c>
      <c r="C380" t="s">
        <v>1859</v>
      </c>
      <c r="D380" t="s">
        <v>610</v>
      </c>
      <c r="E380" t="s">
        <v>1149</v>
      </c>
      <c r="F380" t="s">
        <v>571</v>
      </c>
      <c r="G380" s="204"/>
      <c r="H380">
        <v>55</v>
      </c>
      <c r="I380">
        <v>5282.75</v>
      </c>
      <c r="L380">
        <v>350</v>
      </c>
      <c r="M380">
        <v>34153</v>
      </c>
      <c r="N380">
        <v>0</v>
      </c>
      <c r="O380">
        <v>0</v>
      </c>
      <c r="P380">
        <v>0</v>
      </c>
      <c r="Q380">
        <v>350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7" x14ac:dyDescent="0.25">
      <c r="A381" t="s">
        <v>303</v>
      </c>
      <c r="B381" t="s">
        <v>556</v>
      </c>
      <c r="C381" t="s">
        <v>1859</v>
      </c>
      <c r="D381" t="s">
        <v>610</v>
      </c>
      <c r="E381" t="s">
        <v>1150</v>
      </c>
      <c r="F381" t="s">
        <v>571</v>
      </c>
      <c r="G381" s="204"/>
      <c r="J381">
        <v>125</v>
      </c>
      <c r="K381">
        <v>11926.25</v>
      </c>
      <c r="L381">
        <v>640</v>
      </c>
      <c r="M381">
        <v>87193.600000000006</v>
      </c>
      <c r="N381">
        <v>0</v>
      </c>
      <c r="O381">
        <v>0</v>
      </c>
      <c r="P381">
        <v>0</v>
      </c>
      <c r="Q381">
        <v>640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7" x14ac:dyDescent="0.25">
      <c r="A382" t="s">
        <v>303</v>
      </c>
      <c r="B382" t="s">
        <v>556</v>
      </c>
      <c r="C382" t="s">
        <v>1859</v>
      </c>
      <c r="D382" t="s">
        <v>610</v>
      </c>
      <c r="E382" t="s">
        <v>1703</v>
      </c>
      <c r="F382" t="s">
        <v>571</v>
      </c>
      <c r="G382" s="204"/>
      <c r="H382">
        <v>85</v>
      </c>
      <c r="I382">
        <v>11580.4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7" x14ac:dyDescent="0.25">
      <c r="A383" t="s">
        <v>303</v>
      </c>
      <c r="B383" t="s">
        <v>556</v>
      </c>
      <c r="C383" t="s">
        <v>1859</v>
      </c>
      <c r="D383" t="s">
        <v>610</v>
      </c>
      <c r="E383" t="s">
        <v>1177</v>
      </c>
      <c r="F383" t="s">
        <v>571</v>
      </c>
      <c r="G383" s="204"/>
      <c r="H383">
        <v>518</v>
      </c>
      <c r="I383">
        <v>47516.14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7" x14ac:dyDescent="0.25">
      <c r="A384" t="s">
        <v>934</v>
      </c>
      <c r="B384" t="s">
        <v>565</v>
      </c>
      <c r="C384" t="s">
        <v>569</v>
      </c>
      <c r="D384" t="s">
        <v>956</v>
      </c>
      <c r="E384" t="s">
        <v>1144</v>
      </c>
      <c r="F384" t="s">
        <v>571</v>
      </c>
      <c r="G384" s="204"/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T384">
        <v>0</v>
      </c>
      <c r="U384">
        <v>0</v>
      </c>
      <c r="V384">
        <v>200</v>
      </c>
      <c r="W384">
        <v>149760</v>
      </c>
      <c r="X384">
        <v>200</v>
      </c>
      <c r="Y384">
        <v>200</v>
      </c>
      <c r="Z384">
        <v>149760</v>
      </c>
      <c r="AA384">
        <v>748.8</v>
      </c>
    </row>
    <row r="385" spans="1:27" x14ac:dyDescent="0.25">
      <c r="A385" t="s">
        <v>303</v>
      </c>
      <c r="B385" t="s">
        <v>556</v>
      </c>
      <c r="C385" t="s">
        <v>1859</v>
      </c>
      <c r="D385" t="s">
        <v>610</v>
      </c>
      <c r="E385" t="s">
        <v>1389</v>
      </c>
      <c r="F385" t="s">
        <v>571</v>
      </c>
      <c r="G385" s="204"/>
      <c r="L385">
        <v>35</v>
      </c>
      <c r="M385">
        <v>7285.25</v>
      </c>
      <c r="N385">
        <v>0</v>
      </c>
      <c r="O385">
        <v>0</v>
      </c>
      <c r="P385">
        <v>0</v>
      </c>
      <c r="Q385">
        <v>35</v>
      </c>
      <c r="R385">
        <v>7285.25</v>
      </c>
      <c r="S385">
        <v>208.15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7" x14ac:dyDescent="0.25">
      <c r="A386" t="s">
        <v>19</v>
      </c>
      <c r="B386" t="s">
        <v>567</v>
      </c>
      <c r="C386" t="s">
        <v>920</v>
      </c>
      <c r="D386" t="s">
        <v>920</v>
      </c>
      <c r="E386" t="s">
        <v>1300</v>
      </c>
      <c r="F386" t="s">
        <v>571</v>
      </c>
      <c r="G386" s="204"/>
      <c r="L386">
        <v>0</v>
      </c>
      <c r="M386">
        <v>0</v>
      </c>
      <c r="N386">
        <v>42</v>
      </c>
      <c r="O386">
        <v>887.46</v>
      </c>
      <c r="P386">
        <v>42</v>
      </c>
      <c r="Q386">
        <v>42</v>
      </c>
      <c r="R386">
        <v>887.46</v>
      </c>
      <c r="S386">
        <v>21.130000000000003</v>
      </c>
      <c r="T386">
        <v>0</v>
      </c>
      <c r="U386">
        <v>0</v>
      </c>
      <c r="V386">
        <v>126</v>
      </c>
      <c r="W386">
        <v>2662.38</v>
      </c>
      <c r="X386">
        <v>126</v>
      </c>
      <c r="Y386">
        <v>126</v>
      </c>
    </row>
    <row r="387" spans="1:27" x14ac:dyDescent="0.25">
      <c r="A387" t="s">
        <v>12</v>
      </c>
      <c r="B387" t="s">
        <v>556</v>
      </c>
      <c r="C387" t="s">
        <v>564</v>
      </c>
      <c r="D387" t="s">
        <v>614</v>
      </c>
      <c r="E387" t="s">
        <v>1293</v>
      </c>
      <c r="F387" t="s">
        <v>571</v>
      </c>
      <c r="G387" s="204"/>
      <c r="L387">
        <v>79</v>
      </c>
      <c r="M387">
        <v>164356.34</v>
      </c>
      <c r="N387">
        <v>9</v>
      </c>
      <c r="O387">
        <v>18724.14</v>
      </c>
      <c r="P387">
        <v>9</v>
      </c>
      <c r="Q387">
        <v>88</v>
      </c>
      <c r="T387">
        <v>0</v>
      </c>
      <c r="U387">
        <v>0</v>
      </c>
      <c r="V387">
        <v>27</v>
      </c>
      <c r="W387">
        <v>56172.42</v>
      </c>
      <c r="X387">
        <v>27</v>
      </c>
      <c r="Y387">
        <v>27</v>
      </c>
      <c r="Z387">
        <v>56172.42</v>
      </c>
      <c r="AA387">
        <v>2080.46</v>
      </c>
    </row>
    <row r="388" spans="1:27" x14ac:dyDescent="0.25">
      <c r="A388" t="s">
        <v>84</v>
      </c>
      <c r="B388" t="s">
        <v>556</v>
      </c>
      <c r="C388" t="s">
        <v>1859</v>
      </c>
      <c r="D388" t="s">
        <v>596</v>
      </c>
      <c r="E388" t="s">
        <v>1305</v>
      </c>
      <c r="F388" t="s">
        <v>571</v>
      </c>
      <c r="G388" s="204"/>
      <c r="H388">
        <v>636</v>
      </c>
      <c r="I388">
        <v>31214.879999999997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7" x14ac:dyDescent="0.25">
      <c r="A389" t="s">
        <v>84</v>
      </c>
      <c r="B389" t="s">
        <v>556</v>
      </c>
      <c r="C389" t="s">
        <v>1859</v>
      </c>
      <c r="D389" t="s">
        <v>596</v>
      </c>
      <c r="E389" t="s">
        <v>1157</v>
      </c>
      <c r="F389" t="s">
        <v>571</v>
      </c>
      <c r="G389" s="204"/>
      <c r="L389">
        <v>767</v>
      </c>
      <c r="M389">
        <v>61659.13</v>
      </c>
      <c r="N389">
        <v>0</v>
      </c>
      <c r="O389">
        <v>0</v>
      </c>
      <c r="P389">
        <v>0</v>
      </c>
      <c r="Q389">
        <v>767</v>
      </c>
      <c r="R389">
        <v>61659.13</v>
      </c>
      <c r="S389">
        <v>80.39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7" x14ac:dyDescent="0.25">
      <c r="A390" t="s">
        <v>854</v>
      </c>
      <c r="B390" t="s">
        <v>565</v>
      </c>
      <c r="C390" t="s">
        <v>1859</v>
      </c>
      <c r="D390" t="s">
        <v>980</v>
      </c>
      <c r="E390" t="s">
        <v>1305</v>
      </c>
      <c r="F390" t="s">
        <v>571</v>
      </c>
      <c r="G390" s="204"/>
      <c r="H390">
        <v>84</v>
      </c>
      <c r="I390">
        <v>9597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7" x14ac:dyDescent="0.25">
      <c r="A391" t="s">
        <v>854</v>
      </c>
      <c r="B391" t="s">
        <v>565</v>
      </c>
      <c r="C391" t="s">
        <v>1859</v>
      </c>
      <c r="D391" t="s">
        <v>980</v>
      </c>
      <c r="E391" t="s">
        <v>1150</v>
      </c>
      <c r="F391" t="s">
        <v>571</v>
      </c>
      <c r="G391" s="204"/>
      <c r="H391">
        <v>240</v>
      </c>
      <c r="I391">
        <v>23844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7" x14ac:dyDescent="0.25">
      <c r="A392" t="s">
        <v>305</v>
      </c>
      <c r="B392" t="s">
        <v>556</v>
      </c>
      <c r="C392" t="s">
        <v>1859</v>
      </c>
      <c r="D392" t="s">
        <v>650</v>
      </c>
      <c r="E392" t="s">
        <v>1466</v>
      </c>
      <c r="F392" t="s">
        <v>571</v>
      </c>
      <c r="G392" s="204"/>
      <c r="H392">
        <v>100</v>
      </c>
      <c r="I392">
        <v>8850</v>
      </c>
      <c r="J392">
        <v>100</v>
      </c>
      <c r="K392">
        <v>8850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7" x14ac:dyDescent="0.25">
      <c r="A393" t="s">
        <v>93</v>
      </c>
      <c r="B393" t="s">
        <v>566</v>
      </c>
      <c r="C393" t="s">
        <v>920</v>
      </c>
      <c r="D393" t="s">
        <v>920</v>
      </c>
      <c r="E393" t="s">
        <v>1266</v>
      </c>
      <c r="F393" t="s">
        <v>571</v>
      </c>
      <c r="G393" s="204"/>
      <c r="L393">
        <v>21</v>
      </c>
      <c r="M393">
        <v>1499.82</v>
      </c>
      <c r="N393">
        <v>0</v>
      </c>
      <c r="O393">
        <v>0</v>
      </c>
      <c r="P393">
        <v>0</v>
      </c>
      <c r="Q393">
        <v>21</v>
      </c>
      <c r="R393">
        <v>1499.82</v>
      </c>
      <c r="S393">
        <v>71.42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7" x14ac:dyDescent="0.25">
      <c r="A394" t="s">
        <v>305</v>
      </c>
      <c r="B394" t="s">
        <v>556</v>
      </c>
      <c r="C394" t="s">
        <v>1859</v>
      </c>
      <c r="D394" t="s">
        <v>650</v>
      </c>
      <c r="E394" t="s">
        <v>1221</v>
      </c>
      <c r="F394" t="s">
        <v>571</v>
      </c>
      <c r="G394" s="204"/>
      <c r="J394">
        <v>100</v>
      </c>
      <c r="K394">
        <v>8850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7" x14ac:dyDescent="0.25">
      <c r="A395" t="s">
        <v>306</v>
      </c>
      <c r="B395" t="s">
        <v>565</v>
      </c>
      <c r="C395" t="s">
        <v>1859</v>
      </c>
      <c r="D395" t="s">
        <v>610</v>
      </c>
      <c r="E395" t="s">
        <v>1149</v>
      </c>
      <c r="F395" t="s">
        <v>571</v>
      </c>
      <c r="G395" s="204"/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T395">
        <v>0</v>
      </c>
      <c r="U395">
        <v>0</v>
      </c>
      <c r="V395">
        <v>175</v>
      </c>
      <c r="W395">
        <v>66774.75</v>
      </c>
      <c r="X395">
        <v>175</v>
      </c>
      <c r="Y395">
        <v>175</v>
      </c>
      <c r="Z395">
        <v>66774.75</v>
      </c>
      <c r="AA395">
        <v>381.57</v>
      </c>
    </row>
    <row r="396" spans="1:27" x14ac:dyDescent="0.25">
      <c r="A396" t="s">
        <v>1594</v>
      </c>
      <c r="B396" t="s">
        <v>556</v>
      </c>
      <c r="C396" t="s">
        <v>1859</v>
      </c>
      <c r="D396" t="s">
        <v>598</v>
      </c>
      <c r="E396" t="s">
        <v>1167</v>
      </c>
      <c r="F396" t="s">
        <v>571</v>
      </c>
      <c r="G396" s="204"/>
      <c r="H396">
        <v>309</v>
      </c>
      <c r="I396">
        <v>110903.5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7" x14ac:dyDescent="0.25">
      <c r="A397" t="s">
        <v>851</v>
      </c>
      <c r="B397" t="s">
        <v>565</v>
      </c>
      <c r="C397" t="s">
        <v>1859</v>
      </c>
      <c r="D397" t="s">
        <v>581</v>
      </c>
      <c r="E397" t="s">
        <v>1294</v>
      </c>
      <c r="F397" t="s">
        <v>571</v>
      </c>
      <c r="G397" s="204"/>
      <c r="L397">
        <v>106</v>
      </c>
      <c r="M397">
        <v>44760.62</v>
      </c>
      <c r="N397">
        <v>0</v>
      </c>
      <c r="O397">
        <v>0</v>
      </c>
      <c r="P397">
        <v>0</v>
      </c>
      <c r="Q397">
        <v>106</v>
      </c>
      <c r="T397">
        <v>0</v>
      </c>
      <c r="U397">
        <v>0</v>
      </c>
      <c r="V397">
        <v>40</v>
      </c>
      <c r="W397">
        <v>20138</v>
      </c>
      <c r="X397">
        <v>40</v>
      </c>
      <c r="Y397">
        <v>40</v>
      </c>
      <c r="Z397">
        <v>20138</v>
      </c>
      <c r="AA397">
        <v>503.45</v>
      </c>
    </row>
    <row r="398" spans="1:27" x14ac:dyDescent="0.25">
      <c r="A398" t="s">
        <v>12</v>
      </c>
      <c r="B398" t="s">
        <v>556</v>
      </c>
      <c r="C398" t="s">
        <v>564</v>
      </c>
      <c r="D398" t="s">
        <v>614</v>
      </c>
      <c r="E398" t="s">
        <v>1355</v>
      </c>
      <c r="F398" t="s">
        <v>571</v>
      </c>
      <c r="G398" s="204"/>
      <c r="H398">
        <v>44</v>
      </c>
      <c r="I398">
        <v>88160</v>
      </c>
      <c r="L398">
        <v>44</v>
      </c>
      <c r="M398">
        <v>91540.239999999976</v>
      </c>
      <c r="N398">
        <v>0</v>
      </c>
      <c r="O398">
        <v>0</v>
      </c>
      <c r="P398">
        <v>0</v>
      </c>
      <c r="Q398">
        <v>44</v>
      </c>
      <c r="R398">
        <v>91540.239999999976</v>
      </c>
      <c r="S398">
        <v>2080.4599999999996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7" x14ac:dyDescent="0.25">
      <c r="A399" t="s">
        <v>1595</v>
      </c>
      <c r="B399" t="s">
        <v>565</v>
      </c>
      <c r="C399" t="s">
        <v>1859</v>
      </c>
      <c r="D399" t="s">
        <v>963</v>
      </c>
      <c r="E399" t="s">
        <v>1150</v>
      </c>
      <c r="F399" t="s">
        <v>571</v>
      </c>
      <c r="G399" s="204"/>
      <c r="H399">
        <v>410</v>
      </c>
      <c r="I399">
        <v>68470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7" x14ac:dyDescent="0.25">
      <c r="A400" t="s">
        <v>116</v>
      </c>
      <c r="B400" t="s">
        <v>556</v>
      </c>
      <c r="C400" t="s">
        <v>1859</v>
      </c>
      <c r="D400" t="s">
        <v>637</v>
      </c>
      <c r="E400" t="s">
        <v>1169</v>
      </c>
      <c r="F400" t="s">
        <v>578</v>
      </c>
      <c r="G400" s="204">
        <v>46752</v>
      </c>
      <c r="L400">
        <v>408</v>
      </c>
      <c r="M400">
        <v>32215.68</v>
      </c>
      <c r="N400">
        <v>100</v>
      </c>
      <c r="O400">
        <v>7896</v>
      </c>
      <c r="P400">
        <v>100</v>
      </c>
      <c r="Q400">
        <v>508</v>
      </c>
      <c r="R400">
        <v>40111.68</v>
      </c>
      <c r="S400">
        <v>78.959999999999994</v>
      </c>
      <c r="T400">
        <v>0</v>
      </c>
      <c r="U400">
        <v>0</v>
      </c>
      <c r="V400">
        <v>600</v>
      </c>
      <c r="W400">
        <v>47376</v>
      </c>
      <c r="X400">
        <v>600</v>
      </c>
      <c r="Y400">
        <v>600</v>
      </c>
    </row>
    <row r="401" spans="1:27" x14ac:dyDescent="0.25">
      <c r="A401" t="s">
        <v>518</v>
      </c>
      <c r="B401" t="s">
        <v>562</v>
      </c>
      <c r="C401" t="s">
        <v>1860</v>
      </c>
      <c r="D401" t="s">
        <v>660</v>
      </c>
      <c r="E401" t="s">
        <v>1330</v>
      </c>
      <c r="F401" t="s">
        <v>571</v>
      </c>
      <c r="G401" s="204"/>
      <c r="L401">
        <v>25</v>
      </c>
      <c r="M401">
        <v>2941.75</v>
      </c>
      <c r="N401">
        <v>0</v>
      </c>
      <c r="O401">
        <v>0</v>
      </c>
      <c r="P401">
        <v>0</v>
      </c>
      <c r="Q401">
        <v>25</v>
      </c>
      <c r="R401">
        <v>2941.75</v>
      </c>
      <c r="S401">
        <v>117.67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7" x14ac:dyDescent="0.25">
      <c r="A402" t="s">
        <v>948</v>
      </c>
      <c r="B402" t="s">
        <v>554</v>
      </c>
      <c r="C402" t="s">
        <v>1859</v>
      </c>
      <c r="D402" t="s">
        <v>663</v>
      </c>
      <c r="E402" t="s">
        <v>1169</v>
      </c>
      <c r="F402" t="s">
        <v>571</v>
      </c>
      <c r="G402" s="204"/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T402">
        <v>0</v>
      </c>
      <c r="U402">
        <v>0</v>
      </c>
      <c r="V402">
        <v>44</v>
      </c>
      <c r="W402">
        <v>13606.12</v>
      </c>
      <c r="X402">
        <v>44</v>
      </c>
      <c r="Y402">
        <v>44</v>
      </c>
      <c r="Z402">
        <v>13606.12</v>
      </c>
      <c r="AA402">
        <v>309.23</v>
      </c>
    </row>
    <row r="403" spans="1:27" x14ac:dyDescent="0.25">
      <c r="A403" t="s">
        <v>844</v>
      </c>
      <c r="B403" t="s">
        <v>566</v>
      </c>
      <c r="C403" t="s">
        <v>920</v>
      </c>
      <c r="D403" t="s">
        <v>920</v>
      </c>
      <c r="E403" t="s">
        <v>1482</v>
      </c>
      <c r="F403" t="s">
        <v>571</v>
      </c>
      <c r="G403" s="204"/>
      <c r="L403">
        <v>83</v>
      </c>
      <c r="M403">
        <v>17846.100000000002</v>
      </c>
      <c r="N403">
        <v>0</v>
      </c>
      <c r="O403">
        <v>0</v>
      </c>
      <c r="P403">
        <v>0</v>
      </c>
      <c r="Q403">
        <v>83</v>
      </c>
      <c r="R403">
        <v>17846.100000000002</v>
      </c>
      <c r="S403">
        <v>215.01325301204821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7" x14ac:dyDescent="0.25">
      <c r="A404" t="s">
        <v>73</v>
      </c>
      <c r="B404" t="s">
        <v>566</v>
      </c>
      <c r="C404" t="s">
        <v>920</v>
      </c>
      <c r="D404" t="s">
        <v>920</v>
      </c>
      <c r="E404" t="s">
        <v>1336</v>
      </c>
      <c r="F404" t="s">
        <v>571</v>
      </c>
      <c r="G404" s="204"/>
      <c r="L404">
        <v>1110</v>
      </c>
      <c r="M404">
        <v>10078.799999999999</v>
      </c>
      <c r="N404">
        <v>0</v>
      </c>
      <c r="O404">
        <v>0</v>
      </c>
      <c r="P404">
        <v>0</v>
      </c>
      <c r="Q404">
        <v>1110</v>
      </c>
      <c r="R404">
        <v>10078.799999999999</v>
      </c>
      <c r="S404">
        <v>9.08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7" x14ac:dyDescent="0.25">
      <c r="A405" t="s">
        <v>25</v>
      </c>
      <c r="B405" t="s">
        <v>566</v>
      </c>
      <c r="C405" t="s">
        <v>920</v>
      </c>
      <c r="D405" t="s">
        <v>920</v>
      </c>
      <c r="E405" t="s">
        <v>1467</v>
      </c>
      <c r="F405" t="s">
        <v>571</v>
      </c>
      <c r="G405" s="204"/>
      <c r="H405">
        <v>150</v>
      </c>
      <c r="I405">
        <v>3547.5</v>
      </c>
      <c r="L405">
        <v>315</v>
      </c>
      <c r="M405">
        <v>9450</v>
      </c>
      <c r="N405">
        <v>0</v>
      </c>
      <c r="O405">
        <v>0</v>
      </c>
      <c r="P405">
        <v>0</v>
      </c>
      <c r="Q405">
        <v>315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7" x14ac:dyDescent="0.25">
      <c r="A406" t="s">
        <v>737</v>
      </c>
      <c r="B406" t="s">
        <v>556</v>
      </c>
      <c r="C406" t="s">
        <v>1859</v>
      </c>
      <c r="D406" t="s">
        <v>743</v>
      </c>
      <c r="E406" t="s">
        <v>1221</v>
      </c>
      <c r="F406" t="s">
        <v>571</v>
      </c>
      <c r="G406" s="204"/>
      <c r="J406">
        <v>26</v>
      </c>
      <c r="K406">
        <v>1690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7" x14ac:dyDescent="0.25">
      <c r="A407" t="s">
        <v>737</v>
      </c>
      <c r="B407" t="s">
        <v>556</v>
      </c>
      <c r="C407" t="s">
        <v>1859</v>
      </c>
      <c r="D407" t="s">
        <v>743</v>
      </c>
      <c r="E407" t="s">
        <v>1435</v>
      </c>
      <c r="F407" t="s">
        <v>571</v>
      </c>
      <c r="G407" s="204"/>
      <c r="H407">
        <v>6</v>
      </c>
      <c r="I407">
        <v>1733.58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7" x14ac:dyDescent="0.25">
      <c r="A408" t="s">
        <v>115</v>
      </c>
      <c r="B408" t="s">
        <v>566</v>
      </c>
      <c r="C408" t="s">
        <v>920</v>
      </c>
      <c r="D408" t="s">
        <v>920</v>
      </c>
      <c r="E408" t="s">
        <v>1138</v>
      </c>
      <c r="F408" t="s">
        <v>571</v>
      </c>
      <c r="G408" s="204"/>
      <c r="J408">
        <v>200</v>
      </c>
      <c r="K408">
        <v>3154</v>
      </c>
      <c r="L408">
        <v>300</v>
      </c>
      <c r="M408">
        <v>4731</v>
      </c>
      <c r="N408">
        <v>0</v>
      </c>
      <c r="O408">
        <v>0</v>
      </c>
      <c r="P408">
        <v>0</v>
      </c>
      <c r="Q408">
        <v>300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7" x14ac:dyDescent="0.25">
      <c r="A409" t="s">
        <v>90</v>
      </c>
      <c r="B409" t="s">
        <v>556</v>
      </c>
      <c r="C409" t="s">
        <v>1859</v>
      </c>
      <c r="D409" t="s">
        <v>613</v>
      </c>
      <c r="E409" t="s">
        <v>1138</v>
      </c>
      <c r="F409" t="s">
        <v>571</v>
      </c>
      <c r="G409" s="204"/>
      <c r="H409">
        <v>450</v>
      </c>
      <c r="I409">
        <v>18778.5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7" x14ac:dyDescent="0.25">
      <c r="A410" t="s">
        <v>515</v>
      </c>
      <c r="B410" t="s">
        <v>565</v>
      </c>
      <c r="C410" t="s">
        <v>1859</v>
      </c>
      <c r="D410" t="s">
        <v>581</v>
      </c>
      <c r="E410" t="s">
        <v>1294</v>
      </c>
      <c r="F410" t="s">
        <v>571</v>
      </c>
      <c r="G410" s="204"/>
      <c r="L410">
        <v>84</v>
      </c>
      <c r="M410">
        <v>41319.599999999999</v>
      </c>
      <c r="N410">
        <v>1</v>
      </c>
      <c r="O410">
        <v>491.9</v>
      </c>
      <c r="P410">
        <v>1</v>
      </c>
      <c r="Q410">
        <v>85</v>
      </c>
      <c r="R410">
        <v>41811.5</v>
      </c>
      <c r="S410">
        <v>491.9</v>
      </c>
      <c r="T410">
        <v>0</v>
      </c>
      <c r="U410">
        <v>0</v>
      </c>
      <c r="V410">
        <v>100</v>
      </c>
      <c r="W410">
        <v>46450</v>
      </c>
      <c r="X410">
        <v>100</v>
      </c>
      <c r="Y410">
        <v>100</v>
      </c>
    </row>
    <row r="411" spans="1:27" x14ac:dyDescent="0.25">
      <c r="A411" t="s">
        <v>1239</v>
      </c>
      <c r="B411" t="s">
        <v>562</v>
      </c>
      <c r="C411" t="s">
        <v>1859</v>
      </c>
      <c r="D411" t="s">
        <v>1869</v>
      </c>
      <c r="E411" t="s">
        <v>1238</v>
      </c>
      <c r="F411" t="s">
        <v>571</v>
      </c>
      <c r="G411" s="204"/>
      <c r="L411">
        <v>0</v>
      </c>
      <c r="M411">
        <v>0</v>
      </c>
      <c r="N411">
        <v>89</v>
      </c>
      <c r="O411">
        <v>24229.360000000001</v>
      </c>
      <c r="P411">
        <v>89</v>
      </c>
      <c r="Q411">
        <v>89</v>
      </c>
      <c r="R411">
        <v>24229.360000000001</v>
      </c>
      <c r="S411">
        <v>272.24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7" x14ac:dyDescent="0.25">
      <c r="A412" t="s">
        <v>1596</v>
      </c>
      <c r="B412" t="s">
        <v>565</v>
      </c>
      <c r="C412" t="s">
        <v>1859</v>
      </c>
      <c r="D412" t="s">
        <v>673</v>
      </c>
      <c r="E412" t="s">
        <v>1173</v>
      </c>
      <c r="F412" t="s">
        <v>571</v>
      </c>
      <c r="G412" s="204"/>
      <c r="J412">
        <v>2</v>
      </c>
      <c r="K412">
        <v>4771.8999999999996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7" x14ac:dyDescent="0.25">
      <c r="A413" t="s">
        <v>542</v>
      </c>
      <c r="B413" t="s">
        <v>562</v>
      </c>
      <c r="C413" t="s">
        <v>1859</v>
      </c>
      <c r="D413" t="s">
        <v>673</v>
      </c>
      <c r="E413" t="s">
        <v>1173</v>
      </c>
      <c r="F413" t="s">
        <v>571</v>
      </c>
      <c r="G413" s="204"/>
      <c r="J413">
        <v>3</v>
      </c>
      <c r="K413">
        <v>7157.8499999999995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7" x14ac:dyDescent="0.25">
      <c r="A414" t="s">
        <v>91</v>
      </c>
      <c r="B414" t="s">
        <v>566</v>
      </c>
      <c r="C414" t="s">
        <v>920</v>
      </c>
      <c r="D414" t="s">
        <v>920</v>
      </c>
      <c r="E414" t="s">
        <v>1266</v>
      </c>
      <c r="F414" t="s">
        <v>571</v>
      </c>
      <c r="G414" s="204"/>
      <c r="L414">
        <v>1000</v>
      </c>
      <c r="M414">
        <v>19630</v>
      </c>
      <c r="N414">
        <v>0</v>
      </c>
      <c r="O414">
        <v>0</v>
      </c>
      <c r="P414">
        <v>0</v>
      </c>
      <c r="Q414">
        <v>1000</v>
      </c>
      <c r="R414">
        <v>19630</v>
      </c>
      <c r="S414">
        <v>19.63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7" x14ac:dyDescent="0.25">
      <c r="A415" t="s">
        <v>738</v>
      </c>
      <c r="B415" t="s">
        <v>556</v>
      </c>
      <c r="C415" t="s">
        <v>1859</v>
      </c>
      <c r="D415" t="s">
        <v>607</v>
      </c>
      <c r="E415" t="s">
        <v>1295</v>
      </c>
      <c r="F415" t="s">
        <v>571</v>
      </c>
      <c r="G415" s="204"/>
      <c r="H415">
        <v>75</v>
      </c>
      <c r="I415">
        <v>34822.5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7" x14ac:dyDescent="0.25">
      <c r="A416" t="s">
        <v>108</v>
      </c>
      <c r="B416" t="s">
        <v>556</v>
      </c>
      <c r="C416" t="s">
        <v>1859</v>
      </c>
      <c r="D416" t="s">
        <v>607</v>
      </c>
      <c r="E416" t="s">
        <v>1212</v>
      </c>
      <c r="F416" t="s">
        <v>571</v>
      </c>
      <c r="G416" s="204"/>
      <c r="H416">
        <v>50</v>
      </c>
      <c r="I416">
        <v>42000</v>
      </c>
      <c r="L416">
        <v>201</v>
      </c>
      <c r="M416">
        <v>185860.68</v>
      </c>
      <c r="N416">
        <v>0</v>
      </c>
      <c r="O416">
        <v>0</v>
      </c>
      <c r="P416">
        <v>0</v>
      </c>
      <c r="Q416">
        <v>201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476</v>
      </c>
      <c r="B417" t="s">
        <v>565</v>
      </c>
      <c r="C417" t="s">
        <v>1859</v>
      </c>
      <c r="D417" t="s">
        <v>607</v>
      </c>
      <c r="E417" t="s">
        <v>1466</v>
      </c>
      <c r="F417" t="s">
        <v>571</v>
      </c>
      <c r="G417" s="204"/>
      <c r="H417">
        <v>75</v>
      </c>
      <c r="I417">
        <v>52500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476</v>
      </c>
      <c r="B418" t="s">
        <v>565</v>
      </c>
      <c r="C418" t="s">
        <v>1859</v>
      </c>
      <c r="D418" t="s">
        <v>607</v>
      </c>
      <c r="E418" t="s">
        <v>1368</v>
      </c>
      <c r="F418" t="s">
        <v>571</v>
      </c>
      <c r="G418" s="204"/>
      <c r="J418">
        <v>100</v>
      </c>
      <c r="K418">
        <v>70000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476</v>
      </c>
      <c r="B419" t="s">
        <v>565</v>
      </c>
      <c r="C419" t="s">
        <v>1859</v>
      </c>
      <c r="D419" t="s">
        <v>607</v>
      </c>
      <c r="E419" t="s">
        <v>1295</v>
      </c>
      <c r="F419" t="s">
        <v>571</v>
      </c>
      <c r="G419" s="204"/>
      <c r="J419">
        <v>411</v>
      </c>
      <c r="K419">
        <v>99571.5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476</v>
      </c>
      <c r="B420" t="s">
        <v>565</v>
      </c>
      <c r="C420" t="s">
        <v>1859</v>
      </c>
      <c r="D420" t="s">
        <v>607</v>
      </c>
      <c r="E420" t="s">
        <v>1212</v>
      </c>
      <c r="F420" t="s">
        <v>571</v>
      </c>
      <c r="G420" s="204"/>
      <c r="J420">
        <v>25</v>
      </c>
      <c r="K420">
        <v>17500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106</v>
      </c>
      <c r="B421" t="s">
        <v>556</v>
      </c>
      <c r="C421" t="s">
        <v>1859</v>
      </c>
      <c r="D421" t="s">
        <v>607</v>
      </c>
      <c r="E421" t="s">
        <v>1466</v>
      </c>
      <c r="F421" t="s">
        <v>571</v>
      </c>
      <c r="G421" s="204"/>
      <c r="H421">
        <v>100</v>
      </c>
      <c r="I421">
        <v>84903</v>
      </c>
      <c r="L421">
        <v>250</v>
      </c>
      <c r="M421">
        <v>219580</v>
      </c>
      <c r="N421">
        <v>0</v>
      </c>
      <c r="O421">
        <v>0</v>
      </c>
      <c r="P421">
        <v>0</v>
      </c>
      <c r="Q421">
        <v>250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47</v>
      </c>
      <c r="B422" t="s">
        <v>567</v>
      </c>
      <c r="C422" t="s">
        <v>920</v>
      </c>
      <c r="D422" t="s">
        <v>920</v>
      </c>
      <c r="E422" t="s">
        <v>1190</v>
      </c>
      <c r="F422" t="s">
        <v>571</v>
      </c>
      <c r="G422" s="204"/>
      <c r="L422">
        <v>500</v>
      </c>
      <c r="M422">
        <v>12945</v>
      </c>
      <c r="N422">
        <v>0</v>
      </c>
      <c r="O422">
        <v>0</v>
      </c>
      <c r="P422">
        <v>0</v>
      </c>
      <c r="Q422">
        <v>500</v>
      </c>
      <c r="R422">
        <v>12945</v>
      </c>
      <c r="S422">
        <v>25.89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108</v>
      </c>
      <c r="B423" t="s">
        <v>556</v>
      </c>
      <c r="C423" t="s">
        <v>1859</v>
      </c>
      <c r="D423" t="s">
        <v>607</v>
      </c>
      <c r="E423" t="s">
        <v>1466</v>
      </c>
      <c r="F423" t="s">
        <v>571</v>
      </c>
      <c r="G423" s="204"/>
      <c r="H423">
        <v>125</v>
      </c>
      <c r="I423">
        <v>105000</v>
      </c>
      <c r="J423">
        <v>125</v>
      </c>
      <c r="K423">
        <v>105000</v>
      </c>
      <c r="L423">
        <v>164</v>
      </c>
      <c r="M423">
        <v>137760</v>
      </c>
      <c r="N423">
        <v>0</v>
      </c>
      <c r="O423">
        <v>0</v>
      </c>
      <c r="P423">
        <v>0</v>
      </c>
      <c r="Q423">
        <v>164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108</v>
      </c>
      <c r="B424" t="s">
        <v>556</v>
      </c>
      <c r="C424" t="s">
        <v>1859</v>
      </c>
      <c r="D424" t="s">
        <v>607</v>
      </c>
      <c r="E424" t="s">
        <v>1368</v>
      </c>
      <c r="F424" t="s">
        <v>571</v>
      </c>
      <c r="G424" s="204"/>
      <c r="J424">
        <v>100</v>
      </c>
      <c r="K424">
        <v>82673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110</v>
      </c>
      <c r="B425" t="s">
        <v>556</v>
      </c>
      <c r="C425" t="s">
        <v>1859</v>
      </c>
      <c r="D425" t="s">
        <v>603</v>
      </c>
      <c r="E425" t="s">
        <v>1704</v>
      </c>
      <c r="F425" t="s">
        <v>571</v>
      </c>
      <c r="G425" s="204"/>
      <c r="H425">
        <v>349</v>
      </c>
      <c r="I425">
        <v>48074.75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59</v>
      </c>
      <c r="B426" t="s">
        <v>566</v>
      </c>
      <c r="C426" t="s">
        <v>920</v>
      </c>
      <c r="D426" t="s">
        <v>920</v>
      </c>
      <c r="E426" t="s">
        <v>1348</v>
      </c>
      <c r="F426" t="s">
        <v>571</v>
      </c>
      <c r="G426" s="204"/>
      <c r="H426">
        <v>2</v>
      </c>
      <c r="I426">
        <v>164.28</v>
      </c>
      <c r="L426">
        <v>2</v>
      </c>
      <c r="M426">
        <v>188.02</v>
      </c>
      <c r="N426">
        <v>0</v>
      </c>
      <c r="O426">
        <v>0</v>
      </c>
      <c r="P426">
        <v>0</v>
      </c>
      <c r="Q426">
        <v>2</v>
      </c>
      <c r="R426">
        <v>188.02</v>
      </c>
      <c r="S426">
        <v>94.01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841</v>
      </c>
      <c r="B427" t="s">
        <v>556</v>
      </c>
      <c r="C427" t="s">
        <v>1859</v>
      </c>
      <c r="D427" t="s">
        <v>603</v>
      </c>
      <c r="E427" t="s">
        <v>1329</v>
      </c>
      <c r="F427" t="s">
        <v>571</v>
      </c>
      <c r="G427" s="204"/>
      <c r="J427">
        <v>110</v>
      </c>
      <c r="K427">
        <v>209550</v>
      </c>
      <c r="L427">
        <v>60</v>
      </c>
      <c r="M427">
        <v>114300</v>
      </c>
      <c r="N427">
        <v>60</v>
      </c>
      <c r="O427">
        <v>114300</v>
      </c>
      <c r="P427">
        <v>60</v>
      </c>
      <c r="Q427">
        <v>120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15</v>
      </c>
      <c r="B428" t="s">
        <v>566</v>
      </c>
      <c r="C428" t="s">
        <v>920</v>
      </c>
      <c r="D428" t="s">
        <v>920</v>
      </c>
      <c r="E428" t="s">
        <v>1377</v>
      </c>
      <c r="F428" t="s">
        <v>571</v>
      </c>
      <c r="G428" s="204"/>
      <c r="J428">
        <v>440</v>
      </c>
      <c r="K428">
        <v>30852</v>
      </c>
      <c r="L428">
        <v>645</v>
      </c>
      <c r="M428">
        <v>47872.2</v>
      </c>
      <c r="N428">
        <v>0</v>
      </c>
      <c r="O428">
        <v>0</v>
      </c>
      <c r="P428">
        <v>0</v>
      </c>
      <c r="Q428">
        <v>645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1597</v>
      </c>
      <c r="B429" t="s">
        <v>562</v>
      </c>
      <c r="C429" t="s">
        <v>1859</v>
      </c>
      <c r="D429" t="s">
        <v>618</v>
      </c>
      <c r="E429" t="s">
        <v>1167</v>
      </c>
      <c r="F429" t="s">
        <v>571</v>
      </c>
      <c r="G429" s="204"/>
      <c r="H429">
        <v>12</v>
      </c>
      <c r="I429">
        <v>18012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49</v>
      </c>
      <c r="B430" t="s">
        <v>566</v>
      </c>
      <c r="C430" t="s">
        <v>920</v>
      </c>
      <c r="D430" t="s">
        <v>920</v>
      </c>
      <c r="E430" t="s">
        <v>1280</v>
      </c>
      <c r="F430" t="s">
        <v>571</v>
      </c>
      <c r="G430" s="204"/>
      <c r="J430">
        <v>2500</v>
      </c>
      <c r="K430">
        <v>25675</v>
      </c>
      <c r="L430">
        <v>5000</v>
      </c>
      <c r="M430">
        <v>48250</v>
      </c>
      <c r="N430">
        <v>0</v>
      </c>
      <c r="O430">
        <v>0</v>
      </c>
      <c r="P430">
        <v>0</v>
      </c>
      <c r="Q430">
        <v>5000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55</v>
      </c>
      <c r="B431" t="s">
        <v>566</v>
      </c>
      <c r="C431" t="s">
        <v>920</v>
      </c>
      <c r="D431" t="s">
        <v>920</v>
      </c>
      <c r="E431" t="s">
        <v>1427</v>
      </c>
      <c r="F431" t="s">
        <v>571</v>
      </c>
      <c r="G431" s="204"/>
      <c r="L431">
        <v>2</v>
      </c>
      <c r="M431">
        <v>148.41999999999999</v>
      </c>
      <c r="N431">
        <v>0</v>
      </c>
      <c r="O431">
        <v>0</v>
      </c>
      <c r="P431">
        <v>0</v>
      </c>
      <c r="Q431">
        <v>2</v>
      </c>
      <c r="R431">
        <v>148.41999999999999</v>
      </c>
      <c r="S431">
        <v>74.209999999999994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112</v>
      </c>
      <c r="B432" t="s">
        <v>556</v>
      </c>
      <c r="C432" t="s">
        <v>1859</v>
      </c>
      <c r="D432" t="s">
        <v>603</v>
      </c>
      <c r="E432" t="s">
        <v>1169</v>
      </c>
      <c r="F432" t="s">
        <v>578</v>
      </c>
      <c r="G432" s="204">
        <v>46752</v>
      </c>
      <c r="L432">
        <v>3</v>
      </c>
      <c r="M432">
        <v>464.76</v>
      </c>
      <c r="N432">
        <v>0</v>
      </c>
      <c r="O432">
        <v>0</v>
      </c>
      <c r="P432">
        <v>0</v>
      </c>
      <c r="Q432">
        <v>3</v>
      </c>
      <c r="R432">
        <v>464.76</v>
      </c>
      <c r="S432">
        <v>154.91999999999999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7" x14ac:dyDescent="0.25">
      <c r="A433" t="s">
        <v>313</v>
      </c>
      <c r="B433" t="s">
        <v>562</v>
      </c>
      <c r="C433" t="s">
        <v>1859</v>
      </c>
      <c r="D433" t="s">
        <v>581</v>
      </c>
      <c r="E433" t="s">
        <v>1292</v>
      </c>
      <c r="F433" t="s">
        <v>571</v>
      </c>
      <c r="G433" s="204"/>
      <c r="H433">
        <v>83</v>
      </c>
      <c r="I433">
        <v>19609.579999999998</v>
      </c>
      <c r="L433">
        <v>200</v>
      </c>
      <c r="M433">
        <v>75904</v>
      </c>
      <c r="N433">
        <v>0</v>
      </c>
      <c r="O433">
        <v>0</v>
      </c>
      <c r="P433">
        <v>0</v>
      </c>
      <c r="Q433">
        <v>200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7" x14ac:dyDescent="0.25">
      <c r="A434" t="s">
        <v>49</v>
      </c>
      <c r="B434" t="s">
        <v>566</v>
      </c>
      <c r="C434" t="s">
        <v>920</v>
      </c>
      <c r="D434" t="s">
        <v>920</v>
      </c>
      <c r="E434" t="s">
        <v>1468</v>
      </c>
      <c r="F434" t="s">
        <v>571</v>
      </c>
      <c r="G434" s="204"/>
      <c r="L434">
        <v>32</v>
      </c>
      <c r="M434">
        <v>1901.2800000000002</v>
      </c>
      <c r="N434">
        <v>0</v>
      </c>
      <c r="O434">
        <v>0</v>
      </c>
      <c r="P434">
        <v>0</v>
      </c>
      <c r="Q434">
        <v>32</v>
      </c>
      <c r="R434">
        <v>1901.2800000000002</v>
      </c>
      <c r="S434">
        <v>59.415000000000006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7" x14ac:dyDescent="0.25">
      <c r="A435" t="s">
        <v>931</v>
      </c>
      <c r="C435" t="s">
        <v>555</v>
      </c>
      <c r="D435" t="s">
        <v>1870</v>
      </c>
      <c r="E435" t="s">
        <v>1269</v>
      </c>
      <c r="F435" t="s">
        <v>571</v>
      </c>
      <c r="G435" s="204"/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T435">
        <v>0</v>
      </c>
      <c r="U435">
        <v>0</v>
      </c>
      <c r="V435">
        <v>504</v>
      </c>
      <c r="W435">
        <v>234284.4</v>
      </c>
      <c r="X435">
        <v>504</v>
      </c>
      <c r="Y435">
        <v>504</v>
      </c>
      <c r="Z435">
        <v>234284.4</v>
      </c>
      <c r="AA435">
        <v>464.84999999999997</v>
      </c>
    </row>
    <row r="436" spans="1:27" x14ac:dyDescent="0.25">
      <c r="A436" t="s">
        <v>950</v>
      </c>
      <c r="B436" t="s">
        <v>556</v>
      </c>
      <c r="C436" t="s">
        <v>1859</v>
      </c>
      <c r="D436" t="s">
        <v>963</v>
      </c>
      <c r="E436" t="s">
        <v>1169</v>
      </c>
      <c r="F436" t="s">
        <v>571</v>
      </c>
      <c r="G436" s="204"/>
      <c r="H436">
        <v>1</v>
      </c>
      <c r="I436">
        <v>2249.1999999999998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7" x14ac:dyDescent="0.25">
      <c r="A437" t="s">
        <v>118</v>
      </c>
      <c r="B437" t="s">
        <v>565</v>
      </c>
      <c r="C437" t="s">
        <v>1859</v>
      </c>
      <c r="D437" t="s">
        <v>616</v>
      </c>
      <c r="E437" t="s">
        <v>1169</v>
      </c>
      <c r="F437" t="s">
        <v>578</v>
      </c>
      <c r="G437" s="204">
        <v>46752</v>
      </c>
      <c r="J437">
        <v>100</v>
      </c>
      <c r="K437">
        <v>8260</v>
      </c>
      <c r="L437">
        <v>100</v>
      </c>
      <c r="M437">
        <v>8438</v>
      </c>
      <c r="N437">
        <v>100</v>
      </c>
      <c r="O437">
        <v>8438</v>
      </c>
      <c r="P437">
        <v>100</v>
      </c>
      <c r="Q437">
        <v>200</v>
      </c>
      <c r="T437">
        <v>0</v>
      </c>
      <c r="U437">
        <v>0</v>
      </c>
      <c r="V437">
        <v>200</v>
      </c>
      <c r="W437">
        <v>16876</v>
      </c>
      <c r="X437">
        <v>200</v>
      </c>
      <c r="Y437">
        <v>200</v>
      </c>
    </row>
    <row r="438" spans="1:27" x14ac:dyDescent="0.25">
      <c r="A438" t="s">
        <v>736</v>
      </c>
      <c r="B438" t="s">
        <v>556</v>
      </c>
      <c r="C438" t="s">
        <v>1858</v>
      </c>
      <c r="D438" t="s">
        <v>584</v>
      </c>
      <c r="E438" t="s">
        <v>1303</v>
      </c>
      <c r="F438" t="s">
        <v>571</v>
      </c>
      <c r="G438" s="204"/>
      <c r="H438">
        <v>100</v>
      </c>
      <c r="I438">
        <v>20000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7" x14ac:dyDescent="0.25">
      <c r="A439" t="s">
        <v>894</v>
      </c>
      <c r="B439" t="s">
        <v>566</v>
      </c>
      <c r="C439" t="s">
        <v>920</v>
      </c>
      <c r="D439" t="s">
        <v>920</v>
      </c>
      <c r="E439" t="s">
        <v>1212</v>
      </c>
      <c r="F439" t="s">
        <v>571</v>
      </c>
      <c r="G439" s="204"/>
      <c r="L439">
        <v>204</v>
      </c>
      <c r="M439">
        <v>6652.44</v>
      </c>
      <c r="N439">
        <v>0</v>
      </c>
      <c r="O439">
        <v>0</v>
      </c>
      <c r="P439">
        <v>0</v>
      </c>
      <c r="Q439">
        <v>204</v>
      </c>
      <c r="R439">
        <v>6652.44</v>
      </c>
      <c r="S439">
        <v>32.61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7" x14ac:dyDescent="0.25">
      <c r="A440" t="s">
        <v>858</v>
      </c>
      <c r="B440" t="s">
        <v>562</v>
      </c>
      <c r="C440" t="s">
        <v>1860</v>
      </c>
      <c r="D440" t="s">
        <v>622</v>
      </c>
      <c r="E440" t="s">
        <v>1483</v>
      </c>
      <c r="F440" t="s">
        <v>571</v>
      </c>
      <c r="G440" s="204"/>
      <c r="J440">
        <v>2</v>
      </c>
      <c r="K440">
        <v>5950</v>
      </c>
      <c r="L440">
        <v>2</v>
      </c>
      <c r="M440">
        <v>6130</v>
      </c>
      <c r="N440">
        <v>0</v>
      </c>
      <c r="O440">
        <v>0</v>
      </c>
      <c r="P440">
        <v>0</v>
      </c>
      <c r="Q440">
        <v>2</v>
      </c>
      <c r="R440">
        <v>6130</v>
      </c>
      <c r="S440">
        <v>3065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7" x14ac:dyDescent="0.25">
      <c r="A441" t="s">
        <v>480</v>
      </c>
      <c r="B441" t="s">
        <v>556</v>
      </c>
      <c r="C441" t="s">
        <v>1858</v>
      </c>
      <c r="D441" t="s">
        <v>584</v>
      </c>
      <c r="E441" t="s">
        <v>1280</v>
      </c>
      <c r="F441" t="s">
        <v>571</v>
      </c>
      <c r="G441" s="204"/>
      <c r="J441">
        <v>100</v>
      </c>
      <c r="K441">
        <v>51120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7" x14ac:dyDescent="0.25">
      <c r="A442" t="s">
        <v>449</v>
      </c>
      <c r="B442" t="s">
        <v>566</v>
      </c>
      <c r="C442" t="s">
        <v>920</v>
      </c>
      <c r="D442" t="s">
        <v>920</v>
      </c>
      <c r="E442" t="s">
        <v>1216</v>
      </c>
      <c r="F442" t="s">
        <v>571</v>
      </c>
      <c r="G442" s="204"/>
      <c r="J442">
        <v>428</v>
      </c>
      <c r="K442">
        <v>4074.56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T442">
        <v>0</v>
      </c>
      <c r="U442">
        <v>0</v>
      </c>
      <c r="V442">
        <v>2500</v>
      </c>
      <c r="W442">
        <v>15925</v>
      </c>
      <c r="X442">
        <v>2500</v>
      </c>
      <c r="Y442">
        <v>2500</v>
      </c>
    </row>
    <row r="443" spans="1:27" x14ac:dyDescent="0.25">
      <c r="A443" t="s">
        <v>480</v>
      </c>
      <c r="B443" t="s">
        <v>556</v>
      </c>
      <c r="C443" t="s">
        <v>1858</v>
      </c>
      <c r="D443" t="s">
        <v>584</v>
      </c>
      <c r="E443" t="s">
        <v>1138</v>
      </c>
      <c r="F443" t="s">
        <v>571</v>
      </c>
      <c r="G443" s="204"/>
      <c r="H443">
        <v>231</v>
      </c>
      <c r="I443">
        <v>87694.53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7" x14ac:dyDescent="0.25">
      <c r="A444" t="s">
        <v>1598</v>
      </c>
      <c r="B444" t="s">
        <v>562</v>
      </c>
      <c r="C444" t="s">
        <v>1859</v>
      </c>
      <c r="D444" t="s">
        <v>581</v>
      </c>
      <c r="E444" t="s">
        <v>1169</v>
      </c>
      <c r="F444" t="s">
        <v>571</v>
      </c>
      <c r="G444" s="204"/>
      <c r="J444">
        <v>48</v>
      </c>
      <c r="K444">
        <v>20148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7" x14ac:dyDescent="0.25">
      <c r="A445" t="s">
        <v>53</v>
      </c>
      <c r="B445" t="s">
        <v>566</v>
      </c>
      <c r="C445" t="s">
        <v>920</v>
      </c>
      <c r="D445" t="s">
        <v>920</v>
      </c>
      <c r="E445" t="s">
        <v>1365</v>
      </c>
      <c r="F445" t="s">
        <v>571</v>
      </c>
      <c r="G445" s="204"/>
      <c r="L445">
        <v>7</v>
      </c>
      <c r="M445">
        <v>267.82</v>
      </c>
      <c r="N445">
        <v>0</v>
      </c>
      <c r="O445">
        <v>0</v>
      </c>
      <c r="P445">
        <v>0</v>
      </c>
      <c r="Q445">
        <v>7</v>
      </c>
      <c r="R445">
        <v>267.82</v>
      </c>
      <c r="S445">
        <v>38.26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7" x14ac:dyDescent="0.25">
      <c r="A446" t="s">
        <v>63</v>
      </c>
      <c r="B446" t="s">
        <v>566</v>
      </c>
      <c r="C446" t="s">
        <v>920</v>
      </c>
      <c r="D446" t="s">
        <v>920</v>
      </c>
      <c r="E446" t="s">
        <v>1266</v>
      </c>
      <c r="F446" t="s">
        <v>571</v>
      </c>
      <c r="G446" s="204"/>
      <c r="H446">
        <v>1000</v>
      </c>
      <c r="I446">
        <v>16960</v>
      </c>
      <c r="L446">
        <v>1500</v>
      </c>
      <c r="M446">
        <v>28290</v>
      </c>
      <c r="N446">
        <v>0</v>
      </c>
      <c r="O446">
        <v>0</v>
      </c>
      <c r="P446">
        <v>0</v>
      </c>
      <c r="Q446">
        <v>1500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7" x14ac:dyDescent="0.25">
      <c r="A447" t="s">
        <v>314</v>
      </c>
      <c r="B447" t="s">
        <v>556</v>
      </c>
      <c r="C447" t="s">
        <v>1859</v>
      </c>
      <c r="D447" t="s">
        <v>581</v>
      </c>
      <c r="E447" t="s">
        <v>1358</v>
      </c>
      <c r="F447" t="s">
        <v>571</v>
      </c>
      <c r="G447" s="204"/>
      <c r="L447">
        <v>50</v>
      </c>
      <c r="M447">
        <v>24898</v>
      </c>
      <c r="N447">
        <v>0</v>
      </c>
      <c r="O447">
        <v>0</v>
      </c>
      <c r="P447">
        <v>0</v>
      </c>
      <c r="Q447">
        <v>50</v>
      </c>
      <c r="R447">
        <v>24898</v>
      </c>
      <c r="S447">
        <v>497.96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7" x14ac:dyDescent="0.25">
      <c r="A448" t="s">
        <v>522</v>
      </c>
      <c r="B448" t="s">
        <v>562</v>
      </c>
      <c r="C448" t="s">
        <v>1860</v>
      </c>
      <c r="D448" t="s">
        <v>589</v>
      </c>
      <c r="E448" t="s">
        <v>1216</v>
      </c>
      <c r="F448" t="s">
        <v>571</v>
      </c>
      <c r="G448" s="204"/>
      <c r="J448">
        <v>200</v>
      </c>
      <c r="K448">
        <v>20162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7" x14ac:dyDescent="0.25">
      <c r="A449" t="s">
        <v>702</v>
      </c>
      <c r="B449" t="s">
        <v>554</v>
      </c>
      <c r="C449" t="s">
        <v>555</v>
      </c>
      <c r="D449" t="s">
        <v>600</v>
      </c>
      <c r="E449" t="s">
        <v>1258</v>
      </c>
      <c r="F449" t="s">
        <v>571</v>
      </c>
      <c r="G449" s="204"/>
      <c r="L449">
        <v>0</v>
      </c>
      <c r="M449">
        <v>0</v>
      </c>
      <c r="N449">
        <v>12</v>
      </c>
      <c r="O449">
        <v>14580</v>
      </c>
      <c r="P449">
        <v>12</v>
      </c>
      <c r="Q449">
        <v>12</v>
      </c>
      <c r="R449">
        <v>14580</v>
      </c>
      <c r="S449">
        <v>1215</v>
      </c>
      <c r="T449">
        <v>0</v>
      </c>
      <c r="U449">
        <v>0</v>
      </c>
      <c r="V449">
        <v>480</v>
      </c>
      <c r="W449">
        <v>655200</v>
      </c>
      <c r="X449">
        <v>480</v>
      </c>
      <c r="Y449">
        <v>480</v>
      </c>
    </row>
    <row r="450" spans="1:27" x14ac:dyDescent="0.25">
      <c r="A450" t="s">
        <v>702</v>
      </c>
      <c r="B450" t="s">
        <v>554</v>
      </c>
      <c r="C450" t="s">
        <v>555</v>
      </c>
      <c r="D450" t="s">
        <v>600</v>
      </c>
      <c r="E450" t="s">
        <v>1434</v>
      </c>
      <c r="F450" t="s">
        <v>571</v>
      </c>
      <c r="G450" s="204"/>
      <c r="L450">
        <v>388</v>
      </c>
      <c r="M450">
        <v>471420</v>
      </c>
      <c r="N450">
        <v>0</v>
      </c>
      <c r="O450">
        <v>0</v>
      </c>
      <c r="P450">
        <v>0</v>
      </c>
      <c r="Q450">
        <v>388</v>
      </c>
      <c r="R450">
        <v>471420</v>
      </c>
      <c r="S450">
        <v>1215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7" x14ac:dyDescent="0.25">
      <c r="A451" t="s">
        <v>31</v>
      </c>
      <c r="B451" t="s">
        <v>567</v>
      </c>
      <c r="C451" t="s">
        <v>920</v>
      </c>
      <c r="D451" t="s">
        <v>920</v>
      </c>
      <c r="E451" t="s">
        <v>1316</v>
      </c>
      <c r="F451" t="s">
        <v>571</v>
      </c>
      <c r="G451" s="204"/>
      <c r="L451">
        <v>200</v>
      </c>
      <c r="M451">
        <v>12946</v>
      </c>
      <c r="N451">
        <v>0</v>
      </c>
      <c r="O451">
        <v>0</v>
      </c>
      <c r="P451">
        <v>0</v>
      </c>
      <c r="Q451">
        <v>200</v>
      </c>
      <c r="T451">
        <v>0</v>
      </c>
      <c r="U451">
        <v>0</v>
      </c>
      <c r="V451">
        <v>100</v>
      </c>
      <c r="W451">
        <v>6473</v>
      </c>
      <c r="X451">
        <v>100</v>
      </c>
      <c r="Y451">
        <v>100</v>
      </c>
      <c r="Z451">
        <v>6473</v>
      </c>
      <c r="AA451">
        <v>64.73</v>
      </c>
    </row>
    <row r="452" spans="1:27" x14ac:dyDescent="0.25">
      <c r="A452" t="s">
        <v>319</v>
      </c>
      <c r="C452" t="s">
        <v>1859</v>
      </c>
      <c r="D452" t="s">
        <v>643</v>
      </c>
      <c r="E452" t="s">
        <v>1169</v>
      </c>
      <c r="F452" t="s">
        <v>571</v>
      </c>
      <c r="G452" s="204"/>
      <c r="L452">
        <v>0</v>
      </c>
      <c r="M452">
        <v>0</v>
      </c>
      <c r="N452">
        <v>64</v>
      </c>
      <c r="O452">
        <v>46357.760000000002</v>
      </c>
      <c r="P452">
        <v>64</v>
      </c>
      <c r="Q452">
        <v>64</v>
      </c>
      <c r="R452">
        <v>46357.760000000002</v>
      </c>
      <c r="S452">
        <v>724.34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7" x14ac:dyDescent="0.25">
      <c r="A453" t="s">
        <v>877</v>
      </c>
      <c r="C453" t="s">
        <v>1859</v>
      </c>
      <c r="D453" t="s">
        <v>643</v>
      </c>
      <c r="E453" t="s">
        <v>1169</v>
      </c>
      <c r="F453" t="s">
        <v>571</v>
      </c>
      <c r="G453" s="204"/>
      <c r="L453">
        <v>0</v>
      </c>
      <c r="M453">
        <v>0</v>
      </c>
      <c r="N453">
        <v>72</v>
      </c>
      <c r="O453">
        <v>48705.84</v>
      </c>
      <c r="P453">
        <v>72</v>
      </c>
      <c r="Q453">
        <v>72</v>
      </c>
      <c r="R453">
        <v>48705.84</v>
      </c>
      <c r="S453">
        <v>676.46999999999991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7" x14ac:dyDescent="0.25">
      <c r="A454" t="s">
        <v>316</v>
      </c>
      <c r="B454" t="s">
        <v>556</v>
      </c>
      <c r="C454" t="s">
        <v>1859</v>
      </c>
      <c r="D454" t="s">
        <v>581</v>
      </c>
      <c r="E454" t="s">
        <v>1149</v>
      </c>
      <c r="F454" t="s">
        <v>571</v>
      </c>
      <c r="G454" s="204"/>
      <c r="L454">
        <v>640</v>
      </c>
      <c r="M454">
        <v>80704</v>
      </c>
      <c r="N454">
        <v>0</v>
      </c>
      <c r="O454">
        <v>0</v>
      </c>
      <c r="P454">
        <v>0</v>
      </c>
      <c r="Q454">
        <v>640</v>
      </c>
      <c r="R454">
        <v>80704</v>
      </c>
      <c r="S454">
        <v>126.1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7" x14ac:dyDescent="0.25">
      <c r="A455" t="s">
        <v>271</v>
      </c>
      <c r="B455" t="s">
        <v>556</v>
      </c>
      <c r="C455" t="s">
        <v>1860</v>
      </c>
      <c r="D455" t="s">
        <v>586</v>
      </c>
      <c r="E455" t="s">
        <v>1330</v>
      </c>
      <c r="F455" t="s">
        <v>571</v>
      </c>
      <c r="G455" s="204"/>
      <c r="K455">
        <v>158380.80000000002</v>
      </c>
      <c r="L455">
        <v>178</v>
      </c>
      <c r="M455">
        <v>124327.2</v>
      </c>
      <c r="N455">
        <v>0</v>
      </c>
      <c r="O455">
        <v>0</v>
      </c>
      <c r="P455">
        <v>0</v>
      </c>
      <c r="Q455">
        <v>178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7" x14ac:dyDescent="0.25">
      <c r="A456" t="s">
        <v>316</v>
      </c>
      <c r="B456" t="s">
        <v>556</v>
      </c>
      <c r="C456" t="s">
        <v>1859</v>
      </c>
      <c r="D456" t="s">
        <v>581</v>
      </c>
      <c r="E456" t="s">
        <v>1705</v>
      </c>
      <c r="F456" t="s">
        <v>571</v>
      </c>
      <c r="G456" s="204"/>
      <c r="J456">
        <v>3600</v>
      </c>
      <c r="K456">
        <v>414792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7" x14ac:dyDescent="0.25">
      <c r="A457" t="s">
        <v>316</v>
      </c>
      <c r="B457" t="s">
        <v>556</v>
      </c>
      <c r="C457" t="s">
        <v>1859</v>
      </c>
      <c r="D457" t="s">
        <v>581</v>
      </c>
      <c r="E457" t="s">
        <v>1358</v>
      </c>
      <c r="F457" t="s">
        <v>571</v>
      </c>
      <c r="G457" s="204"/>
      <c r="H457">
        <v>800</v>
      </c>
      <c r="I457">
        <v>78976</v>
      </c>
      <c r="L457">
        <v>5670</v>
      </c>
      <c r="M457">
        <v>672858.9</v>
      </c>
      <c r="N457">
        <v>0</v>
      </c>
      <c r="O457">
        <v>0</v>
      </c>
      <c r="P457">
        <v>0</v>
      </c>
      <c r="Q457">
        <v>5670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7" x14ac:dyDescent="0.25">
      <c r="A458" t="s">
        <v>5</v>
      </c>
      <c r="B458" t="s">
        <v>566</v>
      </c>
      <c r="C458" t="s">
        <v>920</v>
      </c>
      <c r="D458" t="s">
        <v>920</v>
      </c>
      <c r="E458" t="s">
        <v>1229</v>
      </c>
      <c r="F458" t="s">
        <v>571</v>
      </c>
      <c r="G458" s="204"/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T458">
        <v>0</v>
      </c>
      <c r="U458">
        <v>0</v>
      </c>
      <c r="V458">
        <v>1500</v>
      </c>
      <c r="W458">
        <v>67440</v>
      </c>
      <c r="X458">
        <v>1500</v>
      </c>
      <c r="Y458">
        <v>1500</v>
      </c>
      <c r="Z458">
        <v>67440</v>
      </c>
      <c r="AA458">
        <v>44.96</v>
      </c>
    </row>
    <row r="459" spans="1:27" x14ac:dyDescent="0.25">
      <c r="A459" t="s">
        <v>408</v>
      </c>
      <c r="B459" t="s">
        <v>556</v>
      </c>
      <c r="C459" t="s">
        <v>555</v>
      </c>
      <c r="D459" t="s">
        <v>583</v>
      </c>
      <c r="E459" t="s">
        <v>1434</v>
      </c>
      <c r="F459" t="s">
        <v>571</v>
      </c>
      <c r="G459" s="204"/>
      <c r="J459">
        <v>87</v>
      </c>
      <c r="K459">
        <v>4937.25</v>
      </c>
      <c r="L459">
        <v>3225</v>
      </c>
      <c r="M459">
        <v>177987.75</v>
      </c>
      <c r="N459">
        <v>0</v>
      </c>
      <c r="O459">
        <v>0</v>
      </c>
      <c r="P459">
        <v>0</v>
      </c>
      <c r="Q459">
        <v>3225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7" x14ac:dyDescent="0.25">
      <c r="A460" t="s">
        <v>858</v>
      </c>
      <c r="B460" t="s">
        <v>562</v>
      </c>
      <c r="C460" t="s">
        <v>1860</v>
      </c>
      <c r="D460" t="s">
        <v>622</v>
      </c>
      <c r="E460" t="s">
        <v>1251</v>
      </c>
      <c r="F460" t="s">
        <v>571</v>
      </c>
      <c r="G460" s="204"/>
      <c r="J460">
        <v>28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T460">
        <v>0</v>
      </c>
      <c r="U460">
        <v>0</v>
      </c>
      <c r="V460">
        <v>25</v>
      </c>
      <c r="W460">
        <v>22375</v>
      </c>
      <c r="X460">
        <v>25</v>
      </c>
      <c r="Y460">
        <v>25</v>
      </c>
      <c r="Z460">
        <v>22375</v>
      </c>
      <c r="AA460">
        <v>895</v>
      </c>
    </row>
    <row r="461" spans="1:27" x14ac:dyDescent="0.25">
      <c r="A461" t="s">
        <v>410</v>
      </c>
      <c r="B461" t="s">
        <v>556</v>
      </c>
      <c r="C461" t="s">
        <v>555</v>
      </c>
      <c r="D461" t="s">
        <v>583</v>
      </c>
      <c r="E461" t="s">
        <v>1434</v>
      </c>
      <c r="F461" t="s">
        <v>571</v>
      </c>
      <c r="G461" s="204"/>
      <c r="H461">
        <v>298</v>
      </c>
      <c r="I461">
        <v>22469.200000000001</v>
      </c>
      <c r="L461">
        <v>1058</v>
      </c>
      <c r="M461">
        <v>78683.460000000006</v>
      </c>
      <c r="N461">
        <v>0</v>
      </c>
      <c r="O461">
        <v>0</v>
      </c>
      <c r="P461">
        <v>0</v>
      </c>
      <c r="Q461">
        <v>1058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7" x14ac:dyDescent="0.25">
      <c r="A462" t="s">
        <v>703</v>
      </c>
      <c r="B462" t="s">
        <v>562</v>
      </c>
      <c r="C462" t="s">
        <v>1860</v>
      </c>
      <c r="D462" t="s">
        <v>622</v>
      </c>
      <c r="E462" t="s">
        <v>1363</v>
      </c>
      <c r="F462" t="s">
        <v>571</v>
      </c>
      <c r="G462" s="204"/>
      <c r="L462">
        <v>10</v>
      </c>
      <c r="M462">
        <v>13003.9</v>
      </c>
      <c r="N462">
        <v>0</v>
      </c>
      <c r="O462">
        <v>0</v>
      </c>
      <c r="P462">
        <v>0</v>
      </c>
      <c r="Q462">
        <v>10</v>
      </c>
      <c r="R462">
        <v>13003.9</v>
      </c>
      <c r="S462">
        <v>1300.3899999999999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7" x14ac:dyDescent="0.25">
      <c r="A463" t="s">
        <v>703</v>
      </c>
      <c r="B463" t="s">
        <v>562</v>
      </c>
      <c r="C463" t="s">
        <v>1860</v>
      </c>
      <c r="D463" t="s">
        <v>622</v>
      </c>
      <c r="E463" t="s">
        <v>1212</v>
      </c>
      <c r="F463" t="s">
        <v>571</v>
      </c>
      <c r="G463" s="204"/>
      <c r="J463">
        <v>10</v>
      </c>
      <c r="K463">
        <v>13003.9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7" x14ac:dyDescent="0.25">
      <c r="A464" t="s">
        <v>550</v>
      </c>
      <c r="B464" t="s">
        <v>565</v>
      </c>
      <c r="C464" t="s">
        <v>555</v>
      </c>
      <c r="D464" t="s">
        <v>591</v>
      </c>
      <c r="E464" t="s">
        <v>1258</v>
      </c>
      <c r="F464" t="s">
        <v>571</v>
      </c>
      <c r="G464" s="204"/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T464">
        <v>0</v>
      </c>
      <c r="U464">
        <v>0</v>
      </c>
      <c r="V464">
        <v>142</v>
      </c>
      <c r="W464">
        <v>15594.44</v>
      </c>
      <c r="X464">
        <v>142</v>
      </c>
      <c r="Y464">
        <v>142</v>
      </c>
      <c r="Z464">
        <v>15594.44</v>
      </c>
      <c r="AA464">
        <v>109.82000000000001</v>
      </c>
    </row>
    <row r="465" spans="1:27" x14ac:dyDescent="0.25">
      <c r="A465" t="s">
        <v>550</v>
      </c>
      <c r="B465" t="s">
        <v>565</v>
      </c>
      <c r="C465" t="s">
        <v>555</v>
      </c>
      <c r="D465" t="s">
        <v>591</v>
      </c>
      <c r="E465" t="s">
        <v>1434</v>
      </c>
      <c r="F465" t="s">
        <v>571</v>
      </c>
      <c r="G465" s="204"/>
      <c r="H465">
        <v>590</v>
      </c>
      <c r="I465">
        <v>48887.4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7" x14ac:dyDescent="0.25">
      <c r="A466" t="s">
        <v>943</v>
      </c>
      <c r="B466" t="s">
        <v>554</v>
      </c>
      <c r="C466" t="s">
        <v>555</v>
      </c>
      <c r="D466" t="s">
        <v>583</v>
      </c>
      <c r="E466" t="s">
        <v>1258</v>
      </c>
      <c r="F466" t="s">
        <v>571</v>
      </c>
      <c r="G466" s="204"/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T466">
        <v>0</v>
      </c>
      <c r="U466">
        <v>0</v>
      </c>
      <c r="V466">
        <v>150</v>
      </c>
      <c r="W466">
        <v>18592.5</v>
      </c>
      <c r="X466">
        <v>150</v>
      </c>
      <c r="Y466">
        <v>150</v>
      </c>
      <c r="Z466">
        <v>18592.5</v>
      </c>
      <c r="AA466">
        <v>123.95</v>
      </c>
    </row>
    <row r="467" spans="1:27" x14ac:dyDescent="0.25">
      <c r="A467" t="s">
        <v>549</v>
      </c>
      <c r="B467" t="s">
        <v>562</v>
      </c>
      <c r="C467" t="s">
        <v>555</v>
      </c>
      <c r="D467" t="s">
        <v>591</v>
      </c>
      <c r="E467" t="s">
        <v>1434</v>
      </c>
      <c r="F467" t="s">
        <v>571</v>
      </c>
      <c r="G467" s="204"/>
      <c r="H467">
        <v>50</v>
      </c>
      <c r="I467">
        <v>8887.5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7" x14ac:dyDescent="0.25">
      <c r="A468" t="s">
        <v>1599</v>
      </c>
      <c r="B468" t="s">
        <v>565</v>
      </c>
      <c r="C468" t="s">
        <v>555</v>
      </c>
      <c r="D468" t="s">
        <v>591</v>
      </c>
      <c r="E468" t="s">
        <v>1434</v>
      </c>
      <c r="F468" t="s">
        <v>571</v>
      </c>
      <c r="G468" s="204"/>
      <c r="J468">
        <v>120</v>
      </c>
      <c r="K468">
        <v>33480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7" x14ac:dyDescent="0.25">
      <c r="A469" t="s">
        <v>41</v>
      </c>
      <c r="B469" t="s">
        <v>567</v>
      </c>
      <c r="C469" t="s">
        <v>920</v>
      </c>
      <c r="D469" t="s">
        <v>920</v>
      </c>
      <c r="E469" t="s">
        <v>1495</v>
      </c>
      <c r="F469" t="s">
        <v>571</v>
      </c>
      <c r="G469" s="204"/>
      <c r="L469">
        <v>5700</v>
      </c>
      <c r="M469">
        <v>104025</v>
      </c>
      <c r="N469">
        <v>0</v>
      </c>
      <c r="O469">
        <v>0</v>
      </c>
      <c r="P469">
        <v>0</v>
      </c>
      <c r="Q469">
        <v>5700</v>
      </c>
      <c r="R469">
        <v>104025</v>
      </c>
      <c r="S469">
        <v>18.25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7" x14ac:dyDescent="0.25">
      <c r="A470" t="s">
        <v>318</v>
      </c>
      <c r="B470" t="s">
        <v>565</v>
      </c>
      <c r="C470" t="s">
        <v>1859</v>
      </c>
      <c r="D470" t="s">
        <v>610</v>
      </c>
      <c r="E470" t="s">
        <v>1149</v>
      </c>
      <c r="F470" t="s">
        <v>571</v>
      </c>
      <c r="G470" s="204"/>
      <c r="L470">
        <v>102</v>
      </c>
      <c r="M470">
        <v>23031.600000000002</v>
      </c>
      <c r="N470">
        <v>0</v>
      </c>
      <c r="O470">
        <v>0</v>
      </c>
      <c r="P470">
        <v>0</v>
      </c>
      <c r="Q470">
        <v>102</v>
      </c>
      <c r="R470">
        <v>23031.600000000002</v>
      </c>
      <c r="S470">
        <v>225.8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7" x14ac:dyDescent="0.25">
      <c r="A471" t="s">
        <v>880</v>
      </c>
      <c r="B471" t="s">
        <v>554</v>
      </c>
      <c r="C471" t="s">
        <v>555</v>
      </c>
      <c r="D471" t="s">
        <v>636</v>
      </c>
      <c r="E471" t="s">
        <v>1245</v>
      </c>
      <c r="F471" t="s">
        <v>571</v>
      </c>
      <c r="G471" s="204"/>
      <c r="L471">
        <v>0</v>
      </c>
      <c r="M471">
        <v>0</v>
      </c>
      <c r="N471">
        <v>15</v>
      </c>
      <c r="O471">
        <v>35000.1</v>
      </c>
      <c r="P471">
        <v>15</v>
      </c>
      <c r="Q471">
        <v>15</v>
      </c>
      <c r="R471">
        <v>35000.1</v>
      </c>
      <c r="S471">
        <v>2333.3399999999997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7" x14ac:dyDescent="0.25">
      <c r="A472" t="s">
        <v>19</v>
      </c>
      <c r="B472" t="s">
        <v>567</v>
      </c>
      <c r="C472" t="s">
        <v>920</v>
      </c>
      <c r="D472" t="s">
        <v>920</v>
      </c>
      <c r="E472" t="s">
        <v>1488</v>
      </c>
      <c r="F472" t="s">
        <v>571</v>
      </c>
      <c r="G472" s="204"/>
      <c r="J472">
        <v>30</v>
      </c>
      <c r="K472">
        <v>633.9</v>
      </c>
      <c r="L472">
        <v>126</v>
      </c>
      <c r="M472">
        <v>2662.38</v>
      </c>
      <c r="N472">
        <v>0</v>
      </c>
      <c r="O472">
        <v>0</v>
      </c>
      <c r="P472">
        <v>0</v>
      </c>
      <c r="Q472">
        <v>126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7" x14ac:dyDescent="0.25">
      <c r="A473" t="s">
        <v>7</v>
      </c>
      <c r="B473" t="s">
        <v>566</v>
      </c>
      <c r="C473" t="s">
        <v>920</v>
      </c>
      <c r="D473" t="s">
        <v>920</v>
      </c>
      <c r="E473" t="s">
        <v>1332</v>
      </c>
      <c r="F473" t="s">
        <v>571</v>
      </c>
      <c r="G473" s="204"/>
      <c r="J473">
        <v>29</v>
      </c>
      <c r="K473">
        <v>1415.21</v>
      </c>
      <c r="L473">
        <v>105</v>
      </c>
      <c r="M473">
        <v>5483.76</v>
      </c>
      <c r="N473">
        <v>0</v>
      </c>
      <c r="O473">
        <v>0</v>
      </c>
      <c r="P473">
        <v>0</v>
      </c>
      <c r="Q473">
        <v>105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7" x14ac:dyDescent="0.25">
      <c r="A474" t="s">
        <v>124</v>
      </c>
      <c r="B474" t="s">
        <v>556</v>
      </c>
      <c r="C474" t="s">
        <v>1859</v>
      </c>
      <c r="D474" t="s">
        <v>601</v>
      </c>
      <c r="E474" t="s">
        <v>1221</v>
      </c>
      <c r="F474" t="s">
        <v>571</v>
      </c>
      <c r="G474" s="204"/>
      <c r="H474">
        <v>30</v>
      </c>
      <c r="I474">
        <v>5306.7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T474">
        <v>0</v>
      </c>
      <c r="U474">
        <v>0</v>
      </c>
      <c r="V474">
        <v>130</v>
      </c>
      <c r="W474">
        <v>20716.8</v>
      </c>
      <c r="X474">
        <v>130</v>
      </c>
      <c r="Y474">
        <v>130</v>
      </c>
    </row>
    <row r="475" spans="1:27" x14ac:dyDescent="0.25">
      <c r="A475" t="s">
        <v>120</v>
      </c>
      <c r="B475" t="s">
        <v>565</v>
      </c>
      <c r="C475" t="s">
        <v>1859</v>
      </c>
      <c r="D475" t="s">
        <v>637</v>
      </c>
      <c r="E475" t="s">
        <v>1169</v>
      </c>
      <c r="F475" t="s">
        <v>578</v>
      </c>
      <c r="G475" s="204">
        <v>46752</v>
      </c>
      <c r="H475">
        <v>96</v>
      </c>
      <c r="I475">
        <v>12984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T475">
        <v>0</v>
      </c>
      <c r="U475">
        <v>0</v>
      </c>
      <c r="V475">
        <v>100</v>
      </c>
      <c r="W475">
        <v>14306</v>
      </c>
      <c r="X475">
        <v>100</v>
      </c>
      <c r="Y475">
        <v>100</v>
      </c>
    </row>
    <row r="476" spans="1:27" x14ac:dyDescent="0.25">
      <c r="A476" t="s">
        <v>449</v>
      </c>
      <c r="B476" t="s">
        <v>566</v>
      </c>
      <c r="C476" t="s">
        <v>920</v>
      </c>
      <c r="D476" t="s">
        <v>920</v>
      </c>
      <c r="E476" t="s">
        <v>1285</v>
      </c>
      <c r="F476" t="s">
        <v>571</v>
      </c>
      <c r="G476" s="204"/>
      <c r="L476">
        <v>0</v>
      </c>
      <c r="M476">
        <v>0</v>
      </c>
      <c r="N476">
        <v>20</v>
      </c>
      <c r="O476">
        <v>1048.2</v>
      </c>
      <c r="P476">
        <v>20</v>
      </c>
      <c r="Q476">
        <v>20</v>
      </c>
      <c r="R476">
        <v>1048.2</v>
      </c>
      <c r="S476">
        <v>52.410000000000004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7" x14ac:dyDescent="0.25">
      <c r="A477" t="s">
        <v>7</v>
      </c>
      <c r="B477" t="s">
        <v>566</v>
      </c>
      <c r="C477" t="s">
        <v>920</v>
      </c>
      <c r="D477" t="s">
        <v>920</v>
      </c>
      <c r="E477" t="s">
        <v>1334</v>
      </c>
      <c r="F477" t="s">
        <v>571</v>
      </c>
      <c r="G477" s="204"/>
      <c r="H477">
        <v>20</v>
      </c>
      <c r="I477">
        <v>829</v>
      </c>
      <c r="L477">
        <v>160</v>
      </c>
      <c r="M477">
        <v>7455.1999999999989</v>
      </c>
      <c r="N477">
        <v>0</v>
      </c>
      <c r="O477">
        <v>0</v>
      </c>
      <c r="P477">
        <v>0</v>
      </c>
      <c r="Q477">
        <v>160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7" x14ac:dyDescent="0.25">
      <c r="A478" t="s">
        <v>508</v>
      </c>
      <c r="B478" t="s">
        <v>562</v>
      </c>
      <c r="C478" t="s">
        <v>555</v>
      </c>
      <c r="D478" t="s">
        <v>600</v>
      </c>
      <c r="E478" t="s">
        <v>1434</v>
      </c>
      <c r="F478" t="s">
        <v>571</v>
      </c>
      <c r="G478" s="204"/>
      <c r="H478">
        <v>30</v>
      </c>
      <c r="I478">
        <v>11942.2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7" x14ac:dyDescent="0.25">
      <c r="A479" t="s">
        <v>1531</v>
      </c>
      <c r="B479" t="s">
        <v>562</v>
      </c>
      <c r="C479" t="s">
        <v>1860</v>
      </c>
      <c r="D479" t="s">
        <v>1871</v>
      </c>
      <c r="E479" t="s">
        <v>1706</v>
      </c>
      <c r="F479" t="s">
        <v>571</v>
      </c>
      <c r="G479" s="204"/>
      <c r="H479">
        <v>8</v>
      </c>
      <c r="I479">
        <v>3708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7" x14ac:dyDescent="0.25">
      <c r="A480" t="s">
        <v>1531</v>
      </c>
      <c r="B480" t="s">
        <v>562</v>
      </c>
      <c r="C480" t="s">
        <v>1860</v>
      </c>
      <c r="D480" t="s">
        <v>1871</v>
      </c>
      <c r="E480" t="s">
        <v>1707</v>
      </c>
      <c r="F480" t="s">
        <v>571</v>
      </c>
      <c r="G480" s="204"/>
      <c r="J480">
        <v>92</v>
      </c>
      <c r="K480">
        <v>0.01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7" x14ac:dyDescent="0.25">
      <c r="A481" t="s">
        <v>1600</v>
      </c>
      <c r="B481" t="s">
        <v>562</v>
      </c>
      <c r="C481" t="s">
        <v>1860</v>
      </c>
      <c r="D481" t="s">
        <v>1872</v>
      </c>
      <c r="E481" t="s">
        <v>1708</v>
      </c>
      <c r="F481" t="s">
        <v>571</v>
      </c>
      <c r="G481" s="204"/>
      <c r="H481">
        <v>3</v>
      </c>
      <c r="I481">
        <v>42661.5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7" x14ac:dyDescent="0.25">
      <c r="A482" t="s">
        <v>934</v>
      </c>
      <c r="B482" t="s">
        <v>565</v>
      </c>
      <c r="C482" t="s">
        <v>569</v>
      </c>
      <c r="D482" t="s">
        <v>956</v>
      </c>
      <c r="E482" t="s">
        <v>1435</v>
      </c>
      <c r="F482" t="s">
        <v>571</v>
      </c>
      <c r="G482" s="204"/>
      <c r="J482">
        <v>5</v>
      </c>
      <c r="K482">
        <v>3568.75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7" x14ac:dyDescent="0.25">
      <c r="A483" t="s">
        <v>934</v>
      </c>
      <c r="B483" t="s">
        <v>565</v>
      </c>
      <c r="C483" t="s">
        <v>569</v>
      </c>
      <c r="D483" t="s">
        <v>956</v>
      </c>
      <c r="E483" t="s">
        <v>1173</v>
      </c>
      <c r="F483" t="s">
        <v>571</v>
      </c>
      <c r="G483" s="204"/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T483">
        <v>0</v>
      </c>
      <c r="U483">
        <v>0</v>
      </c>
      <c r="V483">
        <v>49</v>
      </c>
      <c r="W483">
        <v>38471.370000000003</v>
      </c>
      <c r="X483">
        <v>49</v>
      </c>
      <c r="Y483">
        <v>49</v>
      </c>
      <c r="Z483">
        <v>38471.370000000003</v>
      </c>
      <c r="AA483">
        <v>785.13000000000011</v>
      </c>
    </row>
    <row r="484" spans="1:27" x14ac:dyDescent="0.25">
      <c r="A484" t="s">
        <v>1601</v>
      </c>
      <c r="B484" t="s">
        <v>562</v>
      </c>
      <c r="C484" t="s">
        <v>1858</v>
      </c>
      <c r="D484" t="s">
        <v>582</v>
      </c>
      <c r="E484" t="s">
        <v>1709</v>
      </c>
      <c r="F484" t="s">
        <v>571</v>
      </c>
      <c r="G484" s="204"/>
      <c r="J484">
        <v>10</v>
      </c>
      <c r="K484">
        <v>6997.74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7" x14ac:dyDescent="0.25">
      <c r="A485" t="s">
        <v>1601</v>
      </c>
      <c r="B485" t="s">
        <v>562</v>
      </c>
      <c r="C485" t="s">
        <v>1858</v>
      </c>
      <c r="D485" t="s">
        <v>582</v>
      </c>
      <c r="E485" t="s">
        <v>1435</v>
      </c>
      <c r="F485" t="s">
        <v>571</v>
      </c>
      <c r="G485" s="204"/>
      <c r="H485">
        <v>26</v>
      </c>
      <c r="I485">
        <v>16224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7" x14ac:dyDescent="0.25">
      <c r="A486" t="s">
        <v>33</v>
      </c>
      <c r="B486" t="s">
        <v>566</v>
      </c>
      <c r="C486" t="s">
        <v>920</v>
      </c>
      <c r="D486" t="s">
        <v>920</v>
      </c>
      <c r="E486" t="s">
        <v>1268</v>
      </c>
      <c r="F486" t="s">
        <v>571</v>
      </c>
      <c r="G486" s="204"/>
      <c r="L486">
        <v>809</v>
      </c>
      <c r="M486">
        <v>28509.16</v>
      </c>
      <c r="N486">
        <v>600</v>
      </c>
      <c r="O486">
        <v>21144</v>
      </c>
      <c r="P486">
        <v>600</v>
      </c>
      <c r="Q486">
        <v>1409</v>
      </c>
      <c r="T486">
        <v>0</v>
      </c>
      <c r="U486">
        <v>0</v>
      </c>
      <c r="V486">
        <v>170</v>
      </c>
      <c r="W486">
        <v>5990.8</v>
      </c>
      <c r="X486">
        <v>170</v>
      </c>
      <c r="Y486">
        <v>170</v>
      </c>
      <c r="Z486">
        <v>5990.8</v>
      </c>
      <c r="AA486">
        <v>35.24</v>
      </c>
    </row>
    <row r="487" spans="1:27" x14ac:dyDescent="0.25">
      <c r="A487" t="s">
        <v>1602</v>
      </c>
      <c r="B487" t="s">
        <v>562</v>
      </c>
      <c r="C487" t="s">
        <v>1858</v>
      </c>
      <c r="D487" t="s">
        <v>582</v>
      </c>
      <c r="E487" t="s">
        <v>1710</v>
      </c>
      <c r="F487" t="s">
        <v>571</v>
      </c>
      <c r="G487" s="204"/>
      <c r="H487">
        <v>20</v>
      </c>
      <c r="I487">
        <v>6661.6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7" x14ac:dyDescent="0.25">
      <c r="A488" t="s">
        <v>1398</v>
      </c>
      <c r="B488" t="s">
        <v>565</v>
      </c>
      <c r="C488" t="s">
        <v>1858</v>
      </c>
      <c r="D488" t="s">
        <v>582</v>
      </c>
      <c r="E488" t="s">
        <v>1331</v>
      </c>
      <c r="F488" t="s">
        <v>571</v>
      </c>
      <c r="G488" s="204"/>
      <c r="J488">
        <v>1</v>
      </c>
      <c r="K488">
        <v>697.58</v>
      </c>
      <c r="L488">
        <v>8</v>
      </c>
      <c r="M488">
        <v>5724.16</v>
      </c>
      <c r="N488">
        <v>0</v>
      </c>
      <c r="O488">
        <v>0</v>
      </c>
      <c r="P488">
        <v>0</v>
      </c>
      <c r="Q488">
        <v>8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7" x14ac:dyDescent="0.25">
      <c r="A489" t="s">
        <v>704</v>
      </c>
      <c r="B489" t="s">
        <v>565</v>
      </c>
      <c r="C489" t="s">
        <v>1858</v>
      </c>
      <c r="D489" t="s">
        <v>625</v>
      </c>
      <c r="E489" t="s">
        <v>1335</v>
      </c>
      <c r="F489" t="s">
        <v>571</v>
      </c>
      <c r="G489" s="204"/>
      <c r="H489">
        <v>250</v>
      </c>
      <c r="I489">
        <v>50860</v>
      </c>
      <c r="K489">
        <v>68725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7" x14ac:dyDescent="0.25">
      <c r="A490" t="s">
        <v>14</v>
      </c>
      <c r="B490" t="s">
        <v>566</v>
      </c>
      <c r="C490" t="s">
        <v>564</v>
      </c>
      <c r="D490" t="s">
        <v>629</v>
      </c>
      <c r="E490" t="s">
        <v>1445</v>
      </c>
      <c r="F490" t="s">
        <v>571</v>
      </c>
      <c r="G490" s="204"/>
      <c r="L490">
        <v>4750</v>
      </c>
      <c r="M490">
        <v>80750</v>
      </c>
      <c r="N490">
        <v>0</v>
      </c>
      <c r="O490">
        <v>0</v>
      </c>
      <c r="P490">
        <v>0</v>
      </c>
      <c r="Q490">
        <v>4750</v>
      </c>
      <c r="R490">
        <v>80750</v>
      </c>
      <c r="S490">
        <v>17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7" x14ac:dyDescent="0.25">
      <c r="A491" t="s">
        <v>371</v>
      </c>
      <c r="B491" t="s">
        <v>562</v>
      </c>
      <c r="C491" t="s">
        <v>1858</v>
      </c>
      <c r="D491" t="s">
        <v>579</v>
      </c>
      <c r="E491" t="s">
        <v>1188</v>
      </c>
      <c r="F491" t="s">
        <v>571</v>
      </c>
      <c r="G491" s="204"/>
      <c r="J491">
        <v>479</v>
      </c>
      <c r="K491">
        <v>62979.9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7" x14ac:dyDescent="0.25">
      <c r="A492" t="s">
        <v>10</v>
      </c>
      <c r="B492" t="s">
        <v>554</v>
      </c>
      <c r="C492" t="s">
        <v>564</v>
      </c>
      <c r="D492" t="s">
        <v>744</v>
      </c>
      <c r="E492" t="s">
        <v>1348</v>
      </c>
      <c r="F492" t="s">
        <v>571</v>
      </c>
      <c r="G492" s="204"/>
      <c r="L492">
        <v>55</v>
      </c>
      <c r="M492">
        <v>110000</v>
      </c>
      <c r="N492">
        <v>0</v>
      </c>
      <c r="O492">
        <v>0</v>
      </c>
      <c r="P492">
        <v>0</v>
      </c>
      <c r="Q492">
        <v>55</v>
      </c>
      <c r="R492">
        <v>110000</v>
      </c>
      <c r="S492">
        <v>2000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7" x14ac:dyDescent="0.25">
      <c r="A493" t="s">
        <v>452</v>
      </c>
      <c r="B493" t="s">
        <v>566</v>
      </c>
      <c r="C493" t="s">
        <v>920</v>
      </c>
      <c r="D493" t="s">
        <v>920</v>
      </c>
      <c r="E493" t="s">
        <v>1425</v>
      </c>
      <c r="F493" t="s">
        <v>571</v>
      </c>
      <c r="G493" s="204"/>
      <c r="L493">
        <v>4</v>
      </c>
      <c r="M493">
        <v>0</v>
      </c>
      <c r="N493">
        <v>0</v>
      </c>
      <c r="O493">
        <v>0</v>
      </c>
      <c r="P493">
        <v>0</v>
      </c>
      <c r="Q493">
        <v>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7" x14ac:dyDescent="0.25">
      <c r="A494" t="s">
        <v>705</v>
      </c>
      <c r="B494" t="s">
        <v>562</v>
      </c>
      <c r="C494" t="s">
        <v>555</v>
      </c>
      <c r="D494" t="s">
        <v>600</v>
      </c>
      <c r="E494" t="s">
        <v>1434</v>
      </c>
      <c r="F494" t="s">
        <v>571</v>
      </c>
      <c r="G494" s="204"/>
      <c r="J494">
        <v>3</v>
      </c>
      <c r="K494">
        <v>7500</v>
      </c>
      <c r="L494">
        <v>4</v>
      </c>
      <c r="M494">
        <v>12439.12</v>
      </c>
      <c r="N494">
        <v>0</v>
      </c>
      <c r="O494">
        <v>0</v>
      </c>
      <c r="P494">
        <v>0</v>
      </c>
      <c r="Q494">
        <v>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7" x14ac:dyDescent="0.25">
      <c r="A495" t="s">
        <v>25</v>
      </c>
      <c r="B495" t="s">
        <v>566</v>
      </c>
      <c r="C495" t="s">
        <v>920</v>
      </c>
      <c r="D495" t="s">
        <v>920</v>
      </c>
      <c r="E495" t="s">
        <v>1425</v>
      </c>
      <c r="F495" t="s">
        <v>571</v>
      </c>
      <c r="G495" s="204"/>
      <c r="L495">
        <v>4</v>
      </c>
      <c r="M495">
        <v>0</v>
      </c>
      <c r="N495">
        <v>0</v>
      </c>
      <c r="O495">
        <v>0</v>
      </c>
      <c r="P495">
        <v>0</v>
      </c>
      <c r="Q495">
        <v>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7" x14ac:dyDescent="0.25">
      <c r="A496" t="s">
        <v>261</v>
      </c>
      <c r="B496" t="s">
        <v>554</v>
      </c>
      <c r="C496" t="s">
        <v>1858</v>
      </c>
      <c r="D496" t="s">
        <v>579</v>
      </c>
      <c r="E496" t="s">
        <v>1188</v>
      </c>
      <c r="F496" t="s">
        <v>571</v>
      </c>
      <c r="G496" s="204"/>
      <c r="L496">
        <v>250</v>
      </c>
      <c r="M496">
        <v>62500</v>
      </c>
      <c r="N496">
        <v>0</v>
      </c>
      <c r="O496">
        <v>0</v>
      </c>
      <c r="P496">
        <v>0</v>
      </c>
      <c r="Q496">
        <v>250</v>
      </c>
      <c r="R496">
        <v>62500</v>
      </c>
      <c r="S496">
        <v>250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7" x14ac:dyDescent="0.25">
      <c r="A497" t="s">
        <v>411</v>
      </c>
      <c r="B497" t="s">
        <v>556</v>
      </c>
      <c r="C497" t="s">
        <v>555</v>
      </c>
      <c r="D497" t="s">
        <v>631</v>
      </c>
      <c r="E497" t="s">
        <v>1267</v>
      </c>
      <c r="F497" t="s">
        <v>571</v>
      </c>
      <c r="G497" s="204"/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T497">
        <v>0</v>
      </c>
      <c r="U497">
        <v>0</v>
      </c>
      <c r="V497">
        <v>225</v>
      </c>
      <c r="W497">
        <v>12195</v>
      </c>
      <c r="X497">
        <v>225</v>
      </c>
      <c r="Y497">
        <v>225</v>
      </c>
      <c r="Z497">
        <v>12195</v>
      </c>
      <c r="AA497">
        <v>54.2</v>
      </c>
    </row>
    <row r="498" spans="1:27" x14ac:dyDescent="0.25">
      <c r="A498" t="s">
        <v>63</v>
      </c>
      <c r="B498" t="s">
        <v>566</v>
      </c>
      <c r="C498" t="s">
        <v>920</v>
      </c>
      <c r="D498" t="s">
        <v>920</v>
      </c>
      <c r="E498" t="s">
        <v>1482</v>
      </c>
      <c r="F498" t="s">
        <v>571</v>
      </c>
      <c r="G498" s="204"/>
      <c r="L498">
        <v>6</v>
      </c>
      <c r="M498">
        <v>685.62</v>
      </c>
      <c r="N498">
        <v>0</v>
      </c>
      <c r="O498">
        <v>0</v>
      </c>
      <c r="P498">
        <v>0</v>
      </c>
      <c r="Q498">
        <v>6</v>
      </c>
      <c r="R498">
        <v>685.62</v>
      </c>
      <c r="S498">
        <v>114.27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7" x14ac:dyDescent="0.25">
      <c r="A499" t="s">
        <v>1538</v>
      </c>
      <c r="B499" t="s">
        <v>562</v>
      </c>
      <c r="C499" t="s">
        <v>1860</v>
      </c>
      <c r="D499" t="s">
        <v>1873</v>
      </c>
      <c r="E499" t="s">
        <v>1336</v>
      </c>
      <c r="F499" t="s">
        <v>578</v>
      </c>
      <c r="G499" s="204">
        <v>46477</v>
      </c>
      <c r="H499">
        <v>40</v>
      </c>
      <c r="I499">
        <v>104931.6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7" x14ac:dyDescent="0.25">
      <c r="A500" t="s">
        <v>1603</v>
      </c>
      <c r="B500" t="s">
        <v>554</v>
      </c>
      <c r="C500" t="s">
        <v>564</v>
      </c>
      <c r="D500" t="s">
        <v>1874</v>
      </c>
      <c r="E500" t="s">
        <v>1711</v>
      </c>
      <c r="F500" t="s">
        <v>571</v>
      </c>
      <c r="G500" s="204"/>
      <c r="J500">
        <v>500</v>
      </c>
      <c r="K500">
        <v>30645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7" x14ac:dyDescent="0.25">
      <c r="A501" t="s">
        <v>77</v>
      </c>
      <c r="B501" t="s">
        <v>567</v>
      </c>
      <c r="C501" t="s">
        <v>920</v>
      </c>
      <c r="D501" t="s">
        <v>920</v>
      </c>
      <c r="E501" t="s">
        <v>1280</v>
      </c>
      <c r="F501" t="s">
        <v>571</v>
      </c>
      <c r="G501" s="204"/>
      <c r="L501">
        <v>3008</v>
      </c>
      <c r="M501">
        <v>62265.599999999999</v>
      </c>
      <c r="N501">
        <v>0</v>
      </c>
      <c r="O501">
        <v>0</v>
      </c>
      <c r="P501">
        <v>0</v>
      </c>
      <c r="Q501">
        <v>3008</v>
      </c>
      <c r="R501">
        <v>62265.599999999999</v>
      </c>
      <c r="S501">
        <v>20.7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7" x14ac:dyDescent="0.25">
      <c r="A502" t="s">
        <v>449</v>
      </c>
      <c r="B502" t="s">
        <v>566</v>
      </c>
      <c r="C502" t="s">
        <v>920</v>
      </c>
      <c r="D502" t="s">
        <v>920</v>
      </c>
      <c r="E502" t="s">
        <v>1449</v>
      </c>
      <c r="F502" t="s">
        <v>571</v>
      </c>
      <c r="G502" s="204"/>
      <c r="L502">
        <v>18</v>
      </c>
      <c r="M502">
        <v>862.98</v>
      </c>
      <c r="N502">
        <v>0</v>
      </c>
      <c r="O502">
        <v>0</v>
      </c>
      <c r="P502">
        <v>0</v>
      </c>
      <c r="Q502">
        <v>18</v>
      </c>
      <c r="R502">
        <v>862.98</v>
      </c>
      <c r="S502">
        <v>47.943333333333335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7" x14ac:dyDescent="0.25">
      <c r="A503" t="s">
        <v>449</v>
      </c>
      <c r="B503" t="s">
        <v>566</v>
      </c>
      <c r="C503" t="s">
        <v>920</v>
      </c>
      <c r="D503" t="s">
        <v>920</v>
      </c>
      <c r="E503" t="s">
        <v>1330</v>
      </c>
      <c r="F503" t="s">
        <v>571</v>
      </c>
      <c r="G503" s="204"/>
      <c r="H503">
        <v>250</v>
      </c>
      <c r="I503">
        <v>1542.5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7" x14ac:dyDescent="0.25">
      <c r="A504" t="s">
        <v>11</v>
      </c>
      <c r="B504" t="s">
        <v>566</v>
      </c>
      <c r="C504" t="s">
        <v>920</v>
      </c>
      <c r="D504" t="s">
        <v>920</v>
      </c>
      <c r="E504" t="s">
        <v>1334</v>
      </c>
      <c r="F504" t="s">
        <v>571</v>
      </c>
      <c r="G504" s="204"/>
      <c r="J504">
        <v>24</v>
      </c>
      <c r="K504">
        <v>1264.56</v>
      </c>
      <c r="L504">
        <v>44</v>
      </c>
      <c r="M504">
        <v>2413.4</v>
      </c>
      <c r="N504">
        <v>0</v>
      </c>
      <c r="O504">
        <v>0</v>
      </c>
      <c r="P504">
        <v>0</v>
      </c>
      <c r="Q504">
        <v>44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7" x14ac:dyDescent="0.25">
      <c r="A505" t="s">
        <v>449</v>
      </c>
      <c r="B505" t="s">
        <v>566</v>
      </c>
      <c r="C505" t="s">
        <v>920</v>
      </c>
      <c r="D505" t="s">
        <v>920</v>
      </c>
      <c r="E505" t="s">
        <v>1334</v>
      </c>
      <c r="F505" t="s">
        <v>571</v>
      </c>
      <c r="G505" s="204"/>
      <c r="L505">
        <v>16</v>
      </c>
      <c r="M505">
        <v>774.56</v>
      </c>
      <c r="N505">
        <v>0</v>
      </c>
      <c r="O505">
        <v>0</v>
      </c>
      <c r="P505">
        <v>0</v>
      </c>
      <c r="Q505">
        <v>16</v>
      </c>
      <c r="R505">
        <v>774.56</v>
      </c>
      <c r="S505">
        <v>48.41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7" x14ac:dyDescent="0.25">
      <c r="A506" t="s">
        <v>449</v>
      </c>
      <c r="B506" t="s">
        <v>566</v>
      </c>
      <c r="C506" t="s">
        <v>920</v>
      </c>
      <c r="D506" t="s">
        <v>920</v>
      </c>
      <c r="E506" t="s">
        <v>1454</v>
      </c>
      <c r="F506" t="s">
        <v>571</v>
      </c>
      <c r="G506" s="204"/>
      <c r="L506">
        <v>10</v>
      </c>
      <c r="M506">
        <v>499.1</v>
      </c>
      <c r="N506">
        <v>0</v>
      </c>
      <c r="O506">
        <v>0</v>
      </c>
      <c r="P506">
        <v>0</v>
      </c>
      <c r="Q506">
        <v>10</v>
      </c>
      <c r="R506">
        <v>499.1</v>
      </c>
      <c r="S506">
        <v>49.910000000000004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7" x14ac:dyDescent="0.25">
      <c r="A507" t="s">
        <v>449</v>
      </c>
      <c r="B507" t="s">
        <v>566</v>
      </c>
      <c r="C507" t="s">
        <v>920</v>
      </c>
      <c r="D507" t="s">
        <v>920</v>
      </c>
      <c r="E507" t="s">
        <v>1378</v>
      </c>
      <c r="F507" t="s">
        <v>571</v>
      </c>
      <c r="G507" s="204"/>
      <c r="L507">
        <v>5</v>
      </c>
      <c r="M507">
        <v>242.05</v>
      </c>
      <c r="N507">
        <v>0</v>
      </c>
      <c r="O507">
        <v>0</v>
      </c>
      <c r="P507">
        <v>0</v>
      </c>
      <c r="Q507">
        <v>5</v>
      </c>
      <c r="R507">
        <v>242.05</v>
      </c>
      <c r="S507">
        <v>48.410000000000004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7" x14ac:dyDescent="0.25">
      <c r="A508" t="s">
        <v>117</v>
      </c>
      <c r="B508" t="s">
        <v>567</v>
      </c>
      <c r="C508" t="s">
        <v>920</v>
      </c>
      <c r="D508" t="s">
        <v>920</v>
      </c>
      <c r="E508" t="s">
        <v>1266</v>
      </c>
      <c r="F508" t="s">
        <v>571</v>
      </c>
      <c r="G508" s="204"/>
      <c r="H508">
        <v>50</v>
      </c>
      <c r="I508">
        <v>1485</v>
      </c>
      <c r="L508">
        <v>500</v>
      </c>
      <c r="M508">
        <v>11230</v>
      </c>
      <c r="N508">
        <v>0</v>
      </c>
      <c r="O508">
        <v>0</v>
      </c>
      <c r="P508">
        <v>0</v>
      </c>
      <c r="Q508">
        <v>500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7" x14ac:dyDescent="0.25">
      <c r="A509" t="s">
        <v>5</v>
      </c>
      <c r="B509" t="s">
        <v>566</v>
      </c>
      <c r="C509" t="s">
        <v>920</v>
      </c>
      <c r="D509" t="s">
        <v>920</v>
      </c>
      <c r="E509" t="s">
        <v>1330</v>
      </c>
      <c r="F509" t="s">
        <v>571</v>
      </c>
      <c r="G509" s="204"/>
      <c r="H509">
        <v>500</v>
      </c>
      <c r="I509">
        <v>4190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7" x14ac:dyDescent="0.25">
      <c r="A510" t="s">
        <v>5</v>
      </c>
      <c r="B510" t="s">
        <v>566</v>
      </c>
      <c r="C510" t="s">
        <v>920</v>
      </c>
      <c r="D510" t="s">
        <v>920</v>
      </c>
      <c r="E510" t="s">
        <v>1266</v>
      </c>
      <c r="F510" t="s">
        <v>571</v>
      </c>
      <c r="G510" s="204"/>
      <c r="L510">
        <v>500</v>
      </c>
      <c r="M510">
        <v>4990</v>
      </c>
      <c r="N510">
        <v>0</v>
      </c>
      <c r="O510">
        <v>0</v>
      </c>
      <c r="P510">
        <v>0</v>
      </c>
      <c r="Q510">
        <v>500</v>
      </c>
      <c r="R510">
        <v>4990</v>
      </c>
      <c r="S510">
        <v>9.98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7" x14ac:dyDescent="0.25">
      <c r="A511" t="s">
        <v>9</v>
      </c>
      <c r="B511" t="s">
        <v>566</v>
      </c>
      <c r="C511" t="s">
        <v>920</v>
      </c>
      <c r="D511" t="s">
        <v>920</v>
      </c>
      <c r="E511" t="s">
        <v>1381</v>
      </c>
      <c r="F511" t="s">
        <v>571</v>
      </c>
      <c r="G511" s="204"/>
      <c r="L511">
        <v>2</v>
      </c>
      <c r="M511">
        <v>104.24</v>
      </c>
      <c r="N511">
        <v>0</v>
      </c>
      <c r="O511">
        <v>0</v>
      </c>
      <c r="P511">
        <v>0</v>
      </c>
      <c r="Q511">
        <v>2</v>
      </c>
      <c r="R511">
        <v>104.24</v>
      </c>
      <c r="S511">
        <v>52.12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7" x14ac:dyDescent="0.25">
      <c r="A512" t="s">
        <v>7</v>
      </c>
      <c r="B512" t="s">
        <v>566</v>
      </c>
      <c r="C512" t="s">
        <v>920</v>
      </c>
      <c r="D512" t="s">
        <v>920</v>
      </c>
      <c r="E512" t="s">
        <v>1152</v>
      </c>
      <c r="F512" t="s">
        <v>571</v>
      </c>
      <c r="G512" s="204"/>
      <c r="H512">
        <v>10</v>
      </c>
      <c r="I512">
        <v>500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15</v>
      </c>
      <c r="B513" t="s">
        <v>566</v>
      </c>
      <c r="C513" t="s">
        <v>920</v>
      </c>
      <c r="D513" t="s">
        <v>920</v>
      </c>
      <c r="E513" t="s">
        <v>1381</v>
      </c>
      <c r="F513" t="s">
        <v>571</v>
      </c>
      <c r="G513" s="204"/>
      <c r="L513">
        <v>2</v>
      </c>
      <c r="M513">
        <v>142.08000000000001</v>
      </c>
      <c r="N513">
        <v>0</v>
      </c>
      <c r="O513">
        <v>0</v>
      </c>
      <c r="P513">
        <v>0</v>
      </c>
      <c r="Q513">
        <v>2</v>
      </c>
      <c r="R513">
        <v>142.08000000000001</v>
      </c>
      <c r="S513">
        <v>71.040000000000006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7</v>
      </c>
      <c r="B514" t="s">
        <v>566</v>
      </c>
      <c r="C514" t="s">
        <v>920</v>
      </c>
      <c r="D514" t="s">
        <v>920</v>
      </c>
      <c r="E514" t="s">
        <v>1339</v>
      </c>
      <c r="F514" t="s">
        <v>571</v>
      </c>
      <c r="G514" s="204"/>
      <c r="L514">
        <v>10</v>
      </c>
      <c r="M514">
        <v>498.1</v>
      </c>
      <c r="N514">
        <v>0</v>
      </c>
      <c r="O514">
        <v>0</v>
      </c>
      <c r="P514">
        <v>0</v>
      </c>
      <c r="Q514">
        <v>10</v>
      </c>
      <c r="R514">
        <v>498.1</v>
      </c>
      <c r="S514">
        <v>49.81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7</v>
      </c>
      <c r="B515" t="s">
        <v>566</v>
      </c>
      <c r="C515" t="s">
        <v>920</v>
      </c>
      <c r="D515" t="s">
        <v>920</v>
      </c>
      <c r="E515" t="s">
        <v>1330</v>
      </c>
      <c r="F515" t="s">
        <v>571</v>
      </c>
      <c r="G515" s="204"/>
      <c r="H515">
        <v>1000</v>
      </c>
      <c r="I515">
        <v>6320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7</v>
      </c>
      <c r="B516" t="s">
        <v>566</v>
      </c>
      <c r="C516" t="s">
        <v>920</v>
      </c>
      <c r="D516" t="s">
        <v>920</v>
      </c>
      <c r="E516" t="s">
        <v>1449</v>
      </c>
      <c r="F516" t="s">
        <v>571</v>
      </c>
      <c r="G516" s="204"/>
      <c r="H516">
        <v>50</v>
      </c>
      <c r="I516">
        <v>2010.5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7</v>
      </c>
      <c r="B517" t="s">
        <v>566</v>
      </c>
      <c r="C517" t="s">
        <v>920</v>
      </c>
      <c r="D517" t="s">
        <v>920</v>
      </c>
      <c r="E517" t="s">
        <v>1419</v>
      </c>
      <c r="F517" t="s">
        <v>571</v>
      </c>
      <c r="G517" s="204"/>
      <c r="J517">
        <v>7</v>
      </c>
      <c r="K517">
        <v>332.08</v>
      </c>
      <c r="L517">
        <v>20</v>
      </c>
      <c r="M517">
        <v>972.5</v>
      </c>
      <c r="N517">
        <v>0</v>
      </c>
      <c r="O517">
        <v>0</v>
      </c>
      <c r="P517">
        <v>0</v>
      </c>
      <c r="Q517">
        <v>20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7</v>
      </c>
      <c r="B518" t="s">
        <v>566</v>
      </c>
      <c r="C518" t="s">
        <v>920</v>
      </c>
      <c r="D518" t="s">
        <v>920</v>
      </c>
      <c r="E518" t="s">
        <v>1437</v>
      </c>
      <c r="F518" t="s">
        <v>571</v>
      </c>
      <c r="G518" s="204"/>
      <c r="L518">
        <v>1</v>
      </c>
      <c r="M518">
        <v>49.81</v>
      </c>
      <c r="N518">
        <v>0</v>
      </c>
      <c r="O518">
        <v>0</v>
      </c>
      <c r="P518">
        <v>0</v>
      </c>
      <c r="Q518">
        <v>1</v>
      </c>
      <c r="R518">
        <v>49.81</v>
      </c>
      <c r="S518">
        <v>49.81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33</v>
      </c>
      <c r="B519" t="s">
        <v>566</v>
      </c>
      <c r="C519" t="s">
        <v>920</v>
      </c>
      <c r="D519" t="s">
        <v>920</v>
      </c>
      <c r="E519" t="s">
        <v>1477</v>
      </c>
      <c r="F519" t="s">
        <v>571</v>
      </c>
      <c r="G519" s="204"/>
      <c r="L519">
        <v>16</v>
      </c>
      <c r="M519">
        <v>1464</v>
      </c>
      <c r="N519">
        <v>0</v>
      </c>
      <c r="O519">
        <v>0</v>
      </c>
      <c r="P519">
        <v>0</v>
      </c>
      <c r="Q519">
        <v>16</v>
      </c>
      <c r="R519">
        <v>1464</v>
      </c>
      <c r="S519">
        <v>91.5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7</v>
      </c>
      <c r="B520" t="s">
        <v>566</v>
      </c>
      <c r="C520" t="s">
        <v>920</v>
      </c>
      <c r="D520" t="s">
        <v>920</v>
      </c>
      <c r="E520" t="s">
        <v>1502</v>
      </c>
      <c r="F520" t="s">
        <v>571</v>
      </c>
      <c r="G520" s="204"/>
      <c r="L520">
        <v>178</v>
      </c>
      <c r="M520">
        <v>1961.56</v>
      </c>
      <c r="N520">
        <v>0</v>
      </c>
      <c r="O520">
        <v>0</v>
      </c>
      <c r="P520">
        <v>0</v>
      </c>
      <c r="Q520">
        <v>178</v>
      </c>
      <c r="R520">
        <v>1961.56</v>
      </c>
      <c r="S520">
        <v>11.02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7</v>
      </c>
      <c r="B521" t="s">
        <v>566</v>
      </c>
      <c r="C521" t="s">
        <v>920</v>
      </c>
      <c r="D521" t="s">
        <v>920</v>
      </c>
      <c r="E521" t="s">
        <v>1138</v>
      </c>
      <c r="F521" t="s">
        <v>571</v>
      </c>
      <c r="G521" s="204"/>
      <c r="J521">
        <v>100</v>
      </c>
      <c r="K521">
        <v>897</v>
      </c>
      <c r="L521">
        <v>0</v>
      </c>
      <c r="M521">
        <v>0</v>
      </c>
      <c r="N521">
        <v>200</v>
      </c>
      <c r="O521">
        <v>2004</v>
      </c>
      <c r="P521">
        <v>200</v>
      </c>
      <c r="Q521">
        <v>200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7</v>
      </c>
      <c r="B522" t="s">
        <v>566</v>
      </c>
      <c r="C522" t="s">
        <v>920</v>
      </c>
      <c r="D522" t="s">
        <v>920</v>
      </c>
      <c r="E522" t="s">
        <v>1216</v>
      </c>
      <c r="F522" t="s">
        <v>571</v>
      </c>
      <c r="G522" s="204"/>
      <c r="L522">
        <v>0</v>
      </c>
      <c r="M522">
        <v>0</v>
      </c>
      <c r="N522">
        <v>800</v>
      </c>
      <c r="O522">
        <v>7128</v>
      </c>
      <c r="P522">
        <v>800</v>
      </c>
      <c r="Q522">
        <v>800</v>
      </c>
      <c r="R522">
        <v>7128</v>
      </c>
      <c r="S522">
        <v>8.91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97</v>
      </c>
      <c r="B523" t="s">
        <v>566</v>
      </c>
      <c r="C523" t="s">
        <v>920</v>
      </c>
      <c r="D523" t="s">
        <v>920</v>
      </c>
      <c r="E523" t="s">
        <v>1266</v>
      </c>
      <c r="F523" t="s">
        <v>571</v>
      </c>
      <c r="G523" s="204"/>
      <c r="H523">
        <v>3000</v>
      </c>
      <c r="I523">
        <v>22290</v>
      </c>
      <c r="L523">
        <v>4000</v>
      </c>
      <c r="M523">
        <v>33680</v>
      </c>
      <c r="N523">
        <v>1000</v>
      </c>
      <c r="O523">
        <v>8420</v>
      </c>
      <c r="P523">
        <v>1000</v>
      </c>
      <c r="Q523">
        <v>5000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7</v>
      </c>
      <c r="B524" t="s">
        <v>566</v>
      </c>
      <c r="C524" t="s">
        <v>920</v>
      </c>
      <c r="D524" t="s">
        <v>920</v>
      </c>
      <c r="E524" t="s">
        <v>1712</v>
      </c>
      <c r="F524" t="s">
        <v>571</v>
      </c>
      <c r="G524" s="204"/>
      <c r="H524">
        <v>170</v>
      </c>
      <c r="I524">
        <v>1649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1528</v>
      </c>
      <c r="B525" t="s">
        <v>566</v>
      </c>
      <c r="C525" t="s">
        <v>920</v>
      </c>
      <c r="D525" t="s">
        <v>920</v>
      </c>
      <c r="E525" t="s">
        <v>1212</v>
      </c>
      <c r="F525" t="s">
        <v>571</v>
      </c>
      <c r="G525" s="204"/>
      <c r="J525">
        <v>236</v>
      </c>
      <c r="K525">
        <v>4059.2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9</v>
      </c>
      <c r="B526" t="s">
        <v>566</v>
      </c>
      <c r="C526" t="s">
        <v>920</v>
      </c>
      <c r="D526" t="s">
        <v>920</v>
      </c>
      <c r="E526" t="s">
        <v>1217</v>
      </c>
      <c r="F526" t="s">
        <v>571</v>
      </c>
      <c r="G526" s="204"/>
      <c r="L526">
        <v>0</v>
      </c>
      <c r="M526">
        <v>0</v>
      </c>
      <c r="N526">
        <v>500</v>
      </c>
      <c r="O526">
        <v>4825</v>
      </c>
      <c r="P526">
        <v>500</v>
      </c>
      <c r="Q526">
        <v>500</v>
      </c>
      <c r="R526">
        <v>4825</v>
      </c>
      <c r="S526">
        <v>9.65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453</v>
      </c>
      <c r="B527" t="s">
        <v>566</v>
      </c>
      <c r="C527" t="s">
        <v>920</v>
      </c>
      <c r="D527" t="s">
        <v>920</v>
      </c>
      <c r="E527" t="s">
        <v>1365</v>
      </c>
      <c r="F527" t="s">
        <v>571</v>
      </c>
      <c r="G527" s="204"/>
      <c r="H527">
        <v>100</v>
      </c>
      <c r="I527">
        <v>2430</v>
      </c>
      <c r="L527">
        <v>100</v>
      </c>
      <c r="M527">
        <v>2552</v>
      </c>
      <c r="N527">
        <v>0</v>
      </c>
      <c r="O527">
        <v>0</v>
      </c>
      <c r="P527">
        <v>0</v>
      </c>
      <c r="Q527">
        <v>100</v>
      </c>
      <c r="R527">
        <v>2552</v>
      </c>
      <c r="S527">
        <v>25.52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9</v>
      </c>
      <c r="B528" t="s">
        <v>566</v>
      </c>
      <c r="C528" t="s">
        <v>920</v>
      </c>
      <c r="D528" t="s">
        <v>920</v>
      </c>
      <c r="E528" t="s">
        <v>1330</v>
      </c>
      <c r="F528" t="s">
        <v>571</v>
      </c>
      <c r="G528" s="204"/>
      <c r="L528">
        <v>250</v>
      </c>
      <c r="M528">
        <v>2342.5</v>
      </c>
      <c r="N528">
        <v>0</v>
      </c>
      <c r="O528">
        <v>0</v>
      </c>
      <c r="P528">
        <v>0</v>
      </c>
      <c r="Q528">
        <v>250</v>
      </c>
      <c r="R528">
        <v>2342.5</v>
      </c>
      <c r="S528">
        <v>9.3699999999999992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9</v>
      </c>
      <c r="B529" t="s">
        <v>566</v>
      </c>
      <c r="C529" t="s">
        <v>920</v>
      </c>
      <c r="D529" t="s">
        <v>920</v>
      </c>
      <c r="E529" t="s">
        <v>1378</v>
      </c>
      <c r="F529" t="s">
        <v>571</v>
      </c>
      <c r="G529" s="204"/>
      <c r="H529">
        <v>4</v>
      </c>
      <c r="I529">
        <v>176.68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83</v>
      </c>
      <c r="B530" t="s">
        <v>567</v>
      </c>
      <c r="C530" t="s">
        <v>920</v>
      </c>
      <c r="D530" t="s">
        <v>920</v>
      </c>
      <c r="E530" t="s">
        <v>1216</v>
      </c>
      <c r="F530" t="s">
        <v>571</v>
      </c>
      <c r="G530" s="204"/>
      <c r="L530">
        <v>800</v>
      </c>
      <c r="M530">
        <v>14624</v>
      </c>
      <c r="N530">
        <v>0</v>
      </c>
      <c r="O530">
        <v>0</v>
      </c>
      <c r="P530">
        <v>0</v>
      </c>
      <c r="Q530">
        <v>800</v>
      </c>
      <c r="R530">
        <v>14624</v>
      </c>
      <c r="S530">
        <v>18.28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1604</v>
      </c>
      <c r="B531" t="s">
        <v>1031</v>
      </c>
      <c r="C531" t="s">
        <v>920</v>
      </c>
      <c r="D531" t="s">
        <v>920</v>
      </c>
      <c r="E531" t="s">
        <v>1713</v>
      </c>
      <c r="F531" t="s">
        <v>571</v>
      </c>
      <c r="G531" s="204"/>
      <c r="H531">
        <v>16</v>
      </c>
      <c r="I531">
        <v>550.08000000000004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1604</v>
      </c>
      <c r="B532" t="s">
        <v>1031</v>
      </c>
      <c r="C532" t="s">
        <v>920</v>
      </c>
      <c r="D532" t="s">
        <v>920</v>
      </c>
      <c r="E532" t="s">
        <v>1330</v>
      </c>
      <c r="F532" t="s">
        <v>571</v>
      </c>
      <c r="G532" s="204"/>
      <c r="H532">
        <v>50</v>
      </c>
      <c r="I532">
        <v>1323.5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919</v>
      </c>
      <c r="B533" t="s">
        <v>1031</v>
      </c>
      <c r="C533" t="s">
        <v>920</v>
      </c>
      <c r="D533" t="s">
        <v>920</v>
      </c>
      <c r="E533" t="s">
        <v>1504</v>
      </c>
      <c r="F533" t="s">
        <v>571</v>
      </c>
      <c r="G533" s="204"/>
      <c r="L533">
        <v>22</v>
      </c>
      <c r="M533">
        <v>1499.96</v>
      </c>
      <c r="N533">
        <v>0</v>
      </c>
      <c r="O533">
        <v>0</v>
      </c>
      <c r="P533">
        <v>0</v>
      </c>
      <c r="Q533">
        <v>22</v>
      </c>
      <c r="R533">
        <v>1499.96</v>
      </c>
      <c r="S533">
        <v>68.180000000000007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919</v>
      </c>
      <c r="B534" t="s">
        <v>1031</v>
      </c>
      <c r="C534" t="s">
        <v>920</v>
      </c>
      <c r="D534" t="s">
        <v>920</v>
      </c>
      <c r="E534" t="s">
        <v>1216</v>
      </c>
      <c r="F534" t="s">
        <v>571</v>
      </c>
      <c r="G534" s="204"/>
      <c r="H534">
        <v>50</v>
      </c>
      <c r="I534">
        <v>2007.5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11</v>
      </c>
      <c r="B535" t="s">
        <v>566</v>
      </c>
      <c r="C535" t="s">
        <v>920</v>
      </c>
      <c r="D535" t="s">
        <v>920</v>
      </c>
      <c r="E535" t="s">
        <v>1332</v>
      </c>
      <c r="F535" t="s">
        <v>571</v>
      </c>
      <c r="G535" s="204"/>
      <c r="H535">
        <v>20</v>
      </c>
      <c r="I535">
        <v>1006.2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t="s">
        <v>11</v>
      </c>
      <c r="B536" t="s">
        <v>566</v>
      </c>
      <c r="C536" t="s">
        <v>920</v>
      </c>
      <c r="D536" t="s">
        <v>920</v>
      </c>
      <c r="E536" t="s">
        <v>1330</v>
      </c>
      <c r="F536" t="s">
        <v>571</v>
      </c>
      <c r="G536" s="204"/>
      <c r="J536">
        <v>1500</v>
      </c>
      <c r="K536">
        <v>13125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59</v>
      </c>
      <c r="B537" t="s">
        <v>566</v>
      </c>
      <c r="C537" t="s">
        <v>920</v>
      </c>
      <c r="D537" t="s">
        <v>920</v>
      </c>
      <c r="E537" t="s">
        <v>1280</v>
      </c>
      <c r="F537" t="s">
        <v>571</v>
      </c>
      <c r="G537" s="204"/>
      <c r="L537">
        <v>1000</v>
      </c>
      <c r="M537">
        <v>17400</v>
      </c>
      <c r="N537">
        <v>0</v>
      </c>
      <c r="O537">
        <v>0</v>
      </c>
      <c r="P537">
        <v>0</v>
      </c>
      <c r="Q537">
        <v>1000</v>
      </c>
      <c r="R537">
        <v>17400</v>
      </c>
      <c r="S537">
        <v>17.399999999999999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11</v>
      </c>
      <c r="B538" t="s">
        <v>566</v>
      </c>
      <c r="C538" t="s">
        <v>920</v>
      </c>
      <c r="D538" t="s">
        <v>920</v>
      </c>
      <c r="E538" t="s">
        <v>1449</v>
      </c>
      <c r="F538" t="s">
        <v>571</v>
      </c>
      <c r="G538" s="204"/>
      <c r="H538">
        <v>126</v>
      </c>
      <c r="I538">
        <v>5953.68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11</v>
      </c>
      <c r="B539" t="s">
        <v>566</v>
      </c>
      <c r="C539" t="s">
        <v>920</v>
      </c>
      <c r="D539" t="s">
        <v>920</v>
      </c>
      <c r="E539" t="s">
        <v>1714</v>
      </c>
      <c r="F539" t="s">
        <v>571</v>
      </c>
      <c r="G539" s="204"/>
      <c r="H539">
        <v>9</v>
      </c>
      <c r="I539">
        <v>427.14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69</v>
      </c>
      <c r="B540" t="s">
        <v>1031</v>
      </c>
      <c r="C540" t="s">
        <v>920</v>
      </c>
      <c r="D540" t="s">
        <v>920</v>
      </c>
      <c r="E540" t="s">
        <v>1488</v>
      </c>
      <c r="F540" t="s">
        <v>571</v>
      </c>
      <c r="G540" s="204"/>
      <c r="L540">
        <v>260</v>
      </c>
      <c r="M540">
        <v>4303</v>
      </c>
      <c r="N540">
        <v>0</v>
      </c>
      <c r="O540">
        <v>0</v>
      </c>
      <c r="P540">
        <v>0</v>
      </c>
      <c r="Q540">
        <v>260</v>
      </c>
      <c r="R540">
        <v>4303</v>
      </c>
      <c r="S540">
        <v>16.55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11</v>
      </c>
      <c r="B541" t="s">
        <v>566</v>
      </c>
      <c r="C541" t="s">
        <v>920</v>
      </c>
      <c r="D541" t="s">
        <v>920</v>
      </c>
      <c r="E541" t="s">
        <v>1285</v>
      </c>
      <c r="F541" t="s">
        <v>571</v>
      </c>
      <c r="G541" s="204"/>
      <c r="H541">
        <v>8</v>
      </c>
      <c r="I541">
        <v>379.68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67</v>
      </c>
      <c r="B542" t="s">
        <v>567</v>
      </c>
      <c r="C542" t="s">
        <v>920</v>
      </c>
      <c r="D542" t="s">
        <v>920</v>
      </c>
      <c r="E542" t="s">
        <v>1488</v>
      </c>
      <c r="F542" t="s">
        <v>571</v>
      </c>
      <c r="G542" s="204"/>
      <c r="J542">
        <v>31</v>
      </c>
      <c r="K542">
        <v>539.71</v>
      </c>
      <c r="L542">
        <v>853</v>
      </c>
      <c r="M542">
        <v>14850.73</v>
      </c>
      <c r="N542">
        <v>0</v>
      </c>
      <c r="O542">
        <v>0</v>
      </c>
      <c r="P542">
        <v>0</v>
      </c>
      <c r="Q542">
        <v>853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11</v>
      </c>
      <c r="B543" t="s">
        <v>566</v>
      </c>
      <c r="C543" t="s">
        <v>920</v>
      </c>
      <c r="D543" t="s">
        <v>920</v>
      </c>
      <c r="E543" t="s">
        <v>1715</v>
      </c>
      <c r="F543" t="s">
        <v>571</v>
      </c>
      <c r="G543" s="204"/>
      <c r="H543">
        <v>16</v>
      </c>
      <c r="I543">
        <v>759.36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11</v>
      </c>
      <c r="B544" t="s">
        <v>566</v>
      </c>
      <c r="C544" t="s">
        <v>920</v>
      </c>
      <c r="D544" t="s">
        <v>920</v>
      </c>
      <c r="E544" t="s">
        <v>1475</v>
      </c>
      <c r="F544" t="s">
        <v>571</v>
      </c>
      <c r="G544" s="204"/>
      <c r="J544">
        <v>1</v>
      </c>
      <c r="K544">
        <v>51.73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11</v>
      </c>
      <c r="B545" t="s">
        <v>566</v>
      </c>
      <c r="C545" t="s">
        <v>920</v>
      </c>
      <c r="D545" t="s">
        <v>920</v>
      </c>
      <c r="E545" t="s">
        <v>1476</v>
      </c>
      <c r="F545" t="s">
        <v>571</v>
      </c>
      <c r="G545" s="204"/>
      <c r="J545">
        <v>17</v>
      </c>
      <c r="K545">
        <v>905.31000000000006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11</v>
      </c>
      <c r="B546" t="s">
        <v>566</v>
      </c>
      <c r="C546" t="s">
        <v>920</v>
      </c>
      <c r="D546" t="s">
        <v>920</v>
      </c>
      <c r="E546" t="s">
        <v>1716</v>
      </c>
      <c r="F546" t="s">
        <v>571</v>
      </c>
      <c r="G546" s="204"/>
      <c r="H546">
        <v>2</v>
      </c>
      <c r="I546">
        <v>103.46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33</v>
      </c>
      <c r="B547" t="s">
        <v>566</v>
      </c>
      <c r="C547" t="s">
        <v>920</v>
      </c>
      <c r="D547" t="s">
        <v>920</v>
      </c>
      <c r="E547" t="s">
        <v>1212</v>
      </c>
      <c r="F547" t="s">
        <v>571</v>
      </c>
      <c r="G547" s="204"/>
      <c r="L547">
        <v>295</v>
      </c>
      <c r="M547">
        <v>10150.949999999999</v>
      </c>
      <c r="N547">
        <v>0</v>
      </c>
      <c r="O547">
        <v>0</v>
      </c>
      <c r="P547">
        <v>0</v>
      </c>
      <c r="Q547">
        <v>295</v>
      </c>
      <c r="R547">
        <v>10150.949999999999</v>
      </c>
      <c r="S547">
        <v>34.409999999999997</v>
      </c>
      <c r="T547">
        <v>0</v>
      </c>
      <c r="U547">
        <v>0</v>
      </c>
      <c r="V547">
        <v>1500</v>
      </c>
      <c r="W547">
        <v>51615</v>
      </c>
      <c r="X547">
        <v>1500</v>
      </c>
      <c r="Y547">
        <v>1500</v>
      </c>
    </row>
    <row r="548" spans="1:25" x14ac:dyDescent="0.25">
      <c r="A548" t="s">
        <v>11</v>
      </c>
      <c r="B548" t="s">
        <v>566</v>
      </c>
      <c r="C548" t="s">
        <v>920</v>
      </c>
      <c r="D548" t="s">
        <v>920</v>
      </c>
      <c r="E548" t="s">
        <v>1369</v>
      </c>
      <c r="F548" t="s">
        <v>571</v>
      </c>
      <c r="G548" s="204"/>
      <c r="L548">
        <v>8</v>
      </c>
      <c r="M548">
        <v>456.32</v>
      </c>
      <c r="N548">
        <v>0</v>
      </c>
      <c r="O548">
        <v>0</v>
      </c>
      <c r="P548">
        <v>0</v>
      </c>
      <c r="Q548">
        <v>8</v>
      </c>
      <c r="R548">
        <v>456.32</v>
      </c>
      <c r="S548">
        <v>57.04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11</v>
      </c>
      <c r="B549" t="s">
        <v>566</v>
      </c>
      <c r="C549" t="s">
        <v>920</v>
      </c>
      <c r="D549" t="s">
        <v>920</v>
      </c>
      <c r="E549" t="s">
        <v>1422</v>
      </c>
      <c r="F549" t="s">
        <v>571</v>
      </c>
      <c r="G549" s="204"/>
      <c r="J549">
        <v>2</v>
      </c>
      <c r="K549">
        <v>103.46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11</v>
      </c>
      <c r="B550" t="s">
        <v>566</v>
      </c>
      <c r="C550" t="s">
        <v>920</v>
      </c>
      <c r="D550" t="s">
        <v>920</v>
      </c>
      <c r="E550" t="s">
        <v>1717</v>
      </c>
      <c r="F550" t="s">
        <v>571</v>
      </c>
      <c r="G550" s="204"/>
      <c r="J550">
        <v>100</v>
      </c>
      <c r="K550">
        <v>5173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t="s">
        <v>11</v>
      </c>
      <c r="B551" t="s">
        <v>566</v>
      </c>
      <c r="C551" t="s">
        <v>920</v>
      </c>
      <c r="D551" t="s">
        <v>920</v>
      </c>
      <c r="E551" t="s">
        <v>1266</v>
      </c>
      <c r="F551" t="s">
        <v>571</v>
      </c>
      <c r="G551" s="204"/>
      <c r="H551">
        <v>3000</v>
      </c>
      <c r="I551">
        <v>23130</v>
      </c>
      <c r="K551">
        <v>23460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67</v>
      </c>
      <c r="B552" t="s">
        <v>567</v>
      </c>
      <c r="C552" t="s">
        <v>920</v>
      </c>
      <c r="D552" t="s">
        <v>920</v>
      </c>
      <c r="E552" t="s">
        <v>1266</v>
      </c>
      <c r="F552" t="s">
        <v>571</v>
      </c>
      <c r="G552" s="204"/>
      <c r="L552">
        <v>300</v>
      </c>
      <c r="M552">
        <v>5934</v>
      </c>
      <c r="N552">
        <v>250</v>
      </c>
      <c r="O552">
        <v>4945</v>
      </c>
      <c r="P552">
        <v>250</v>
      </c>
      <c r="Q552">
        <v>550</v>
      </c>
      <c r="R552">
        <v>10879</v>
      </c>
      <c r="S552">
        <v>19.78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11</v>
      </c>
      <c r="B553" t="s">
        <v>566</v>
      </c>
      <c r="C553" t="s">
        <v>920</v>
      </c>
      <c r="D553" t="s">
        <v>920</v>
      </c>
      <c r="E553" t="s">
        <v>1216</v>
      </c>
      <c r="F553" t="s">
        <v>571</v>
      </c>
      <c r="G553" s="204"/>
      <c r="J553">
        <v>500</v>
      </c>
      <c r="K553">
        <v>3543.2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13</v>
      </c>
      <c r="B554" t="s">
        <v>566</v>
      </c>
      <c r="C554" t="s">
        <v>920</v>
      </c>
      <c r="D554" t="s">
        <v>920</v>
      </c>
      <c r="E554" t="s">
        <v>1463</v>
      </c>
      <c r="F554" t="s">
        <v>571</v>
      </c>
      <c r="G554" s="204"/>
      <c r="L554">
        <v>38</v>
      </c>
      <c r="M554">
        <v>3653.2999999999997</v>
      </c>
      <c r="N554">
        <v>0</v>
      </c>
      <c r="O554">
        <v>0</v>
      </c>
      <c r="P554">
        <v>0</v>
      </c>
      <c r="Q554">
        <v>38</v>
      </c>
      <c r="R554">
        <v>3653.2999999999997</v>
      </c>
      <c r="S554">
        <v>96.139473684210515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t="s">
        <v>107</v>
      </c>
      <c r="B555" t="s">
        <v>566</v>
      </c>
      <c r="C555" t="s">
        <v>920</v>
      </c>
      <c r="D555" t="s">
        <v>920</v>
      </c>
      <c r="E555" t="s">
        <v>1280</v>
      </c>
      <c r="F555" t="s">
        <v>571</v>
      </c>
      <c r="G555" s="204"/>
      <c r="L555">
        <v>3000</v>
      </c>
      <c r="M555">
        <v>49380</v>
      </c>
      <c r="N555">
        <v>2500</v>
      </c>
      <c r="O555">
        <v>41150</v>
      </c>
      <c r="P555">
        <v>2500</v>
      </c>
      <c r="Q555">
        <v>5500</v>
      </c>
      <c r="R555">
        <v>90530</v>
      </c>
      <c r="S555">
        <v>16.46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13</v>
      </c>
      <c r="B556" t="s">
        <v>566</v>
      </c>
      <c r="C556" t="s">
        <v>920</v>
      </c>
      <c r="D556" t="s">
        <v>920</v>
      </c>
      <c r="E556" t="s">
        <v>1718</v>
      </c>
      <c r="F556" t="s">
        <v>571</v>
      </c>
      <c r="G556" s="204"/>
      <c r="H556">
        <v>500</v>
      </c>
      <c r="I556">
        <v>16060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13</v>
      </c>
      <c r="B557" t="s">
        <v>566</v>
      </c>
      <c r="C557" t="s">
        <v>920</v>
      </c>
      <c r="D557" t="s">
        <v>920</v>
      </c>
      <c r="E557" t="s">
        <v>1266</v>
      </c>
      <c r="F557" t="s">
        <v>571</v>
      </c>
      <c r="G557" s="204"/>
      <c r="H557">
        <v>150</v>
      </c>
      <c r="I557">
        <v>3458</v>
      </c>
      <c r="L557">
        <v>500</v>
      </c>
      <c r="M557">
        <v>6220</v>
      </c>
      <c r="N557">
        <v>0</v>
      </c>
      <c r="O557">
        <v>0</v>
      </c>
      <c r="P557">
        <v>0</v>
      </c>
      <c r="Q557">
        <v>500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13</v>
      </c>
      <c r="B558" t="s">
        <v>566</v>
      </c>
      <c r="C558" t="s">
        <v>920</v>
      </c>
      <c r="D558" t="s">
        <v>920</v>
      </c>
      <c r="E558" t="s">
        <v>1719</v>
      </c>
      <c r="F558" t="s">
        <v>571</v>
      </c>
      <c r="G558" s="204"/>
      <c r="H558">
        <v>1290</v>
      </c>
      <c r="I558">
        <v>16640.099999999999</v>
      </c>
      <c r="K558">
        <v>17575.099999999999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459</v>
      </c>
      <c r="B559" t="s">
        <v>567</v>
      </c>
      <c r="C559" t="s">
        <v>920</v>
      </c>
      <c r="D559" t="s">
        <v>920</v>
      </c>
      <c r="E559" t="s">
        <v>1463</v>
      </c>
      <c r="F559" t="s">
        <v>571</v>
      </c>
      <c r="G559" s="204"/>
      <c r="I559">
        <v>37128.850000000006</v>
      </c>
      <c r="L559">
        <v>493</v>
      </c>
      <c r="M559">
        <v>0</v>
      </c>
      <c r="N559">
        <v>0</v>
      </c>
      <c r="O559">
        <v>0</v>
      </c>
      <c r="P559">
        <v>0</v>
      </c>
      <c r="Q559">
        <v>493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111</v>
      </c>
      <c r="B560" t="s">
        <v>566</v>
      </c>
      <c r="C560" t="s">
        <v>920</v>
      </c>
      <c r="D560" t="s">
        <v>920</v>
      </c>
      <c r="E560" t="s">
        <v>1330</v>
      </c>
      <c r="F560" t="s">
        <v>571</v>
      </c>
      <c r="G560" s="204"/>
      <c r="H560">
        <v>100</v>
      </c>
      <c r="I560">
        <v>1452</v>
      </c>
      <c r="L560">
        <v>250</v>
      </c>
      <c r="M560">
        <v>3142.5</v>
      </c>
      <c r="N560">
        <v>0</v>
      </c>
      <c r="O560">
        <v>0</v>
      </c>
      <c r="P560">
        <v>0</v>
      </c>
      <c r="Q560">
        <v>250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7" x14ac:dyDescent="0.25">
      <c r="A561" t="s">
        <v>459</v>
      </c>
      <c r="B561" t="s">
        <v>567</v>
      </c>
      <c r="C561" t="s">
        <v>920</v>
      </c>
      <c r="D561" t="s">
        <v>920</v>
      </c>
      <c r="E561" t="s">
        <v>1266</v>
      </c>
      <c r="F561" t="s">
        <v>571</v>
      </c>
      <c r="G561" s="204"/>
      <c r="L561">
        <v>64</v>
      </c>
      <c r="M561">
        <v>3840</v>
      </c>
      <c r="N561">
        <v>0</v>
      </c>
      <c r="O561">
        <v>0</v>
      </c>
      <c r="P561">
        <v>0</v>
      </c>
      <c r="Q561">
        <v>64</v>
      </c>
      <c r="R561">
        <v>3840</v>
      </c>
      <c r="S561">
        <v>60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7" x14ac:dyDescent="0.25">
      <c r="A562" t="s">
        <v>1605</v>
      </c>
      <c r="B562" t="s">
        <v>1031</v>
      </c>
      <c r="C562" t="s">
        <v>920</v>
      </c>
      <c r="D562" t="s">
        <v>920</v>
      </c>
      <c r="E562" t="s">
        <v>1373</v>
      </c>
      <c r="F562" t="s">
        <v>571</v>
      </c>
      <c r="G562" s="204"/>
      <c r="H562">
        <v>40</v>
      </c>
      <c r="I562">
        <v>1057.2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7" x14ac:dyDescent="0.25">
      <c r="A563" t="s">
        <v>461</v>
      </c>
      <c r="B563" t="s">
        <v>567</v>
      </c>
      <c r="C563" t="s">
        <v>920</v>
      </c>
      <c r="D563" t="s">
        <v>920</v>
      </c>
      <c r="E563" t="s">
        <v>1720</v>
      </c>
      <c r="F563" t="s">
        <v>571</v>
      </c>
      <c r="G563" s="204"/>
      <c r="J563">
        <v>4</v>
      </c>
      <c r="K563">
        <v>270.64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7" x14ac:dyDescent="0.25">
      <c r="A564" t="s">
        <v>15</v>
      </c>
      <c r="B564" t="s">
        <v>566</v>
      </c>
      <c r="C564" t="s">
        <v>920</v>
      </c>
      <c r="D564" t="s">
        <v>920</v>
      </c>
      <c r="E564" t="s">
        <v>1212</v>
      </c>
      <c r="F564" t="s">
        <v>571</v>
      </c>
      <c r="G564" s="204"/>
      <c r="K564">
        <v>12340</v>
      </c>
      <c r="L564">
        <v>1389</v>
      </c>
      <c r="M564">
        <v>15876.27</v>
      </c>
      <c r="N564">
        <v>111</v>
      </c>
      <c r="O564">
        <v>1268.73</v>
      </c>
      <c r="P564">
        <v>111</v>
      </c>
      <c r="Q564">
        <v>1500</v>
      </c>
      <c r="T564">
        <v>0</v>
      </c>
      <c r="U564">
        <v>0</v>
      </c>
      <c r="V564">
        <v>1000</v>
      </c>
      <c r="W564">
        <v>11430</v>
      </c>
      <c r="X564">
        <v>1000</v>
      </c>
      <c r="Y564">
        <v>1000</v>
      </c>
      <c r="Z564">
        <v>11430</v>
      </c>
      <c r="AA564">
        <v>11.43</v>
      </c>
    </row>
    <row r="565" spans="1:27" x14ac:dyDescent="0.25">
      <c r="A565" t="s">
        <v>461</v>
      </c>
      <c r="B565" t="s">
        <v>567</v>
      </c>
      <c r="C565" t="s">
        <v>920</v>
      </c>
      <c r="D565" t="s">
        <v>920</v>
      </c>
      <c r="E565" t="s">
        <v>1332</v>
      </c>
      <c r="F565" t="s">
        <v>571</v>
      </c>
      <c r="G565" s="204"/>
      <c r="H565">
        <v>26</v>
      </c>
      <c r="I565">
        <v>1710.54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7" x14ac:dyDescent="0.25">
      <c r="A566" t="s">
        <v>461</v>
      </c>
      <c r="B566" t="s">
        <v>567</v>
      </c>
      <c r="C566" t="s">
        <v>920</v>
      </c>
      <c r="D566" t="s">
        <v>920</v>
      </c>
      <c r="E566" t="s">
        <v>1244</v>
      </c>
      <c r="F566" t="s">
        <v>571</v>
      </c>
      <c r="G566" s="204"/>
      <c r="H566">
        <v>519</v>
      </c>
      <c r="I566">
        <v>6409.65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7" x14ac:dyDescent="0.25">
      <c r="A567" t="s">
        <v>461</v>
      </c>
      <c r="B567" t="s">
        <v>567</v>
      </c>
      <c r="C567" t="s">
        <v>920</v>
      </c>
      <c r="D567" t="s">
        <v>920</v>
      </c>
      <c r="E567" t="s">
        <v>1468</v>
      </c>
      <c r="F567" t="s">
        <v>571</v>
      </c>
      <c r="G567" s="204"/>
      <c r="H567">
        <v>2</v>
      </c>
      <c r="I567">
        <v>124.14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7" x14ac:dyDescent="0.25">
      <c r="A568" t="s">
        <v>27</v>
      </c>
      <c r="B568" t="s">
        <v>567</v>
      </c>
      <c r="C568" t="s">
        <v>920</v>
      </c>
      <c r="D568" t="s">
        <v>920</v>
      </c>
      <c r="E568" t="s">
        <v>1330</v>
      </c>
      <c r="F568" t="s">
        <v>571</v>
      </c>
      <c r="G568" s="204"/>
      <c r="L568">
        <v>500</v>
      </c>
      <c r="M568">
        <v>20940</v>
      </c>
      <c r="N568">
        <v>0</v>
      </c>
      <c r="O568">
        <v>0</v>
      </c>
      <c r="P568">
        <v>0</v>
      </c>
      <c r="Q568">
        <v>500</v>
      </c>
      <c r="R568">
        <v>20940</v>
      </c>
      <c r="S568">
        <v>41.88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7" x14ac:dyDescent="0.25">
      <c r="A569" t="s">
        <v>79</v>
      </c>
      <c r="B569" t="s">
        <v>567</v>
      </c>
      <c r="C569" t="s">
        <v>920</v>
      </c>
      <c r="D569" t="s">
        <v>920</v>
      </c>
      <c r="E569" t="s">
        <v>1488</v>
      </c>
      <c r="F569" t="s">
        <v>571</v>
      </c>
      <c r="G569" s="204"/>
      <c r="J569">
        <v>46</v>
      </c>
      <c r="K569">
        <v>804.54</v>
      </c>
      <c r="L569">
        <v>1306</v>
      </c>
      <c r="M569">
        <v>22841.94</v>
      </c>
      <c r="N569">
        <v>0</v>
      </c>
      <c r="O569">
        <v>0</v>
      </c>
      <c r="P569">
        <v>0</v>
      </c>
      <c r="Q569">
        <v>1306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7" x14ac:dyDescent="0.25">
      <c r="A570" t="s">
        <v>65</v>
      </c>
      <c r="B570" t="s">
        <v>566</v>
      </c>
      <c r="C570" t="s">
        <v>920</v>
      </c>
      <c r="D570" t="s">
        <v>920</v>
      </c>
      <c r="E570" t="s">
        <v>1316</v>
      </c>
      <c r="F570" t="s">
        <v>571</v>
      </c>
      <c r="G570" s="204"/>
      <c r="J570">
        <v>1000</v>
      </c>
      <c r="K570">
        <v>7970</v>
      </c>
      <c r="L570">
        <v>2000</v>
      </c>
      <c r="M570">
        <v>16500</v>
      </c>
      <c r="N570">
        <v>0</v>
      </c>
      <c r="O570">
        <v>0</v>
      </c>
      <c r="P570">
        <v>0</v>
      </c>
      <c r="Q570">
        <v>2000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7" x14ac:dyDescent="0.25">
      <c r="A571" t="s">
        <v>15</v>
      </c>
      <c r="B571" t="s">
        <v>566</v>
      </c>
      <c r="C571" t="s">
        <v>920</v>
      </c>
      <c r="D571" t="s">
        <v>920</v>
      </c>
      <c r="E571" t="s">
        <v>1332</v>
      </c>
      <c r="F571" t="s">
        <v>571</v>
      </c>
      <c r="G571" s="204"/>
      <c r="L571">
        <v>6</v>
      </c>
      <c r="M571">
        <v>474.42</v>
      </c>
      <c r="N571">
        <v>0</v>
      </c>
      <c r="O571">
        <v>0</v>
      </c>
      <c r="P571">
        <v>0</v>
      </c>
      <c r="Q571">
        <v>6</v>
      </c>
      <c r="R571">
        <v>474.42</v>
      </c>
      <c r="S571">
        <v>79.070000000000007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7" x14ac:dyDescent="0.25">
      <c r="A572" t="s">
        <v>15</v>
      </c>
      <c r="B572" t="s">
        <v>566</v>
      </c>
      <c r="C572" t="s">
        <v>920</v>
      </c>
      <c r="D572" t="s">
        <v>920</v>
      </c>
      <c r="E572" t="s">
        <v>1721</v>
      </c>
      <c r="F572" t="s">
        <v>571</v>
      </c>
      <c r="G572" s="204"/>
      <c r="H572">
        <v>10</v>
      </c>
      <c r="I572">
        <v>620.70000000000005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7" x14ac:dyDescent="0.25">
      <c r="A573" t="s">
        <v>844</v>
      </c>
      <c r="B573" t="s">
        <v>566</v>
      </c>
      <c r="C573" t="s">
        <v>920</v>
      </c>
      <c r="D573" t="s">
        <v>920</v>
      </c>
      <c r="E573" t="s">
        <v>1476</v>
      </c>
      <c r="F573" t="s">
        <v>571</v>
      </c>
      <c r="G573" s="204"/>
      <c r="J573">
        <v>24</v>
      </c>
      <c r="K573">
        <v>4990.5599999999995</v>
      </c>
      <c r="L573">
        <v>43</v>
      </c>
      <c r="M573">
        <v>9191.02</v>
      </c>
      <c r="N573">
        <v>0</v>
      </c>
      <c r="O573">
        <v>0</v>
      </c>
      <c r="P573">
        <v>0</v>
      </c>
      <c r="Q573">
        <v>43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7" x14ac:dyDescent="0.25">
      <c r="A574" t="s">
        <v>15</v>
      </c>
      <c r="B574" t="s">
        <v>566</v>
      </c>
      <c r="C574" t="s">
        <v>920</v>
      </c>
      <c r="D574" t="s">
        <v>920</v>
      </c>
      <c r="E574" t="s">
        <v>1722</v>
      </c>
      <c r="F574" t="s">
        <v>571</v>
      </c>
      <c r="G574" s="204"/>
      <c r="H574">
        <v>1</v>
      </c>
      <c r="I574">
        <v>57.91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7" x14ac:dyDescent="0.25">
      <c r="A575" t="s">
        <v>107</v>
      </c>
      <c r="B575" t="s">
        <v>566</v>
      </c>
      <c r="C575" t="s">
        <v>920</v>
      </c>
      <c r="D575" t="s">
        <v>920</v>
      </c>
      <c r="E575" t="s">
        <v>1266</v>
      </c>
      <c r="F575" t="s">
        <v>571</v>
      </c>
      <c r="G575" s="204"/>
      <c r="J575">
        <v>100</v>
      </c>
      <c r="K575">
        <v>1879</v>
      </c>
      <c r="L575">
        <v>250</v>
      </c>
      <c r="M575">
        <v>4460</v>
      </c>
      <c r="N575">
        <v>0</v>
      </c>
      <c r="O575">
        <v>0</v>
      </c>
      <c r="P575">
        <v>0</v>
      </c>
      <c r="Q575">
        <v>250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7" x14ac:dyDescent="0.25">
      <c r="A576" t="s">
        <v>15</v>
      </c>
      <c r="B576" t="s">
        <v>566</v>
      </c>
      <c r="C576" t="s">
        <v>920</v>
      </c>
      <c r="D576" t="s">
        <v>920</v>
      </c>
      <c r="E576" t="s">
        <v>1723</v>
      </c>
      <c r="F576" t="s">
        <v>571</v>
      </c>
      <c r="G576" s="204"/>
      <c r="J576">
        <v>1</v>
      </c>
      <c r="K576">
        <v>57.91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15</v>
      </c>
      <c r="B577" t="s">
        <v>566</v>
      </c>
      <c r="C577" t="s">
        <v>920</v>
      </c>
      <c r="D577" t="s">
        <v>920</v>
      </c>
      <c r="E577" t="s">
        <v>1427</v>
      </c>
      <c r="F577" t="s">
        <v>571</v>
      </c>
      <c r="G577" s="204"/>
      <c r="J577">
        <v>44</v>
      </c>
      <c r="K577">
        <v>2887.72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t="s">
        <v>15</v>
      </c>
      <c r="B578" t="s">
        <v>566</v>
      </c>
      <c r="C578" t="s">
        <v>920</v>
      </c>
      <c r="D578" t="s">
        <v>920</v>
      </c>
      <c r="E578" t="s">
        <v>1407</v>
      </c>
      <c r="F578" t="s">
        <v>571</v>
      </c>
      <c r="G578" s="204"/>
      <c r="L578">
        <v>2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15</v>
      </c>
      <c r="B579" t="s">
        <v>566</v>
      </c>
      <c r="C579" t="s">
        <v>920</v>
      </c>
      <c r="D579" t="s">
        <v>920</v>
      </c>
      <c r="E579" t="s">
        <v>1378</v>
      </c>
      <c r="F579" t="s">
        <v>571</v>
      </c>
      <c r="G579" s="204"/>
      <c r="H579">
        <v>16</v>
      </c>
      <c r="I579">
        <v>963.36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15</v>
      </c>
      <c r="B580" t="s">
        <v>566</v>
      </c>
      <c r="C580" t="s">
        <v>920</v>
      </c>
      <c r="D580" t="s">
        <v>920</v>
      </c>
      <c r="E580" t="s">
        <v>1491</v>
      </c>
      <c r="F580" t="s">
        <v>571</v>
      </c>
      <c r="G580" s="204"/>
      <c r="L580">
        <v>2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47</v>
      </c>
      <c r="B581" t="s">
        <v>567</v>
      </c>
      <c r="C581" t="s">
        <v>920</v>
      </c>
      <c r="D581" t="s">
        <v>920</v>
      </c>
      <c r="E581" t="s">
        <v>1316</v>
      </c>
      <c r="F581" t="s">
        <v>571</v>
      </c>
      <c r="G581" s="204"/>
      <c r="J581">
        <v>250</v>
      </c>
      <c r="K581">
        <v>6252.5</v>
      </c>
      <c r="L581">
        <v>250</v>
      </c>
      <c r="M581">
        <v>6472.5</v>
      </c>
      <c r="N581">
        <v>0</v>
      </c>
      <c r="O581">
        <v>0</v>
      </c>
      <c r="P581">
        <v>0</v>
      </c>
      <c r="Q581">
        <v>250</v>
      </c>
      <c r="R581">
        <v>6472.5</v>
      </c>
      <c r="S581">
        <v>25.89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15</v>
      </c>
      <c r="B582" t="s">
        <v>566</v>
      </c>
      <c r="C582" t="s">
        <v>920</v>
      </c>
      <c r="D582" t="s">
        <v>920</v>
      </c>
      <c r="E582" t="s">
        <v>1715</v>
      </c>
      <c r="F582" t="s">
        <v>571</v>
      </c>
      <c r="G582" s="204"/>
      <c r="H582">
        <v>6</v>
      </c>
      <c r="I582">
        <v>372.42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t="s">
        <v>15</v>
      </c>
      <c r="B583" t="s">
        <v>566</v>
      </c>
      <c r="C583" t="s">
        <v>920</v>
      </c>
      <c r="D583" t="s">
        <v>920</v>
      </c>
      <c r="E583" t="s">
        <v>1724</v>
      </c>
      <c r="F583" t="s">
        <v>571</v>
      </c>
      <c r="G583" s="204"/>
      <c r="H583">
        <v>93</v>
      </c>
      <c r="I583">
        <v>5968.16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t="s">
        <v>15</v>
      </c>
      <c r="B584" t="s">
        <v>566</v>
      </c>
      <c r="C584" t="s">
        <v>920</v>
      </c>
      <c r="D584" t="s">
        <v>920</v>
      </c>
      <c r="E584" t="s">
        <v>1439</v>
      </c>
      <c r="F584" t="s">
        <v>571</v>
      </c>
      <c r="G584" s="204"/>
      <c r="J584">
        <v>145</v>
      </c>
      <c r="K584">
        <v>9810.7000000000007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t="s">
        <v>15</v>
      </c>
      <c r="B585" t="s">
        <v>566</v>
      </c>
      <c r="C585" t="s">
        <v>920</v>
      </c>
      <c r="D585" t="s">
        <v>920</v>
      </c>
      <c r="E585" t="s">
        <v>1725</v>
      </c>
      <c r="F585" t="s">
        <v>571</v>
      </c>
      <c r="G585" s="204"/>
      <c r="H585">
        <v>5</v>
      </c>
      <c r="I585">
        <v>310.35000000000002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t="s">
        <v>15</v>
      </c>
      <c r="B586" t="s">
        <v>566</v>
      </c>
      <c r="C586" t="s">
        <v>920</v>
      </c>
      <c r="D586" t="s">
        <v>920</v>
      </c>
      <c r="E586" t="s">
        <v>1476</v>
      </c>
      <c r="F586" t="s">
        <v>571</v>
      </c>
      <c r="G586" s="204"/>
      <c r="L586">
        <v>30</v>
      </c>
      <c r="M586">
        <v>2237.6999999999998</v>
      </c>
      <c r="N586">
        <v>0</v>
      </c>
      <c r="O586">
        <v>0</v>
      </c>
      <c r="P586">
        <v>0</v>
      </c>
      <c r="Q586">
        <v>30</v>
      </c>
      <c r="R586">
        <v>2237.6999999999998</v>
      </c>
      <c r="S586">
        <v>74.589999999999989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t="s">
        <v>15</v>
      </c>
      <c r="B587" t="s">
        <v>566</v>
      </c>
      <c r="C587" t="s">
        <v>920</v>
      </c>
      <c r="D587" t="s">
        <v>920</v>
      </c>
      <c r="E587" t="s">
        <v>1726</v>
      </c>
      <c r="F587" t="s">
        <v>571</v>
      </c>
      <c r="G587" s="204"/>
      <c r="J587">
        <v>4</v>
      </c>
      <c r="K587">
        <v>270.64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67</v>
      </c>
      <c r="B588" t="s">
        <v>567</v>
      </c>
      <c r="C588" t="s">
        <v>920</v>
      </c>
      <c r="D588" t="s">
        <v>920</v>
      </c>
      <c r="E588" t="s">
        <v>1314</v>
      </c>
      <c r="F588" t="s">
        <v>571</v>
      </c>
      <c r="G588" s="204"/>
      <c r="H588">
        <v>506</v>
      </c>
      <c r="I588">
        <v>11825.220000000001</v>
      </c>
      <c r="L588">
        <v>1010</v>
      </c>
      <c r="M588">
        <v>23563.3</v>
      </c>
      <c r="N588">
        <v>0</v>
      </c>
      <c r="O588">
        <v>0</v>
      </c>
      <c r="P588">
        <v>0</v>
      </c>
      <c r="Q588">
        <v>1010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15</v>
      </c>
      <c r="B589" t="s">
        <v>566</v>
      </c>
      <c r="C589" t="s">
        <v>920</v>
      </c>
      <c r="D589" t="s">
        <v>920</v>
      </c>
      <c r="E589" t="s">
        <v>1727</v>
      </c>
      <c r="F589" t="s">
        <v>571</v>
      </c>
      <c r="G589" s="204"/>
      <c r="H589">
        <v>20</v>
      </c>
      <c r="I589">
        <v>1241.4000000000001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71</v>
      </c>
      <c r="B590" t="s">
        <v>566</v>
      </c>
      <c r="C590" t="s">
        <v>920</v>
      </c>
      <c r="D590" t="s">
        <v>920</v>
      </c>
      <c r="E590" t="s">
        <v>1191</v>
      </c>
      <c r="F590" t="s">
        <v>571</v>
      </c>
      <c r="G590" s="204"/>
      <c r="L590">
        <v>2500</v>
      </c>
      <c r="M590">
        <v>18650</v>
      </c>
      <c r="N590">
        <v>0</v>
      </c>
      <c r="O590">
        <v>0</v>
      </c>
      <c r="P590">
        <v>0</v>
      </c>
      <c r="Q590">
        <v>2500</v>
      </c>
      <c r="R590">
        <v>18650</v>
      </c>
      <c r="S590">
        <v>7.46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t="s">
        <v>15</v>
      </c>
      <c r="B591" t="s">
        <v>566</v>
      </c>
      <c r="C591" t="s">
        <v>920</v>
      </c>
      <c r="D591" t="s">
        <v>920</v>
      </c>
      <c r="E591" t="s">
        <v>1452</v>
      </c>
      <c r="F591" t="s">
        <v>571</v>
      </c>
      <c r="G591" s="204"/>
      <c r="L591">
        <v>5</v>
      </c>
      <c r="M591">
        <v>372.95</v>
      </c>
      <c r="N591">
        <v>0</v>
      </c>
      <c r="O591">
        <v>0</v>
      </c>
      <c r="P591">
        <v>0</v>
      </c>
      <c r="Q591">
        <v>5</v>
      </c>
      <c r="R591">
        <v>372.95</v>
      </c>
      <c r="S591">
        <v>74.59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15</v>
      </c>
      <c r="B592" t="s">
        <v>566</v>
      </c>
      <c r="C592" t="s">
        <v>920</v>
      </c>
      <c r="D592" t="s">
        <v>920</v>
      </c>
      <c r="E592" t="s">
        <v>1717</v>
      </c>
      <c r="F592" t="s">
        <v>571</v>
      </c>
      <c r="G592" s="204"/>
      <c r="J592">
        <v>15</v>
      </c>
      <c r="K592">
        <v>1014.9000000000001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7" x14ac:dyDescent="0.25">
      <c r="A593" t="s">
        <v>844</v>
      </c>
      <c r="B593" t="s">
        <v>566</v>
      </c>
      <c r="C593" t="s">
        <v>920</v>
      </c>
      <c r="D593" t="s">
        <v>920</v>
      </c>
      <c r="E593" t="s">
        <v>1342</v>
      </c>
      <c r="F593" t="s">
        <v>571</v>
      </c>
      <c r="G593" s="204"/>
      <c r="J593">
        <v>19</v>
      </c>
      <c r="K593">
        <v>3762.76</v>
      </c>
      <c r="L593">
        <v>56</v>
      </c>
      <c r="M593">
        <v>9898</v>
      </c>
      <c r="N593">
        <v>0</v>
      </c>
      <c r="O593">
        <v>0</v>
      </c>
      <c r="P593">
        <v>0</v>
      </c>
      <c r="Q593">
        <v>56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7" x14ac:dyDescent="0.25">
      <c r="A594" t="s">
        <v>15</v>
      </c>
      <c r="B594" t="s">
        <v>566</v>
      </c>
      <c r="C594" t="s">
        <v>920</v>
      </c>
      <c r="D594" t="s">
        <v>920</v>
      </c>
      <c r="E594" t="s">
        <v>1728</v>
      </c>
      <c r="F594" t="s">
        <v>571</v>
      </c>
      <c r="G594" s="204"/>
      <c r="J594">
        <v>6</v>
      </c>
      <c r="K594">
        <v>405.96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7" x14ac:dyDescent="0.25">
      <c r="A595" t="s">
        <v>51</v>
      </c>
      <c r="B595" t="s">
        <v>567</v>
      </c>
      <c r="C595" t="s">
        <v>920</v>
      </c>
      <c r="D595" t="s">
        <v>920</v>
      </c>
      <c r="E595" t="s">
        <v>1216</v>
      </c>
      <c r="F595" t="s">
        <v>571</v>
      </c>
      <c r="G595" s="204"/>
      <c r="H595">
        <v>80</v>
      </c>
      <c r="I595">
        <v>2717.6</v>
      </c>
      <c r="L595">
        <v>612</v>
      </c>
      <c r="M595">
        <v>15765.12</v>
      </c>
      <c r="N595">
        <v>0</v>
      </c>
      <c r="O595">
        <v>0</v>
      </c>
      <c r="P595">
        <v>0</v>
      </c>
      <c r="Q595">
        <v>612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7" x14ac:dyDescent="0.25">
      <c r="A596" t="s">
        <v>15</v>
      </c>
      <c r="B596" t="s">
        <v>566</v>
      </c>
      <c r="C596" t="s">
        <v>920</v>
      </c>
      <c r="D596" t="s">
        <v>920</v>
      </c>
      <c r="E596" t="s">
        <v>1266</v>
      </c>
      <c r="F596" t="s">
        <v>571</v>
      </c>
      <c r="G596" s="204"/>
      <c r="L596">
        <v>0</v>
      </c>
      <c r="M596">
        <v>0</v>
      </c>
      <c r="N596">
        <v>250</v>
      </c>
      <c r="O596">
        <v>3187.5</v>
      </c>
      <c r="P596">
        <v>250</v>
      </c>
      <c r="Q596">
        <v>250</v>
      </c>
      <c r="R596">
        <v>3187.5</v>
      </c>
      <c r="S596">
        <v>12.75</v>
      </c>
      <c r="T596">
        <v>0</v>
      </c>
      <c r="U596">
        <v>0</v>
      </c>
      <c r="V596">
        <v>250</v>
      </c>
      <c r="W596">
        <v>3187.5</v>
      </c>
      <c r="X596">
        <v>250</v>
      </c>
      <c r="Y596">
        <v>250</v>
      </c>
      <c r="Z596">
        <v>3187.5</v>
      </c>
      <c r="AA596">
        <v>12.75</v>
      </c>
    </row>
    <row r="597" spans="1:27" x14ac:dyDescent="0.25">
      <c r="A597" t="s">
        <v>15</v>
      </c>
      <c r="B597" t="s">
        <v>566</v>
      </c>
      <c r="C597" t="s">
        <v>920</v>
      </c>
      <c r="D597" t="s">
        <v>920</v>
      </c>
      <c r="E597" t="s">
        <v>1365</v>
      </c>
      <c r="F597" t="s">
        <v>571</v>
      </c>
      <c r="G597" s="204"/>
      <c r="J597">
        <v>2</v>
      </c>
      <c r="K597">
        <v>71.040000000000006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7" x14ac:dyDescent="0.25">
      <c r="A598" t="s">
        <v>15</v>
      </c>
      <c r="B598" t="s">
        <v>566</v>
      </c>
      <c r="C598" t="s">
        <v>920</v>
      </c>
      <c r="D598" t="s">
        <v>920</v>
      </c>
      <c r="E598" t="s">
        <v>1138</v>
      </c>
      <c r="F598" t="s">
        <v>571</v>
      </c>
      <c r="G598" s="204"/>
      <c r="J598">
        <v>1000</v>
      </c>
      <c r="K598">
        <v>7720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7" x14ac:dyDescent="0.25">
      <c r="A599" t="s">
        <v>15</v>
      </c>
      <c r="B599" t="s">
        <v>566</v>
      </c>
      <c r="C599" t="s">
        <v>920</v>
      </c>
      <c r="D599" t="s">
        <v>920</v>
      </c>
      <c r="E599" t="s">
        <v>1434</v>
      </c>
      <c r="F599" t="s">
        <v>571</v>
      </c>
      <c r="G599" s="204"/>
      <c r="J599">
        <v>385</v>
      </c>
      <c r="K599">
        <v>5935.8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7" x14ac:dyDescent="0.25">
      <c r="A600" t="s">
        <v>274</v>
      </c>
      <c r="B600" t="s">
        <v>556</v>
      </c>
      <c r="C600" t="s">
        <v>1860</v>
      </c>
      <c r="D600" t="s">
        <v>586</v>
      </c>
      <c r="E600" t="s">
        <v>1330</v>
      </c>
      <c r="F600" t="s">
        <v>571</v>
      </c>
      <c r="G600" s="204"/>
      <c r="J600">
        <v>147</v>
      </c>
      <c r="K600">
        <v>264747</v>
      </c>
      <c r="L600">
        <v>408</v>
      </c>
      <c r="M600">
        <v>769928</v>
      </c>
      <c r="N600">
        <v>0</v>
      </c>
      <c r="O600">
        <v>0</v>
      </c>
      <c r="P600">
        <v>0</v>
      </c>
      <c r="Q600">
        <v>408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7" x14ac:dyDescent="0.25">
      <c r="A601" t="s">
        <v>455</v>
      </c>
      <c r="B601" t="s">
        <v>567</v>
      </c>
      <c r="C601" t="s">
        <v>920</v>
      </c>
      <c r="D601" t="s">
        <v>920</v>
      </c>
      <c r="E601" t="s">
        <v>1489</v>
      </c>
      <c r="F601" t="s">
        <v>571</v>
      </c>
      <c r="G601" s="204"/>
      <c r="J601">
        <v>8</v>
      </c>
      <c r="K601">
        <v>1564.24</v>
      </c>
      <c r="L601">
        <v>14</v>
      </c>
      <c r="M601">
        <v>2815.66</v>
      </c>
      <c r="N601">
        <v>0</v>
      </c>
      <c r="O601">
        <v>0</v>
      </c>
      <c r="P601">
        <v>0</v>
      </c>
      <c r="Q601">
        <v>14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7" x14ac:dyDescent="0.25">
      <c r="A602" t="s">
        <v>17</v>
      </c>
      <c r="B602" t="s">
        <v>565</v>
      </c>
      <c r="C602" t="s">
        <v>920</v>
      </c>
      <c r="D602" t="s">
        <v>920</v>
      </c>
      <c r="E602" t="s">
        <v>1706</v>
      </c>
      <c r="F602" t="s">
        <v>571</v>
      </c>
      <c r="G602" s="204"/>
      <c r="H602">
        <v>100</v>
      </c>
      <c r="I602">
        <v>8640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7" x14ac:dyDescent="0.25">
      <c r="A603" t="s">
        <v>843</v>
      </c>
      <c r="B603" t="s">
        <v>554</v>
      </c>
      <c r="C603" t="s">
        <v>1860</v>
      </c>
      <c r="D603" t="s">
        <v>972</v>
      </c>
      <c r="E603" t="s">
        <v>1486</v>
      </c>
      <c r="F603" t="s">
        <v>571</v>
      </c>
      <c r="G603" s="204"/>
      <c r="L603">
        <v>65</v>
      </c>
      <c r="M603">
        <v>62264.800000000003</v>
      </c>
      <c r="N603">
        <v>0</v>
      </c>
      <c r="O603">
        <v>0</v>
      </c>
      <c r="P603">
        <v>0</v>
      </c>
      <c r="Q603">
        <v>65</v>
      </c>
      <c r="R603">
        <v>62264.800000000003</v>
      </c>
      <c r="S603">
        <v>957.92000000000007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7" x14ac:dyDescent="0.25">
      <c r="A604" t="s">
        <v>1259</v>
      </c>
      <c r="B604" t="s">
        <v>567</v>
      </c>
      <c r="C604" t="s">
        <v>555</v>
      </c>
      <c r="D604" t="s">
        <v>666</v>
      </c>
      <c r="E604" t="s">
        <v>1258</v>
      </c>
      <c r="F604" t="s">
        <v>571</v>
      </c>
      <c r="G604" s="204"/>
      <c r="L604">
        <v>0</v>
      </c>
      <c r="M604">
        <v>0</v>
      </c>
      <c r="N604">
        <v>200</v>
      </c>
      <c r="O604">
        <v>7690</v>
      </c>
      <c r="P604">
        <v>200</v>
      </c>
      <c r="Q604">
        <v>200</v>
      </c>
      <c r="R604">
        <v>7690</v>
      </c>
      <c r="S604">
        <v>38.450000000000003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7" x14ac:dyDescent="0.25">
      <c r="A605" t="s">
        <v>1259</v>
      </c>
      <c r="B605" t="s">
        <v>567</v>
      </c>
      <c r="C605" t="s">
        <v>555</v>
      </c>
      <c r="D605" t="s">
        <v>666</v>
      </c>
      <c r="E605" t="s">
        <v>1434</v>
      </c>
      <c r="F605" t="s">
        <v>571</v>
      </c>
      <c r="G605" s="204"/>
      <c r="J605">
        <v>512</v>
      </c>
      <c r="K605">
        <v>19801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7" x14ac:dyDescent="0.25">
      <c r="A606" t="s">
        <v>1606</v>
      </c>
      <c r="B606" t="s">
        <v>1031</v>
      </c>
      <c r="C606" t="s">
        <v>920</v>
      </c>
      <c r="D606" t="s">
        <v>920</v>
      </c>
      <c r="E606" t="s">
        <v>1266</v>
      </c>
      <c r="F606" t="s">
        <v>571</v>
      </c>
      <c r="G606" s="204"/>
      <c r="H606">
        <v>500</v>
      </c>
      <c r="I606">
        <v>9895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7" x14ac:dyDescent="0.25">
      <c r="A607" t="s">
        <v>21</v>
      </c>
      <c r="B607" t="s">
        <v>566</v>
      </c>
      <c r="C607" t="s">
        <v>920</v>
      </c>
      <c r="D607" t="s">
        <v>920</v>
      </c>
      <c r="E607" t="s">
        <v>1330</v>
      </c>
      <c r="F607" t="s">
        <v>571</v>
      </c>
      <c r="G607" s="204"/>
      <c r="H607">
        <v>250</v>
      </c>
      <c r="I607">
        <v>4352.5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7" x14ac:dyDescent="0.25">
      <c r="A608" t="s">
        <v>55</v>
      </c>
      <c r="B608" t="s">
        <v>566</v>
      </c>
      <c r="C608" t="s">
        <v>920</v>
      </c>
      <c r="D608" t="s">
        <v>920</v>
      </c>
      <c r="E608" t="s">
        <v>1212</v>
      </c>
      <c r="F608" t="s">
        <v>571</v>
      </c>
      <c r="G608" s="204"/>
      <c r="L608">
        <v>1500</v>
      </c>
      <c r="M608">
        <v>19095</v>
      </c>
      <c r="N608">
        <v>0</v>
      </c>
      <c r="O608">
        <v>0</v>
      </c>
      <c r="P608">
        <v>0</v>
      </c>
      <c r="Q608">
        <v>1500</v>
      </c>
      <c r="R608">
        <v>19095</v>
      </c>
      <c r="S608">
        <v>12.73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t="s">
        <v>21</v>
      </c>
      <c r="B609" t="s">
        <v>566</v>
      </c>
      <c r="C609" t="s">
        <v>920</v>
      </c>
      <c r="D609" t="s">
        <v>920</v>
      </c>
      <c r="E609" t="s">
        <v>1408</v>
      </c>
      <c r="F609" t="s">
        <v>571</v>
      </c>
      <c r="G609" s="204"/>
      <c r="J609">
        <v>2</v>
      </c>
      <c r="K609">
        <v>166.58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t="s">
        <v>21</v>
      </c>
      <c r="B610" t="s">
        <v>566</v>
      </c>
      <c r="C610" t="s">
        <v>920</v>
      </c>
      <c r="D610" t="s">
        <v>920</v>
      </c>
      <c r="E610" t="s">
        <v>1266</v>
      </c>
      <c r="F610" t="s">
        <v>578</v>
      </c>
      <c r="G610" s="204">
        <v>46752</v>
      </c>
      <c r="H610">
        <v>100</v>
      </c>
      <c r="I610">
        <v>1666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21</v>
      </c>
      <c r="B611" t="s">
        <v>566</v>
      </c>
      <c r="C611" t="s">
        <v>920</v>
      </c>
      <c r="D611" t="s">
        <v>920</v>
      </c>
      <c r="E611" t="s">
        <v>1138</v>
      </c>
      <c r="F611" t="s">
        <v>571</v>
      </c>
      <c r="G611" s="204"/>
      <c r="J611">
        <v>2794</v>
      </c>
      <c r="K611">
        <v>39414.76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t="s">
        <v>21</v>
      </c>
      <c r="B612" t="s">
        <v>566</v>
      </c>
      <c r="C612" t="s">
        <v>920</v>
      </c>
      <c r="D612" t="s">
        <v>920</v>
      </c>
      <c r="E612" t="s">
        <v>1729</v>
      </c>
      <c r="F612" t="s">
        <v>571</v>
      </c>
      <c r="G612" s="204"/>
      <c r="H612">
        <v>2</v>
      </c>
      <c r="I612">
        <v>161.58000000000001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452</v>
      </c>
      <c r="B613" t="s">
        <v>566</v>
      </c>
      <c r="C613" t="s">
        <v>920</v>
      </c>
      <c r="D613" t="s">
        <v>920</v>
      </c>
      <c r="E613" t="s">
        <v>1433</v>
      </c>
      <c r="F613" t="s">
        <v>571</v>
      </c>
      <c r="G613" s="204"/>
      <c r="L613">
        <v>36</v>
      </c>
      <c r="M613">
        <v>3305.52</v>
      </c>
      <c r="N613">
        <v>0</v>
      </c>
      <c r="O613">
        <v>0</v>
      </c>
      <c r="P613">
        <v>0</v>
      </c>
      <c r="Q613">
        <v>36</v>
      </c>
      <c r="R613">
        <v>3305.52</v>
      </c>
      <c r="S613">
        <v>91.82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452</v>
      </c>
      <c r="B614" t="s">
        <v>566</v>
      </c>
      <c r="C614" t="s">
        <v>920</v>
      </c>
      <c r="D614" t="s">
        <v>920</v>
      </c>
      <c r="E614" t="s">
        <v>1498</v>
      </c>
      <c r="F614" t="s">
        <v>571</v>
      </c>
      <c r="G614" s="204"/>
      <c r="L614">
        <v>11</v>
      </c>
      <c r="M614">
        <v>961.95</v>
      </c>
      <c r="N614">
        <v>0</v>
      </c>
      <c r="O614">
        <v>0</v>
      </c>
      <c r="P614">
        <v>0</v>
      </c>
      <c r="Q614">
        <v>11</v>
      </c>
      <c r="R614">
        <v>961.95</v>
      </c>
      <c r="S614">
        <v>87.45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t="s">
        <v>45</v>
      </c>
      <c r="B615" t="s">
        <v>1031</v>
      </c>
      <c r="C615" t="s">
        <v>920</v>
      </c>
      <c r="D615" t="s">
        <v>920</v>
      </c>
      <c r="E615" t="s">
        <v>1138</v>
      </c>
      <c r="F615" t="s">
        <v>571</v>
      </c>
      <c r="G615" s="204"/>
      <c r="L615">
        <v>200</v>
      </c>
      <c r="M615">
        <v>3586</v>
      </c>
      <c r="N615">
        <v>0</v>
      </c>
      <c r="O615">
        <v>0</v>
      </c>
      <c r="P615">
        <v>0</v>
      </c>
      <c r="Q615">
        <v>200</v>
      </c>
      <c r="R615">
        <v>3586</v>
      </c>
      <c r="S615">
        <v>17.93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t="s">
        <v>452</v>
      </c>
      <c r="B616" t="s">
        <v>566</v>
      </c>
      <c r="C616" t="s">
        <v>920</v>
      </c>
      <c r="D616" t="s">
        <v>920</v>
      </c>
      <c r="E616" t="s">
        <v>1242</v>
      </c>
      <c r="F616" t="s">
        <v>571</v>
      </c>
      <c r="G616" s="204"/>
      <c r="L616">
        <v>2250</v>
      </c>
      <c r="M616">
        <v>41062.5</v>
      </c>
      <c r="N616">
        <v>0</v>
      </c>
      <c r="O616">
        <v>0</v>
      </c>
      <c r="P616">
        <v>0</v>
      </c>
      <c r="Q616">
        <v>2250</v>
      </c>
      <c r="R616">
        <v>41062.5</v>
      </c>
      <c r="S616">
        <v>18.25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t="s">
        <v>413</v>
      </c>
      <c r="B617" t="s">
        <v>567</v>
      </c>
      <c r="C617" t="s">
        <v>555</v>
      </c>
      <c r="D617" t="s">
        <v>666</v>
      </c>
      <c r="E617" t="s">
        <v>1434</v>
      </c>
      <c r="F617" t="s">
        <v>571</v>
      </c>
      <c r="G617" s="204"/>
      <c r="L617">
        <v>372</v>
      </c>
      <c r="M617">
        <v>8649</v>
      </c>
      <c r="N617">
        <v>0</v>
      </c>
      <c r="O617">
        <v>0</v>
      </c>
      <c r="P617">
        <v>0</v>
      </c>
      <c r="Q617">
        <v>372</v>
      </c>
      <c r="R617">
        <v>8649</v>
      </c>
      <c r="S617">
        <v>23.25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t="s">
        <v>546</v>
      </c>
      <c r="B618" t="s">
        <v>567</v>
      </c>
      <c r="C618" t="s">
        <v>555</v>
      </c>
      <c r="D618" t="s">
        <v>615</v>
      </c>
      <c r="E618" t="s">
        <v>1434</v>
      </c>
      <c r="F618" t="s">
        <v>571</v>
      </c>
      <c r="G618" s="204"/>
      <c r="L618">
        <v>83</v>
      </c>
      <c r="M618">
        <v>3627.1</v>
      </c>
      <c r="N618">
        <v>0</v>
      </c>
      <c r="O618">
        <v>0</v>
      </c>
      <c r="P618">
        <v>0</v>
      </c>
      <c r="Q618">
        <v>83</v>
      </c>
      <c r="R618">
        <v>3627.1</v>
      </c>
      <c r="S618">
        <v>43.699999999999996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t="s">
        <v>452</v>
      </c>
      <c r="B619" t="s">
        <v>566</v>
      </c>
      <c r="C619" t="s">
        <v>920</v>
      </c>
      <c r="D619" t="s">
        <v>920</v>
      </c>
      <c r="E619" t="s">
        <v>1406</v>
      </c>
      <c r="F619" t="s">
        <v>571</v>
      </c>
      <c r="G619" s="204"/>
      <c r="L619">
        <v>5</v>
      </c>
      <c r="M619">
        <v>459.1</v>
      </c>
      <c r="N619">
        <v>0</v>
      </c>
      <c r="O619">
        <v>0</v>
      </c>
      <c r="P619">
        <v>0</v>
      </c>
      <c r="Q619">
        <v>5</v>
      </c>
      <c r="R619">
        <v>459.1</v>
      </c>
      <c r="S619">
        <v>91.820000000000007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452</v>
      </c>
      <c r="B620" t="s">
        <v>566</v>
      </c>
      <c r="C620" t="s">
        <v>920</v>
      </c>
      <c r="D620" t="s">
        <v>920</v>
      </c>
      <c r="E620" t="s">
        <v>1393</v>
      </c>
      <c r="F620" t="s">
        <v>571</v>
      </c>
      <c r="G620" s="204"/>
      <c r="L620">
        <v>8</v>
      </c>
      <c r="M620">
        <v>734.56</v>
      </c>
      <c r="N620">
        <v>0</v>
      </c>
      <c r="O620">
        <v>0</v>
      </c>
      <c r="P620">
        <v>0</v>
      </c>
      <c r="Q620">
        <v>8</v>
      </c>
      <c r="R620">
        <v>734.56</v>
      </c>
      <c r="S620">
        <v>91.82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t="s">
        <v>452</v>
      </c>
      <c r="B621" t="s">
        <v>566</v>
      </c>
      <c r="C621" t="s">
        <v>920</v>
      </c>
      <c r="D621" t="s">
        <v>920</v>
      </c>
      <c r="E621" t="s">
        <v>1730</v>
      </c>
      <c r="F621" t="s">
        <v>571</v>
      </c>
      <c r="G621" s="204"/>
      <c r="H621">
        <v>2</v>
      </c>
      <c r="I621">
        <v>152.82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125</v>
      </c>
      <c r="B622" t="s">
        <v>566</v>
      </c>
      <c r="C622" t="s">
        <v>920</v>
      </c>
      <c r="D622" t="s">
        <v>920</v>
      </c>
      <c r="E622" t="s">
        <v>1497</v>
      </c>
      <c r="F622" t="s">
        <v>571</v>
      </c>
      <c r="G622" s="204"/>
      <c r="L622">
        <v>8</v>
      </c>
      <c r="M622">
        <v>699.6</v>
      </c>
      <c r="N622">
        <v>0</v>
      </c>
      <c r="O622">
        <v>0</v>
      </c>
      <c r="P622">
        <v>0</v>
      </c>
      <c r="Q622">
        <v>8</v>
      </c>
      <c r="R622">
        <v>699.6</v>
      </c>
      <c r="S622">
        <v>87.45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452</v>
      </c>
      <c r="B623" t="s">
        <v>566</v>
      </c>
      <c r="C623" t="s">
        <v>920</v>
      </c>
      <c r="D623" t="s">
        <v>920</v>
      </c>
      <c r="E623" t="s">
        <v>1349</v>
      </c>
      <c r="F623" t="s">
        <v>571</v>
      </c>
      <c r="G623" s="204"/>
      <c r="L623">
        <v>4</v>
      </c>
      <c r="M623">
        <v>367.28</v>
      </c>
      <c r="N623">
        <v>0</v>
      </c>
      <c r="O623">
        <v>0</v>
      </c>
      <c r="P623">
        <v>0</v>
      </c>
      <c r="Q623">
        <v>4</v>
      </c>
      <c r="R623">
        <v>367.28</v>
      </c>
      <c r="S623">
        <v>91.82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452</v>
      </c>
      <c r="B624" t="s">
        <v>566</v>
      </c>
      <c r="C624" t="s">
        <v>920</v>
      </c>
      <c r="D624" t="s">
        <v>920</v>
      </c>
      <c r="E624" t="s">
        <v>1731</v>
      </c>
      <c r="F624" t="s">
        <v>571</v>
      </c>
      <c r="G624" s="204"/>
      <c r="J624">
        <v>9</v>
      </c>
      <c r="K624">
        <v>749.61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119</v>
      </c>
      <c r="B625" t="s">
        <v>566</v>
      </c>
      <c r="C625" t="s">
        <v>920</v>
      </c>
      <c r="D625" t="s">
        <v>920</v>
      </c>
      <c r="E625" t="s">
        <v>1242</v>
      </c>
      <c r="F625" t="s">
        <v>571</v>
      </c>
      <c r="G625" s="204"/>
      <c r="L625">
        <v>1250</v>
      </c>
      <c r="M625">
        <v>24062.5</v>
      </c>
      <c r="N625">
        <v>0</v>
      </c>
      <c r="O625">
        <v>0</v>
      </c>
      <c r="P625">
        <v>0</v>
      </c>
      <c r="Q625">
        <v>1250</v>
      </c>
      <c r="R625">
        <v>24062.5</v>
      </c>
      <c r="S625">
        <v>19.25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452</v>
      </c>
      <c r="B626" t="s">
        <v>566</v>
      </c>
      <c r="C626" t="s">
        <v>920</v>
      </c>
      <c r="D626" t="s">
        <v>920</v>
      </c>
      <c r="E626" t="s">
        <v>1732</v>
      </c>
      <c r="F626" t="s">
        <v>571</v>
      </c>
      <c r="G626" s="204"/>
      <c r="H626">
        <v>5</v>
      </c>
      <c r="I626">
        <v>382.05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452</v>
      </c>
      <c r="B627" t="s">
        <v>566</v>
      </c>
      <c r="C627" t="s">
        <v>920</v>
      </c>
      <c r="D627" t="s">
        <v>920</v>
      </c>
      <c r="E627" t="s">
        <v>1212</v>
      </c>
      <c r="F627" t="s">
        <v>571</v>
      </c>
      <c r="G627" s="204"/>
      <c r="H627">
        <v>1000</v>
      </c>
      <c r="I627">
        <v>11410</v>
      </c>
      <c r="L627">
        <v>2000</v>
      </c>
      <c r="M627">
        <v>25140</v>
      </c>
      <c r="N627">
        <v>0</v>
      </c>
      <c r="O627">
        <v>0</v>
      </c>
      <c r="P627">
        <v>0</v>
      </c>
      <c r="Q627">
        <v>2000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23</v>
      </c>
      <c r="B628" t="s">
        <v>1031</v>
      </c>
      <c r="C628" t="s">
        <v>920</v>
      </c>
      <c r="D628" t="s">
        <v>920</v>
      </c>
      <c r="E628" t="s">
        <v>1316</v>
      </c>
      <c r="F628" t="s">
        <v>571</v>
      </c>
      <c r="G628" s="204"/>
      <c r="L628">
        <v>2</v>
      </c>
      <c r="M628">
        <v>1500</v>
      </c>
      <c r="N628">
        <v>0</v>
      </c>
      <c r="O628">
        <v>0</v>
      </c>
      <c r="P628">
        <v>0</v>
      </c>
      <c r="Q628">
        <v>2</v>
      </c>
      <c r="R628">
        <v>1500</v>
      </c>
      <c r="S628">
        <v>750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889</v>
      </c>
      <c r="B629" t="s">
        <v>562</v>
      </c>
      <c r="C629" t="s">
        <v>569</v>
      </c>
      <c r="D629" t="s">
        <v>958</v>
      </c>
      <c r="E629" t="s">
        <v>1373</v>
      </c>
      <c r="F629" t="s">
        <v>571</v>
      </c>
      <c r="G629" s="204"/>
      <c r="L629">
        <v>6</v>
      </c>
      <c r="M629">
        <v>22566</v>
      </c>
      <c r="N629">
        <v>0</v>
      </c>
      <c r="O629">
        <v>0</v>
      </c>
      <c r="P629">
        <v>0</v>
      </c>
      <c r="Q629">
        <v>6</v>
      </c>
      <c r="R629">
        <v>22566</v>
      </c>
      <c r="S629">
        <v>3761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t="s">
        <v>25</v>
      </c>
      <c r="B630" t="s">
        <v>566</v>
      </c>
      <c r="C630" t="s">
        <v>920</v>
      </c>
      <c r="D630" t="s">
        <v>920</v>
      </c>
      <c r="E630" t="s">
        <v>1332</v>
      </c>
      <c r="F630" t="s">
        <v>571</v>
      </c>
      <c r="G630" s="204"/>
      <c r="L630">
        <v>106</v>
      </c>
      <c r="M630">
        <v>10176.42</v>
      </c>
      <c r="N630">
        <v>0</v>
      </c>
      <c r="O630">
        <v>0</v>
      </c>
      <c r="P630">
        <v>0</v>
      </c>
      <c r="Q630">
        <v>106</v>
      </c>
      <c r="R630">
        <v>10176.42</v>
      </c>
      <c r="S630">
        <v>96.003962264150942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25</v>
      </c>
      <c r="B631" t="s">
        <v>566</v>
      </c>
      <c r="C631" t="s">
        <v>920</v>
      </c>
      <c r="D631" t="s">
        <v>920</v>
      </c>
      <c r="E631" t="s">
        <v>1518</v>
      </c>
      <c r="F631" t="s">
        <v>571</v>
      </c>
      <c r="G631" s="204"/>
      <c r="L631">
        <v>6</v>
      </c>
      <c r="M631">
        <v>708.42</v>
      </c>
      <c r="N631">
        <v>0</v>
      </c>
      <c r="O631">
        <v>0</v>
      </c>
      <c r="P631">
        <v>0</v>
      </c>
      <c r="Q631">
        <v>6</v>
      </c>
      <c r="R631">
        <v>708.42</v>
      </c>
      <c r="S631">
        <v>118.07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25</v>
      </c>
      <c r="B632" t="s">
        <v>566</v>
      </c>
      <c r="C632" t="s">
        <v>920</v>
      </c>
      <c r="D632" t="s">
        <v>920</v>
      </c>
      <c r="E632" t="s">
        <v>1733</v>
      </c>
      <c r="F632" t="s">
        <v>571</v>
      </c>
      <c r="G632" s="204"/>
      <c r="H632">
        <v>6</v>
      </c>
      <c r="I632">
        <v>571.88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25</v>
      </c>
      <c r="B633" t="s">
        <v>566</v>
      </c>
      <c r="C633" t="s">
        <v>920</v>
      </c>
      <c r="D633" t="s">
        <v>920</v>
      </c>
      <c r="E633" t="s">
        <v>1449</v>
      </c>
      <c r="F633" t="s">
        <v>571</v>
      </c>
      <c r="G633" s="204"/>
      <c r="H633">
        <v>80</v>
      </c>
      <c r="I633">
        <v>7416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25</v>
      </c>
      <c r="B634" t="s">
        <v>566</v>
      </c>
      <c r="C634" t="s">
        <v>920</v>
      </c>
      <c r="D634" t="s">
        <v>920</v>
      </c>
      <c r="E634" t="s">
        <v>1228</v>
      </c>
      <c r="F634" t="s">
        <v>571</v>
      </c>
      <c r="G634" s="204"/>
      <c r="L634">
        <v>0</v>
      </c>
      <c r="M634">
        <v>0</v>
      </c>
      <c r="N634">
        <v>100</v>
      </c>
      <c r="O634">
        <v>3502</v>
      </c>
      <c r="P634">
        <v>100</v>
      </c>
      <c r="Q634">
        <v>100</v>
      </c>
      <c r="R634">
        <v>3502</v>
      </c>
      <c r="S634">
        <v>35.020000000000003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t="s">
        <v>455</v>
      </c>
      <c r="B635" t="s">
        <v>567</v>
      </c>
      <c r="C635" t="s">
        <v>920</v>
      </c>
      <c r="D635" t="s">
        <v>920</v>
      </c>
      <c r="E635" t="s">
        <v>1490</v>
      </c>
      <c r="F635" t="s">
        <v>571</v>
      </c>
      <c r="G635" s="204"/>
      <c r="L635">
        <v>50</v>
      </c>
      <c r="M635">
        <v>2107</v>
      </c>
      <c r="N635">
        <v>0</v>
      </c>
      <c r="O635">
        <v>0</v>
      </c>
      <c r="P635">
        <v>0</v>
      </c>
      <c r="Q635">
        <v>50</v>
      </c>
      <c r="R635">
        <v>2107</v>
      </c>
      <c r="S635">
        <v>42.14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t="s">
        <v>25</v>
      </c>
      <c r="B636" t="s">
        <v>566</v>
      </c>
      <c r="C636" t="s">
        <v>920</v>
      </c>
      <c r="D636" t="s">
        <v>920</v>
      </c>
      <c r="E636" t="s">
        <v>1469</v>
      </c>
      <c r="F636" t="s">
        <v>571</v>
      </c>
      <c r="G636" s="204"/>
      <c r="H636">
        <v>1</v>
      </c>
      <c r="I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25</v>
      </c>
      <c r="B637" t="s">
        <v>566</v>
      </c>
      <c r="C637" t="s">
        <v>920</v>
      </c>
      <c r="D637" t="s">
        <v>920</v>
      </c>
      <c r="E637" t="s">
        <v>1734</v>
      </c>
      <c r="F637" t="s">
        <v>571</v>
      </c>
      <c r="G637" s="204"/>
      <c r="J637">
        <v>1</v>
      </c>
      <c r="K637">
        <v>101.04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12</v>
      </c>
      <c r="B638" t="s">
        <v>556</v>
      </c>
      <c r="C638" t="s">
        <v>564</v>
      </c>
      <c r="D638" t="s">
        <v>614</v>
      </c>
      <c r="E638" t="s">
        <v>1412</v>
      </c>
      <c r="F638" t="s">
        <v>571</v>
      </c>
      <c r="G638" s="204"/>
      <c r="J638">
        <v>12</v>
      </c>
      <c r="K638">
        <v>24168</v>
      </c>
      <c r="L638">
        <v>12</v>
      </c>
      <c r="M638">
        <v>24965.52</v>
      </c>
      <c r="N638">
        <v>0</v>
      </c>
      <c r="O638">
        <v>0</v>
      </c>
      <c r="P638">
        <v>0</v>
      </c>
      <c r="Q638">
        <v>12</v>
      </c>
      <c r="R638">
        <v>24965.52</v>
      </c>
      <c r="S638">
        <v>2080.46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t="s">
        <v>25</v>
      </c>
      <c r="B639" t="s">
        <v>566</v>
      </c>
      <c r="C639" t="s">
        <v>920</v>
      </c>
      <c r="D639" t="s">
        <v>920</v>
      </c>
      <c r="E639" t="s">
        <v>1735</v>
      </c>
      <c r="F639" t="s">
        <v>571</v>
      </c>
      <c r="G639" s="204"/>
      <c r="J639">
        <v>5</v>
      </c>
      <c r="K639">
        <v>505.2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t="s">
        <v>25</v>
      </c>
      <c r="B640" t="s">
        <v>566</v>
      </c>
      <c r="C640" t="s">
        <v>920</v>
      </c>
      <c r="D640" t="s">
        <v>920</v>
      </c>
      <c r="E640" t="s">
        <v>1715</v>
      </c>
      <c r="F640" t="s">
        <v>571</v>
      </c>
      <c r="G640" s="204"/>
      <c r="H640">
        <v>6</v>
      </c>
      <c r="I640">
        <v>572.88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7" x14ac:dyDescent="0.25">
      <c r="A641" t="s">
        <v>29</v>
      </c>
      <c r="B641" t="s">
        <v>566</v>
      </c>
      <c r="C641" t="s">
        <v>920</v>
      </c>
      <c r="D641" t="s">
        <v>920</v>
      </c>
      <c r="E641" t="s">
        <v>1266</v>
      </c>
      <c r="F641" t="s">
        <v>571</v>
      </c>
      <c r="G641" s="204"/>
      <c r="L641">
        <v>700</v>
      </c>
      <c r="M641">
        <v>17227</v>
      </c>
      <c r="N641">
        <v>1500</v>
      </c>
      <c r="O641">
        <v>36915</v>
      </c>
      <c r="P641">
        <v>1500</v>
      </c>
      <c r="Q641">
        <v>2200</v>
      </c>
      <c r="T641">
        <v>0</v>
      </c>
      <c r="U641">
        <v>0</v>
      </c>
      <c r="V641">
        <v>500</v>
      </c>
      <c r="W641">
        <v>12305</v>
      </c>
      <c r="X641">
        <v>500</v>
      </c>
      <c r="Y641">
        <v>500</v>
      </c>
      <c r="Z641">
        <v>12305</v>
      </c>
      <c r="AA641">
        <v>24.61</v>
      </c>
    </row>
    <row r="642" spans="1:27" x14ac:dyDescent="0.25">
      <c r="A642" t="s">
        <v>25</v>
      </c>
      <c r="B642" t="s">
        <v>566</v>
      </c>
      <c r="C642" t="s">
        <v>920</v>
      </c>
      <c r="D642" t="s">
        <v>920</v>
      </c>
      <c r="E642" t="s">
        <v>1419</v>
      </c>
      <c r="F642" t="s">
        <v>571</v>
      </c>
      <c r="G642" s="204"/>
      <c r="H642">
        <v>125</v>
      </c>
      <c r="I642">
        <v>11411.100000000002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7" x14ac:dyDescent="0.25">
      <c r="A643" t="s">
        <v>35</v>
      </c>
      <c r="B643" t="s">
        <v>567</v>
      </c>
      <c r="C643" t="s">
        <v>920</v>
      </c>
      <c r="D643" t="s">
        <v>920</v>
      </c>
      <c r="E643" t="s">
        <v>1341</v>
      </c>
      <c r="F643" t="s">
        <v>571</v>
      </c>
      <c r="G643" s="204"/>
      <c r="L643">
        <v>3</v>
      </c>
      <c r="M643">
        <v>162.12</v>
      </c>
      <c r="N643">
        <v>0</v>
      </c>
      <c r="O643">
        <v>0</v>
      </c>
      <c r="P643">
        <v>0</v>
      </c>
      <c r="Q643">
        <v>3</v>
      </c>
      <c r="R643">
        <v>162.12</v>
      </c>
      <c r="S643">
        <v>54.04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7" x14ac:dyDescent="0.25">
      <c r="A644" t="s">
        <v>25</v>
      </c>
      <c r="B644" t="s">
        <v>566</v>
      </c>
      <c r="C644" t="s">
        <v>920</v>
      </c>
      <c r="D644" t="s">
        <v>920</v>
      </c>
      <c r="E644" t="s">
        <v>1475</v>
      </c>
      <c r="F644" t="s">
        <v>571</v>
      </c>
      <c r="G644" s="204"/>
      <c r="J644">
        <v>71</v>
      </c>
      <c r="K644">
        <v>7173.84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7" x14ac:dyDescent="0.25">
      <c r="A645" t="s">
        <v>25</v>
      </c>
      <c r="B645" t="s">
        <v>566</v>
      </c>
      <c r="C645" t="s">
        <v>920</v>
      </c>
      <c r="D645" t="s">
        <v>920</v>
      </c>
      <c r="E645" t="s">
        <v>1468</v>
      </c>
      <c r="F645" t="s">
        <v>571</v>
      </c>
      <c r="G645" s="204"/>
      <c r="H645">
        <v>10</v>
      </c>
      <c r="I645">
        <v>1010.4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7" x14ac:dyDescent="0.25">
      <c r="A646" t="s">
        <v>25</v>
      </c>
      <c r="B646" t="s">
        <v>566</v>
      </c>
      <c r="C646" t="s">
        <v>920</v>
      </c>
      <c r="D646" t="s">
        <v>920</v>
      </c>
      <c r="E646" t="s">
        <v>1408</v>
      </c>
      <c r="F646" t="s">
        <v>571</v>
      </c>
      <c r="G646" s="204"/>
      <c r="J646">
        <v>2</v>
      </c>
      <c r="K646">
        <v>202.08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7" x14ac:dyDescent="0.25">
      <c r="A647" t="s">
        <v>25</v>
      </c>
      <c r="B647" t="s">
        <v>566</v>
      </c>
      <c r="C647" t="s">
        <v>920</v>
      </c>
      <c r="D647" t="s">
        <v>920</v>
      </c>
      <c r="E647" t="s">
        <v>1736</v>
      </c>
      <c r="F647" t="s">
        <v>571</v>
      </c>
      <c r="G647" s="204"/>
      <c r="H647">
        <v>3</v>
      </c>
      <c r="I647">
        <v>278.10000000000002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7" x14ac:dyDescent="0.25">
      <c r="A648" t="s">
        <v>25</v>
      </c>
      <c r="B648" t="s">
        <v>566</v>
      </c>
      <c r="C648" t="s">
        <v>920</v>
      </c>
      <c r="D648" t="s">
        <v>920</v>
      </c>
      <c r="E648" t="s">
        <v>1366</v>
      </c>
      <c r="F648" t="s">
        <v>571</v>
      </c>
      <c r="G648" s="204"/>
      <c r="J648">
        <v>12</v>
      </c>
      <c r="K648">
        <v>1212.48</v>
      </c>
      <c r="L648">
        <v>18</v>
      </c>
      <c r="M648">
        <v>2005.02</v>
      </c>
      <c r="N648">
        <v>0</v>
      </c>
      <c r="O648">
        <v>0</v>
      </c>
      <c r="P648">
        <v>0</v>
      </c>
      <c r="Q648">
        <v>18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7" x14ac:dyDescent="0.25">
      <c r="A649" t="s">
        <v>25</v>
      </c>
      <c r="B649" t="s">
        <v>566</v>
      </c>
      <c r="C649" t="s">
        <v>920</v>
      </c>
      <c r="D649" t="s">
        <v>920</v>
      </c>
      <c r="E649" t="s">
        <v>1337</v>
      </c>
      <c r="F649" t="s">
        <v>571</v>
      </c>
      <c r="G649" s="204"/>
      <c r="H649">
        <v>1</v>
      </c>
      <c r="I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7" x14ac:dyDescent="0.25">
      <c r="A650" t="s">
        <v>25</v>
      </c>
      <c r="B650" t="s">
        <v>566</v>
      </c>
      <c r="C650" t="s">
        <v>920</v>
      </c>
      <c r="D650" t="s">
        <v>920</v>
      </c>
      <c r="E650" t="s">
        <v>1737</v>
      </c>
      <c r="F650" t="s">
        <v>571</v>
      </c>
      <c r="G650" s="204"/>
      <c r="H650">
        <v>5</v>
      </c>
      <c r="I650">
        <v>449.6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7" x14ac:dyDescent="0.25">
      <c r="A651" t="s">
        <v>1607</v>
      </c>
      <c r="B651" t="s">
        <v>562</v>
      </c>
      <c r="C651" t="s">
        <v>1860</v>
      </c>
      <c r="D651" t="s">
        <v>1875</v>
      </c>
      <c r="E651" t="s">
        <v>1173</v>
      </c>
      <c r="F651" t="s">
        <v>571</v>
      </c>
      <c r="G651" s="204"/>
      <c r="H651">
        <v>4</v>
      </c>
      <c r="I651">
        <v>17076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7" x14ac:dyDescent="0.25">
      <c r="A652" t="s">
        <v>119</v>
      </c>
      <c r="B652" t="s">
        <v>566</v>
      </c>
      <c r="C652" t="s">
        <v>920</v>
      </c>
      <c r="D652" t="s">
        <v>920</v>
      </c>
      <c r="E652" t="s">
        <v>1464</v>
      </c>
      <c r="F652" t="s">
        <v>571</v>
      </c>
      <c r="G652" s="204"/>
      <c r="H652">
        <v>2</v>
      </c>
      <c r="I652">
        <v>152.82</v>
      </c>
      <c r="L652">
        <v>3</v>
      </c>
      <c r="M652">
        <v>275.45999999999998</v>
      </c>
      <c r="N652">
        <v>0</v>
      </c>
      <c r="O652">
        <v>0</v>
      </c>
      <c r="P652">
        <v>0</v>
      </c>
      <c r="Q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7" x14ac:dyDescent="0.25">
      <c r="A653" t="s">
        <v>27</v>
      </c>
      <c r="B653" t="s">
        <v>567</v>
      </c>
      <c r="C653" t="s">
        <v>920</v>
      </c>
      <c r="D653" t="s">
        <v>920</v>
      </c>
      <c r="E653" t="s">
        <v>1315</v>
      </c>
      <c r="F653" t="s">
        <v>571</v>
      </c>
      <c r="G653" s="204"/>
      <c r="H653">
        <v>30</v>
      </c>
      <c r="I653">
        <v>1699.2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7" x14ac:dyDescent="0.25">
      <c r="A654" t="s">
        <v>1317</v>
      </c>
      <c r="B654" t="s">
        <v>567</v>
      </c>
      <c r="C654" t="s">
        <v>920</v>
      </c>
      <c r="D654" t="s">
        <v>920</v>
      </c>
      <c r="E654" t="s">
        <v>1316</v>
      </c>
      <c r="F654" t="s">
        <v>571</v>
      </c>
      <c r="G654" s="204"/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T654">
        <v>0</v>
      </c>
      <c r="U654">
        <v>0</v>
      </c>
      <c r="V654">
        <v>20</v>
      </c>
      <c r="W654">
        <v>4167.2</v>
      </c>
      <c r="X654">
        <v>20</v>
      </c>
      <c r="Y654">
        <v>20</v>
      </c>
      <c r="Z654">
        <v>4167.2</v>
      </c>
      <c r="AA654">
        <v>208.35999999999999</v>
      </c>
    </row>
    <row r="655" spans="1:27" x14ac:dyDescent="0.25">
      <c r="A655" t="s">
        <v>65</v>
      </c>
      <c r="B655" t="s">
        <v>566</v>
      </c>
      <c r="C655" t="s">
        <v>920</v>
      </c>
      <c r="D655" t="s">
        <v>920</v>
      </c>
      <c r="E655" t="s">
        <v>1380</v>
      </c>
      <c r="F655" t="s">
        <v>571</v>
      </c>
      <c r="G655" s="204"/>
      <c r="L655">
        <v>4</v>
      </c>
      <c r="M655">
        <v>199.6</v>
      </c>
      <c r="N655">
        <v>0</v>
      </c>
      <c r="O655">
        <v>0</v>
      </c>
      <c r="P655">
        <v>0</v>
      </c>
      <c r="Q655">
        <v>4</v>
      </c>
      <c r="R655">
        <v>199.6</v>
      </c>
      <c r="S655">
        <v>49.9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7" x14ac:dyDescent="0.25">
      <c r="A656" t="s">
        <v>1317</v>
      </c>
      <c r="B656" t="s">
        <v>567</v>
      </c>
      <c r="C656" t="s">
        <v>920</v>
      </c>
      <c r="D656" t="s">
        <v>920</v>
      </c>
      <c r="E656" t="s">
        <v>1706</v>
      </c>
      <c r="F656" t="s">
        <v>571</v>
      </c>
      <c r="G656" s="204"/>
      <c r="H656">
        <v>2</v>
      </c>
      <c r="I656">
        <v>347.26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29</v>
      </c>
      <c r="B657" t="s">
        <v>566</v>
      </c>
      <c r="C657" t="s">
        <v>920</v>
      </c>
      <c r="D657" t="s">
        <v>920</v>
      </c>
      <c r="E657" t="s">
        <v>1738</v>
      </c>
      <c r="F657" t="s">
        <v>571</v>
      </c>
      <c r="G657" s="204"/>
      <c r="J657">
        <v>206</v>
      </c>
      <c r="K657">
        <v>19475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t="s">
        <v>29</v>
      </c>
      <c r="B658" t="s">
        <v>566</v>
      </c>
      <c r="C658" t="s">
        <v>920</v>
      </c>
      <c r="D658" t="s">
        <v>920</v>
      </c>
      <c r="E658" t="s">
        <v>1339</v>
      </c>
      <c r="F658" t="s">
        <v>571</v>
      </c>
      <c r="G658" s="204"/>
      <c r="J658">
        <v>20</v>
      </c>
      <c r="K658">
        <v>2646.8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29</v>
      </c>
      <c r="B659" t="s">
        <v>566</v>
      </c>
      <c r="C659" t="s">
        <v>920</v>
      </c>
      <c r="D659" t="s">
        <v>920</v>
      </c>
      <c r="E659" t="s">
        <v>1330</v>
      </c>
      <c r="F659" t="s">
        <v>571</v>
      </c>
      <c r="G659" s="204"/>
      <c r="H659">
        <v>250</v>
      </c>
      <c r="I659">
        <v>5252.5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29</v>
      </c>
      <c r="B660" t="s">
        <v>566</v>
      </c>
      <c r="C660" t="s">
        <v>920</v>
      </c>
      <c r="D660" t="s">
        <v>920</v>
      </c>
      <c r="E660" t="s">
        <v>1739</v>
      </c>
      <c r="F660" t="s">
        <v>571</v>
      </c>
      <c r="G660" s="204"/>
      <c r="J660">
        <v>4</v>
      </c>
      <c r="K660">
        <v>504.16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t="s">
        <v>29</v>
      </c>
      <c r="B661" t="s">
        <v>566</v>
      </c>
      <c r="C661" t="s">
        <v>920</v>
      </c>
      <c r="D661" t="s">
        <v>920</v>
      </c>
      <c r="E661" t="s">
        <v>1138</v>
      </c>
      <c r="F661" t="s">
        <v>571</v>
      </c>
      <c r="G661" s="204"/>
      <c r="J661">
        <v>4000</v>
      </c>
      <c r="K661">
        <v>69440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t="s">
        <v>1532</v>
      </c>
      <c r="B662" t="s">
        <v>565</v>
      </c>
      <c r="C662" t="s">
        <v>920</v>
      </c>
      <c r="D662" t="s">
        <v>920</v>
      </c>
      <c r="E662" t="s">
        <v>1190</v>
      </c>
      <c r="F662" t="s">
        <v>571</v>
      </c>
      <c r="G662" s="204"/>
      <c r="J662">
        <v>11</v>
      </c>
      <c r="K662">
        <v>1623.16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31</v>
      </c>
      <c r="B663" t="s">
        <v>567</v>
      </c>
      <c r="C663" t="s">
        <v>920</v>
      </c>
      <c r="D663" t="s">
        <v>920</v>
      </c>
      <c r="E663" t="s">
        <v>1740</v>
      </c>
      <c r="F663" t="s">
        <v>571</v>
      </c>
      <c r="G663" s="204"/>
      <c r="H663">
        <v>35</v>
      </c>
      <c r="I663">
        <v>2188.9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31</v>
      </c>
      <c r="B664" t="s">
        <v>567</v>
      </c>
      <c r="C664" t="s">
        <v>920</v>
      </c>
      <c r="D664" t="s">
        <v>920</v>
      </c>
      <c r="E664" t="s">
        <v>1318</v>
      </c>
      <c r="F664" t="s">
        <v>571</v>
      </c>
      <c r="G664" s="204"/>
      <c r="H664">
        <v>0</v>
      </c>
      <c r="I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31</v>
      </c>
      <c r="B665" t="s">
        <v>567</v>
      </c>
      <c r="C665" t="s">
        <v>920</v>
      </c>
      <c r="D665" t="s">
        <v>920</v>
      </c>
      <c r="E665" t="s">
        <v>1216</v>
      </c>
      <c r="F665" t="s">
        <v>571</v>
      </c>
      <c r="G665" s="204"/>
      <c r="L665">
        <v>100</v>
      </c>
      <c r="M665">
        <v>6213</v>
      </c>
      <c r="N665">
        <v>100</v>
      </c>
      <c r="O665">
        <v>6213</v>
      </c>
      <c r="P665">
        <v>100</v>
      </c>
      <c r="Q665">
        <v>200</v>
      </c>
      <c r="R665">
        <v>12426</v>
      </c>
      <c r="S665">
        <v>62.13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33</v>
      </c>
      <c r="B666" t="s">
        <v>566</v>
      </c>
      <c r="C666" t="s">
        <v>920</v>
      </c>
      <c r="D666" t="s">
        <v>920</v>
      </c>
      <c r="E666" t="s">
        <v>1250</v>
      </c>
      <c r="F666" t="s">
        <v>571</v>
      </c>
      <c r="G666" s="204"/>
      <c r="H666">
        <v>35</v>
      </c>
      <c r="I666">
        <v>1718.85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844</v>
      </c>
      <c r="B667" t="s">
        <v>566</v>
      </c>
      <c r="C667" t="s">
        <v>920</v>
      </c>
      <c r="D667" t="s">
        <v>920</v>
      </c>
      <c r="E667" t="s">
        <v>1332</v>
      </c>
      <c r="F667" t="s">
        <v>571</v>
      </c>
      <c r="G667" s="204"/>
      <c r="L667">
        <v>3</v>
      </c>
      <c r="M667">
        <v>694.32</v>
      </c>
      <c r="N667">
        <v>0</v>
      </c>
      <c r="O667">
        <v>0</v>
      </c>
      <c r="P667">
        <v>0</v>
      </c>
      <c r="Q667">
        <v>3</v>
      </c>
      <c r="R667">
        <v>694.32</v>
      </c>
      <c r="S667">
        <v>231.44000000000003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33</v>
      </c>
      <c r="B668" t="s">
        <v>566</v>
      </c>
      <c r="C668" t="s">
        <v>920</v>
      </c>
      <c r="D668" t="s">
        <v>920</v>
      </c>
      <c r="E668" t="s">
        <v>1217</v>
      </c>
      <c r="F668" t="s">
        <v>571</v>
      </c>
      <c r="G668" s="204"/>
      <c r="L668">
        <v>0</v>
      </c>
      <c r="M668">
        <v>0</v>
      </c>
      <c r="N668">
        <v>500</v>
      </c>
      <c r="O668">
        <v>16630</v>
      </c>
      <c r="P668">
        <v>500</v>
      </c>
      <c r="Q668">
        <v>500</v>
      </c>
      <c r="R668">
        <v>16630</v>
      </c>
      <c r="S668">
        <v>33.26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125</v>
      </c>
      <c r="B669" t="s">
        <v>566</v>
      </c>
      <c r="C669" t="s">
        <v>920</v>
      </c>
      <c r="D669" t="s">
        <v>920</v>
      </c>
      <c r="E669" t="s">
        <v>1499</v>
      </c>
      <c r="F669" t="s">
        <v>571</v>
      </c>
      <c r="G669" s="204"/>
      <c r="L669">
        <v>350</v>
      </c>
      <c r="M669">
        <v>6965</v>
      </c>
      <c r="N669">
        <v>0</v>
      </c>
      <c r="O669">
        <v>0</v>
      </c>
      <c r="P669">
        <v>0</v>
      </c>
      <c r="Q669">
        <v>350</v>
      </c>
      <c r="R669">
        <v>6965</v>
      </c>
      <c r="S669">
        <v>19.899999999999999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45</v>
      </c>
      <c r="B670" t="s">
        <v>1031</v>
      </c>
      <c r="C670" t="s">
        <v>920</v>
      </c>
      <c r="D670" t="s">
        <v>920</v>
      </c>
      <c r="E670" t="s">
        <v>1499</v>
      </c>
      <c r="F670" t="s">
        <v>571</v>
      </c>
      <c r="G670" s="204"/>
      <c r="L670">
        <v>250</v>
      </c>
      <c r="M670">
        <v>4667.5</v>
      </c>
      <c r="N670">
        <v>0</v>
      </c>
      <c r="O670">
        <v>0</v>
      </c>
      <c r="P670">
        <v>0</v>
      </c>
      <c r="Q670">
        <v>250</v>
      </c>
      <c r="R670">
        <v>4667.5</v>
      </c>
      <c r="S670">
        <v>18.670000000000002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33</v>
      </c>
      <c r="B671" t="s">
        <v>566</v>
      </c>
      <c r="C671" t="s">
        <v>920</v>
      </c>
      <c r="D671" t="s">
        <v>920</v>
      </c>
      <c r="E671" t="s">
        <v>1378</v>
      </c>
      <c r="F671" t="s">
        <v>571</v>
      </c>
      <c r="G671" s="204"/>
      <c r="H671">
        <v>8</v>
      </c>
      <c r="I671">
        <v>1002.24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t="s">
        <v>57</v>
      </c>
      <c r="B672" t="s">
        <v>1031</v>
      </c>
      <c r="C672" t="s">
        <v>920</v>
      </c>
      <c r="D672" t="s">
        <v>920</v>
      </c>
      <c r="E672" t="s">
        <v>1499</v>
      </c>
      <c r="F672" t="s">
        <v>571</v>
      </c>
      <c r="G672" s="204"/>
      <c r="L672">
        <v>500</v>
      </c>
      <c r="M672">
        <v>9965</v>
      </c>
      <c r="N672">
        <v>0</v>
      </c>
      <c r="O672">
        <v>0</v>
      </c>
      <c r="P672">
        <v>0</v>
      </c>
      <c r="Q672">
        <v>500</v>
      </c>
      <c r="R672">
        <v>9965</v>
      </c>
      <c r="S672">
        <v>19.93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33</v>
      </c>
      <c r="B673" t="s">
        <v>566</v>
      </c>
      <c r="C673" t="s">
        <v>920</v>
      </c>
      <c r="D673" t="s">
        <v>920</v>
      </c>
      <c r="E673" t="s">
        <v>1439</v>
      </c>
      <c r="F673" t="s">
        <v>571</v>
      </c>
      <c r="G673" s="204"/>
      <c r="L673">
        <v>2</v>
      </c>
      <c r="M673">
        <v>310.39999999999998</v>
      </c>
      <c r="N673">
        <v>0</v>
      </c>
      <c r="O673">
        <v>0</v>
      </c>
      <c r="P673">
        <v>0</v>
      </c>
      <c r="Q673">
        <v>2</v>
      </c>
      <c r="R673">
        <v>310.39999999999998</v>
      </c>
      <c r="S673">
        <v>155.19999999999999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t="s">
        <v>33</v>
      </c>
      <c r="B674" t="s">
        <v>566</v>
      </c>
      <c r="C674" t="s">
        <v>920</v>
      </c>
      <c r="D674" t="s">
        <v>920</v>
      </c>
      <c r="E674" t="s">
        <v>1741</v>
      </c>
      <c r="F674" t="s">
        <v>571</v>
      </c>
      <c r="G674" s="204"/>
      <c r="H674">
        <v>1</v>
      </c>
      <c r="I674">
        <v>129.15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63</v>
      </c>
      <c r="B675" t="s">
        <v>566</v>
      </c>
      <c r="C675" t="s">
        <v>920</v>
      </c>
      <c r="D675" t="s">
        <v>920</v>
      </c>
      <c r="E675" t="s">
        <v>1348</v>
      </c>
      <c r="F675" t="s">
        <v>571</v>
      </c>
      <c r="G675" s="204"/>
      <c r="L675">
        <v>12</v>
      </c>
      <c r="M675">
        <v>1396.56</v>
      </c>
      <c r="N675">
        <v>0</v>
      </c>
      <c r="O675">
        <v>0</v>
      </c>
      <c r="P675">
        <v>0</v>
      </c>
      <c r="Q675">
        <v>12</v>
      </c>
      <c r="R675">
        <v>1396.56</v>
      </c>
      <c r="S675">
        <v>116.38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t="s">
        <v>55</v>
      </c>
      <c r="B676" t="s">
        <v>566</v>
      </c>
      <c r="C676" t="s">
        <v>920</v>
      </c>
      <c r="D676" t="s">
        <v>920</v>
      </c>
      <c r="E676" t="s">
        <v>1348</v>
      </c>
      <c r="F676" t="s">
        <v>571</v>
      </c>
      <c r="G676" s="204"/>
      <c r="L676">
        <v>2</v>
      </c>
      <c r="M676">
        <v>155.86000000000001</v>
      </c>
      <c r="N676">
        <v>0</v>
      </c>
      <c r="O676">
        <v>0</v>
      </c>
      <c r="P676">
        <v>0</v>
      </c>
      <c r="Q676">
        <v>2</v>
      </c>
      <c r="R676">
        <v>155.86000000000001</v>
      </c>
      <c r="S676">
        <v>77.930000000000007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33</v>
      </c>
      <c r="B677" t="s">
        <v>566</v>
      </c>
      <c r="C677" t="s">
        <v>920</v>
      </c>
      <c r="D677" t="s">
        <v>920</v>
      </c>
      <c r="E677" t="s">
        <v>1511</v>
      </c>
      <c r="F677" t="s">
        <v>571</v>
      </c>
      <c r="G677" s="204"/>
      <c r="L677">
        <v>1</v>
      </c>
      <c r="M677">
        <v>155.19999999999999</v>
      </c>
      <c r="N677">
        <v>0</v>
      </c>
      <c r="O677">
        <v>0</v>
      </c>
      <c r="P677">
        <v>0</v>
      </c>
      <c r="Q677">
        <v>1</v>
      </c>
      <c r="R677">
        <v>155.19999999999999</v>
      </c>
      <c r="S677">
        <v>155.19999999999999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33</v>
      </c>
      <c r="B678" t="s">
        <v>566</v>
      </c>
      <c r="C678" t="s">
        <v>920</v>
      </c>
      <c r="D678" t="s">
        <v>920</v>
      </c>
      <c r="E678" t="s">
        <v>1742</v>
      </c>
      <c r="F678" t="s">
        <v>571</v>
      </c>
      <c r="G678" s="204"/>
      <c r="H678">
        <v>11</v>
      </c>
      <c r="I678">
        <v>1455.51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33</v>
      </c>
      <c r="B679" t="s">
        <v>566</v>
      </c>
      <c r="C679" t="s">
        <v>920</v>
      </c>
      <c r="D679" t="s">
        <v>920</v>
      </c>
      <c r="E679" t="s">
        <v>1397</v>
      </c>
      <c r="F679" t="s">
        <v>571</v>
      </c>
      <c r="G679" s="204"/>
      <c r="J679">
        <v>14</v>
      </c>
      <c r="K679">
        <v>2041.18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33</v>
      </c>
      <c r="B680" t="s">
        <v>566</v>
      </c>
      <c r="C680" t="s">
        <v>920</v>
      </c>
      <c r="D680" t="s">
        <v>920</v>
      </c>
      <c r="E680" t="s">
        <v>1743</v>
      </c>
      <c r="F680" t="s">
        <v>571</v>
      </c>
      <c r="G680" s="204"/>
      <c r="H680">
        <v>1</v>
      </c>
      <c r="I680">
        <v>129.15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33</v>
      </c>
      <c r="B681" t="s">
        <v>566</v>
      </c>
      <c r="C681" t="s">
        <v>920</v>
      </c>
      <c r="D681" t="s">
        <v>920</v>
      </c>
      <c r="E681" t="s">
        <v>1514</v>
      </c>
      <c r="F681" t="s">
        <v>571</v>
      </c>
      <c r="G681" s="204"/>
      <c r="L681">
        <v>1</v>
      </c>
      <c r="M681">
        <v>155.19999999999999</v>
      </c>
      <c r="N681">
        <v>0</v>
      </c>
      <c r="O681">
        <v>0</v>
      </c>
      <c r="P681">
        <v>0</v>
      </c>
      <c r="Q681">
        <v>1</v>
      </c>
      <c r="R681">
        <v>155.19999999999999</v>
      </c>
      <c r="S681">
        <v>155.19999999999999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844</v>
      </c>
      <c r="B682" t="s">
        <v>566</v>
      </c>
      <c r="C682" t="s">
        <v>920</v>
      </c>
      <c r="D682" t="s">
        <v>920</v>
      </c>
      <c r="E682" t="s">
        <v>1475</v>
      </c>
      <c r="F682" t="s">
        <v>571</v>
      </c>
      <c r="G682" s="204"/>
      <c r="L682">
        <v>3</v>
      </c>
      <c r="M682">
        <v>655.02</v>
      </c>
      <c r="N682">
        <v>0</v>
      </c>
      <c r="O682">
        <v>0</v>
      </c>
      <c r="P682">
        <v>0</v>
      </c>
      <c r="Q682">
        <v>3</v>
      </c>
      <c r="R682">
        <v>655.02</v>
      </c>
      <c r="S682">
        <v>218.34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33</v>
      </c>
      <c r="B683" t="s">
        <v>566</v>
      </c>
      <c r="C683" t="s">
        <v>920</v>
      </c>
      <c r="D683" t="s">
        <v>920</v>
      </c>
      <c r="E683" t="s">
        <v>1744</v>
      </c>
      <c r="F683" t="s">
        <v>571</v>
      </c>
      <c r="G683" s="204"/>
      <c r="H683">
        <v>11</v>
      </c>
      <c r="I683">
        <v>709.17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t="s">
        <v>65</v>
      </c>
      <c r="B684" t="s">
        <v>566</v>
      </c>
      <c r="C684" t="s">
        <v>920</v>
      </c>
      <c r="D684" t="s">
        <v>920</v>
      </c>
      <c r="E684" t="s">
        <v>1475</v>
      </c>
      <c r="F684" t="s">
        <v>571</v>
      </c>
      <c r="G684" s="204"/>
      <c r="L684">
        <v>10</v>
      </c>
      <c r="M684">
        <v>499</v>
      </c>
      <c r="N684">
        <v>0</v>
      </c>
      <c r="O684">
        <v>0</v>
      </c>
      <c r="P684">
        <v>0</v>
      </c>
      <c r="Q684">
        <v>10</v>
      </c>
      <c r="R684">
        <v>499</v>
      </c>
      <c r="S684">
        <v>49.9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t="s">
        <v>33</v>
      </c>
      <c r="B685" t="s">
        <v>566</v>
      </c>
      <c r="C685" t="s">
        <v>920</v>
      </c>
      <c r="D685" t="s">
        <v>920</v>
      </c>
      <c r="E685" t="s">
        <v>1365</v>
      </c>
      <c r="F685" t="s">
        <v>571</v>
      </c>
      <c r="G685" s="204"/>
      <c r="L685">
        <v>10</v>
      </c>
      <c r="M685">
        <v>776</v>
      </c>
      <c r="N685">
        <v>0</v>
      </c>
      <c r="O685">
        <v>0</v>
      </c>
      <c r="P685">
        <v>0</v>
      </c>
      <c r="Q685">
        <v>10</v>
      </c>
      <c r="R685">
        <v>776</v>
      </c>
      <c r="S685">
        <v>77.599999999999994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t="s">
        <v>33</v>
      </c>
      <c r="B686" t="s">
        <v>566</v>
      </c>
      <c r="C686" t="s">
        <v>920</v>
      </c>
      <c r="D686" t="s">
        <v>920</v>
      </c>
      <c r="E686" t="s">
        <v>1434</v>
      </c>
      <c r="F686" t="s">
        <v>571</v>
      </c>
      <c r="G686" s="204"/>
      <c r="J686">
        <v>10</v>
      </c>
      <c r="K686">
        <v>1500</v>
      </c>
      <c r="L686">
        <v>10</v>
      </c>
      <c r="M686">
        <v>1500</v>
      </c>
      <c r="N686">
        <v>0</v>
      </c>
      <c r="O686">
        <v>0</v>
      </c>
      <c r="P686">
        <v>0</v>
      </c>
      <c r="Q686">
        <v>10</v>
      </c>
      <c r="R686">
        <v>1500</v>
      </c>
      <c r="S686">
        <v>150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t="s">
        <v>33</v>
      </c>
      <c r="B687" t="s">
        <v>566</v>
      </c>
      <c r="C687" t="s">
        <v>920</v>
      </c>
      <c r="D687" t="s">
        <v>920</v>
      </c>
      <c r="E687" t="s">
        <v>1216</v>
      </c>
      <c r="F687" t="s">
        <v>571</v>
      </c>
      <c r="G687" s="204"/>
      <c r="L687">
        <v>100</v>
      </c>
      <c r="M687">
        <v>3298</v>
      </c>
      <c r="N687">
        <v>0</v>
      </c>
      <c r="O687">
        <v>0</v>
      </c>
      <c r="P687">
        <v>0</v>
      </c>
      <c r="Q687">
        <v>100</v>
      </c>
      <c r="R687">
        <v>3298</v>
      </c>
      <c r="S687">
        <v>32.979999999999997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412</v>
      </c>
      <c r="B688" t="s">
        <v>554</v>
      </c>
      <c r="C688" t="s">
        <v>555</v>
      </c>
      <c r="D688" t="s">
        <v>583</v>
      </c>
      <c r="E688" t="s">
        <v>1434</v>
      </c>
      <c r="F688" t="s">
        <v>571</v>
      </c>
      <c r="G688" s="204"/>
      <c r="L688">
        <v>250</v>
      </c>
      <c r="M688">
        <v>35000</v>
      </c>
      <c r="N688">
        <v>0</v>
      </c>
      <c r="O688">
        <v>0</v>
      </c>
      <c r="P688">
        <v>0</v>
      </c>
      <c r="Q688">
        <v>250</v>
      </c>
      <c r="R688">
        <v>35000</v>
      </c>
      <c r="S688">
        <v>140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7" x14ac:dyDescent="0.25">
      <c r="A689" t="s">
        <v>1608</v>
      </c>
      <c r="B689" t="s">
        <v>562</v>
      </c>
      <c r="C689" t="s">
        <v>920</v>
      </c>
      <c r="D689" t="s">
        <v>920</v>
      </c>
      <c r="E689" t="s">
        <v>1280</v>
      </c>
      <c r="F689" t="s">
        <v>571</v>
      </c>
      <c r="G689" s="204"/>
      <c r="H689">
        <v>500</v>
      </c>
      <c r="I689">
        <v>23420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7" x14ac:dyDescent="0.25">
      <c r="A690" t="s">
        <v>264</v>
      </c>
      <c r="B690" t="s">
        <v>562</v>
      </c>
      <c r="C690" t="s">
        <v>1858</v>
      </c>
      <c r="D690" t="s">
        <v>640</v>
      </c>
      <c r="E690" t="s">
        <v>1138</v>
      </c>
      <c r="F690" t="s">
        <v>571</v>
      </c>
      <c r="G690" s="204"/>
      <c r="L690">
        <v>141</v>
      </c>
      <c r="M690">
        <v>36774.21</v>
      </c>
      <c r="N690">
        <v>0</v>
      </c>
      <c r="O690">
        <v>0</v>
      </c>
      <c r="P690">
        <v>0</v>
      </c>
      <c r="Q690">
        <v>141</v>
      </c>
      <c r="R690">
        <v>36774.21</v>
      </c>
      <c r="S690">
        <v>260.81</v>
      </c>
      <c r="T690">
        <v>0</v>
      </c>
      <c r="U690">
        <v>0</v>
      </c>
      <c r="V690">
        <v>200</v>
      </c>
      <c r="W690">
        <v>62592</v>
      </c>
      <c r="X690">
        <v>200</v>
      </c>
      <c r="Y690">
        <v>200</v>
      </c>
    </row>
    <row r="691" spans="1:27" x14ac:dyDescent="0.25">
      <c r="A691" t="s">
        <v>844</v>
      </c>
      <c r="B691" t="s">
        <v>566</v>
      </c>
      <c r="C691" t="s">
        <v>920</v>
      </c>
      <c r="D691" t="s">
        <v>920</v>
      </c>
      <c r="E691" t="s">
        <v>1477</v>
      </c>
      <c r="F691" t="s">
        <v>571</v>
      </c>
      <c r="G691" s="204"/>
      <c r="L691">
        <v>1</v>
      </c>
      <c r="M691">
        <v>128.72999999999999</v>
      </c>
      <c r="N691">
        <v>0</v>
      </c>
      <c r="O691">
        <v>0</v>
      </c>
      <c r="P691">
        <v>0</v>
      </c>
      <c r="Q691">
        <v>1</v>
      </c>
      <c r="R691">
        <v>128.72999999999999</v>
      </c>
      <c r="S691">
        <v>128.72999999999999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7" x14ac:dyDescent="0.25">
      <c r="A692" t="s">
        <v>1609</v>
      </c>
      <c r="B692" t="s">
        <v>562</v>
      </c>
      <c r="C692" t="s">
        <v>1860</v>
      </c>
      <c r="D692" t="s">
        <v>586</v>
      </c>
      <c r="E692" t="s">
        <v>1745</v>
      </c>
      <c r="F692" t="s">
        <v>571</v>
      </c>
      <c r="G692" s="204"/>
      <c r="J692">
        <v>30</v>
      </c>
      <c r="K692">
        <v>58410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7" x14ac:dyDescent="0.25">
      <c r="A693" t="s">
        <v>1609</v>
      </c>
      <c r="B693" t="s">
        <v>562</v>
      </c>
      <c r="C693" t="s">
        <v>1860</v>
      </c>
      <c r="D693" t="s">
        <v>586</v>
      </c>
      <c r="E693" t="s">
        <v>1373</v>
      </c>
      <c r="F693" t="s">
        <v>571</v>
      </c>
      <c r="G693" s="204"/>
      <c r="J693">
        <v>4</v>
      </c>
      <c r="K693">
        <v>7788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7" x14ac:dyDescent="0.25">
      <c r="A694" t="s">
        <v>1610</v>
      </c>
      <c r="B694" t="s">
        <v>565</v>
      </c>
      <c r="C694" t="s">
        <v>1860</v>
      </c>
      <c r="D694" t="s">
        <v>586</v>
      </c>
      <c r="E694" t="s">
        <v>1354</v>
      </c>
      <c r="F694" t="s">
        <v>571</v>
      </c>
      <c r="G694" s="204"/>
      <c r="H694">
        <v>21</v>
      </c>
      <c r="I694">
        <v>10467.870000000001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7" x14ac:dyDescent="0.25">
      <c r="A695" t="s">
        <v>889</v>
      </c>
      <c r="B695" t="s">
        <v>562</v>
      </c>
      <c r="C695" t="s">
        <v>569</v>
      </c>
      <c r="D695" t="s">
        <v>958</v>
      </c>
      <c r="E695" t="s">
        <v>1746</v>
      </c>
      <c r="F695" t="s">
        <v>571</v>
      </c>
      <c r="G695" s="204"/>
      <c r="H695">
        <v>20</v>
      </c>
      <c r="I695">
        <v>71640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7" x14ac:dyDescent="0.25">
      <c r="A696" t="s">
        <v>889</v>
      </c>
      <c r="B696" t="s">
        <v>562</v>
      </c>
      <c r="C696" t="s">
        <v>569</v>
      </c>
      <c r="D696" t="s">
        <v>958</v>
      </c>
      <c r="E696" t="s">
        <v>1172</v>
      </c>
      <c r="F696" t="s">
        <v>571</v>
      </c>
      <c r="G696" s="204"/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T696">
        <v>0</v>
      </c>
      <c r="U696">
        <v>0</v>
      </c>
      <c r="V696">
        <v>25</v>
      </c>
      <c r="W696">
        <v>107550</v>
      </c>
      <c r="X696">
        <v>25</v>
      </c>
      <c r="Y696">
        <v>25</v>
      </c>
      <c r="Z696">
        <v>107550</v>
      </c>
      <c r="AA696">
        <v>4302</v>
      </c>
    </row>
    <row r="697" spans="1:27" x14ac:dyDescent="0.25">
      <c r="A697" t="s">
        <v>271</v>
      </c>
      <c r="B697" t="s">
        <v>556</v>
      </c>
      <c r="C697" t="s">
        <v>1860</v>
      </c>
      <c r="D697" t="s">
        <v>586</v>
      </c>
      <c r="E697" t="s">
        <v>1354</v>
      </c>
      <c r="F697" t="s">
        <v>571</v>
      </c>
      <c r="G697" s="204"/>
      <c r="J697">
        <v>44</v>
      </c>
      <c r="K697">
        <v>46833.16</v>
      </c>
      <c r="L697">
        <v>100</v>
      </c>
      <c r="M697">
        <v>106439</v>
      </c>
      <c r="N697">
        <v>0</v>
      </c>
      <c r="O697">
        <v>0</v>
      </c>
      <c r="P697">
        <v>0</v>
      </c>
      <c r="Q697">
        <v>100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7" x14ac:dyDescent="0.25">
      <c r="A698" t="s">
        <v>109</v>
      </c>
      <c r="B698" t="s">
        <v>566</v>
      </c>
      <c r="C698" t="s">
        <v>920</v>
      </c>
      <c r="D698" t="s">
        <v>920</v>
      </c>
      <c r="E698" t="s">
        <v>1449</v>
      </c>
      <c r="F698" t="s">
        <v>571</v>
      </c>
      <c r="G698" s="204"/>
      <c r="L698">
        <v>4</v>
      </c>
      <c r="M698">
        <v>289.39999999999998</v>
      </c>
      <c r="N698">
        <v>0</v>
      </c>
      <c r="O698">
        <v>0</v>
      </c>
      <c r="P698">
        <v>0</v>
      </c>
      <c r="Q698">
        <v>4</v>
      </c>
      <c r="R698">
        <v>289.39999999999998</v>
      </c>
      <c r="S698">
        <v>72.349999999999994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7" x14ac:dyDescent="0.25">
      <c r="A699" t="s">
        <v>271</v>
      </c>
      <c r="B699" t="s">
        <v>556</v>
      </c>
      <c r="C699" t="s">
        <v>1860</v>
      </c>
      <c r="D699" t="s">
        <v>586</v>
      </c>
      <c r="E699" t="s">
        <v>1217</v>
      </c>
      <c r="F699" t="s">
        <v>571</v>
      </c>
      <c r="G699" s="204"/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T699">
        <v>0</v>
      </c>
      <c r="U699">
        <v>0</v>
      </c>
      <c r="V699">
        <v>150</v>
      </c>
      <c r="W699">
        <v>162835.5</v>
      </c>
      <c r="X699">
        <v>150</v>
      </c>
      <c r="Y699">
        <v>150</v>
      </c>
      <c r="Z699">
        <v>162835.5</v>
      </c>
      <c r="AA699">
        <v>1085.57</v>
      </c>
    </row>
    <row r="700" spans="1:27" x14ac:dyDescent="0.25">
      <c r="A700" t="s">
        <v>1611</v>
      </c>
      <c r="B700" t="s">
        <v>562</v>
      </c>
      <c r="C700" t="s">
        <v>1860</v>
      </c>
      <c r="D700" t="s">
        <v>622</v>
      </c>
      <c r="E700" t="s">
        <v>1435</v>
      </c>
      <c r="F700" t="s">
        <v>571</v>
      </c>
      <c r="G700" s="204"/>
      <c r="J700">
        <v>35</v>
      </c>
      <c r="K700">
        <v>45220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7" x14ac:dyDescent="0.25">
      <c r="A701" t="s">
        <v>272</v>
      </c>
      <c r="B701" t="s">
        <v>556</v>
      </c>
      <c r="C701" t="s">
        <v>1860</v>
      </c>
      <c r="D701" t="s">
        <v>586</v>
      </c>
      <c r="E701" t="s">
        <v>1330</v>
      </c>
      <c r="F701" t="s">
        <v>571</v>
      </c>
      <c r="G701" s="204"/>
      <c r="J701">
        <v>72</v>
      </c>
      <c r="K701">
        <v>123221.52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7" x14ac:dyDescent="0.25">
      <c r="A702" t="s">
        <v>272</v>
      </c>
      <c r="B702" t="s">
        <v>556</v>
      </c>
      <c r="C702" t="s">
        <v>1860</v>
      </c>
      <c r="D702" t="s">
        <v>586</v>
      </c>
      <c r="E702" t="s">
        <v>1421</v>
      </c>
      <c r="F702" t="s">
        <v>571</v>
      </c>
      <c r="G702" s="204"/>
      <c r="L702">
        <v>25</v>
      </c>
      <c r="M702">
        <v>42785.25</v>
      </c>
      <c r="N702">
        <v>0</v>
      </c>
      <c r="O702">
        <v>0</v>
      </c>
      <c r="P702">
        <v>0</v>
      </c>
      <c r="Q702">
        <v>25</v>
      </c>
      <c r="R702">
        <v>42785.25</v>
      </c>
      <c r="S702">
        <v>1711.41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7" x14ac:dyDescent="0.25">
      <c r="A703" t="s">
        <v>885</v>
      </c>
      <c r="B703" t="s">
        <v>565</v>
      </c>
      <c r="E703" t="s">
        <v>1293</v>
      </c>
      <c r="F703" t="s">
        <v>571</v>
      </c>
      <c r="G703" s="204"/>
      <c r="L703">
        <v>12</v>
      </c>
      <c r="M703">
        <v>30456</v>
      </c>
      <c r="N703">
        <v>0</v>
      </c>
      <c r="O703">
        <v>0</v>
      </c>
      <c r="P703">
        <v>0</v>
      </c>
      <c r="Q703">
        <v>12</v>
      </c>
      <c r="R703">
        <v>30456</v>
      </c>
      <c r="S703">
        <v>2538</v>
      </c>
      <c r="T703">
        <v>0</v>
      </c>
      <c r="U703">
        <v>0</v>
      </c>
      <c r="V703">
        <v>25</v>
      </c>
      <c r="W703">
        <v>63450</v>
      </c>
      <c r="X703">
        <v>25</v>
      </c>
      <c r="Y703">
        <v>25</v>
      </c>
    </row>
    <row r="704" spans="1:27" x14ac:dyDescent="0.25">
      <c r="A704" t="s">
        <v>12</v>
      </c>
      <c r="B704" t="s">
        <v>556</v>
      </c>
      <c r="C704" t="s">
        <v>564</v>
      </c>
      <c r="D704" t="s">
        <v>614</v>
      </c>
      <c r="E704" t="s">
        <v>1309</v>
      </c>
      <c r="F704" t="s">
        <v>571</v>
      </c>
      <c r="G704" s="204"/>
      <c r="L704">
        <v>0</v>
      </c>
      <c r="M704">
        <v>0</v>
      </c>
      <c r="N704">
        <v>4</v>
      </c>
      <c r="O704">
        <v>8321.84</v>
      </c>
      <c r="P704">
        <v>4</v>
      </c>
      <c r="Q704">
        <v>4</v>
      </c>
      <c r="R704">
        <v>8321.84</v>
      </c>
      <c r="S704">
        <v>2080.46</v>
      </c>
      <c r="T704">
        <v>0</v>
      </c>
      <c r="U704">
        <v>0</v>
      </c>
      <c r="V704">
        <v>16</v>
      </c>
      <c r="W704">
        <v>33287.360000000001</v>
      </c>
      <c r="X704">
        <v>16</v>
      </c>
      <c r="Y704">
        <v>16</v>
      </c>
    </row>
    <row r="705" spans="1:27" x14ac:dyDescent="0.25">
      <c r="A705" t="s">
        <v>12</v>
      </c>
      <c r="B705" t="s">
        <v>556</v>
      </c>
      <c r="C705" t="s">
        <v>564</v>
      </c>
      <c r="D705" t="s">
        <v>614</v>
      </c>
      <c r="E705" t="s">
        <v>1205</v>
      </c>
      <c r="F705" t="s">
        <v>571</v>
      </c>
      <c r="G705" s="204"/>
      <c r="L705">
        <v>0</v>
      </c>
      <c r="M705">
        <v>0</v>
      </c>
      <c r="N705">
        <v>24</v>
      </c>
      <c r="O705">
        <v>49931.040000000001</v>
      </c>
      <c r="P705">
        <v>24</v>
      </c>
      <c r="Q705">
        <v>24</v>
      </c>
      <c r="R705">
        <v>49931.040000000001</v>
      </c>
      <c r="S705">
        <v>2080.46</v>
      </c>
      <c r="T705">
        <v>0</v>
      </c>
      <c r="U705">
        <v>0</v>
      </c>
      <c r="V705">
        <v>48</v>
      </c>
      <c r="W705">
        <v>99862.079999999973</v>
      </c>
      <c r="X705">
        <v>48</v>
      </c>
      <c r="Y705">
        <v>48</v>
      </c>
    </row>
    <row r="706" spans="1:27" x14ac:dyDescent="0.25">
      <c r="A706" t="s">
        <v>12</v>
      </c>
      <c r="B706" t="s">
        <v>556</v>
      </c>
      <c r="C706" t="s">
        <v>564</v>
      </c>
      <c r="D706" t="s">
        <v>614</v>
      </c>
      <c r="E706" t="s">
        <v>1204</v>
      </c>
      <c r="F706" t="s">
        <v>571</v>
      </c>
      <c r="G706" s="204"/>
      <c r="L706">
        <v>0</v>
      </c>
      <c r="M706">
        <v>0</v>
      </c>
      <c r="N706">
        <v>85</v>
      </c>
      <c r="O706">
        <v>151810</v>
      </c>
      <c r="P706">
        <v>85</v>
      </c>
      <c r="Q706">
        <v>85</v>
      </c>
      <c r="T706">
        <v>0</v>
      </c>
      <c r="U706">
        <v>0</v>
      </c>
      <c r="V706">
        <v>62</v>
      </c>
      <c r="W706">
        <v>110732</v>
      </c>
      <c r="X706">
        <v>62</v>
      </c>
      <c r="Y706">
        <v>62</v>
      </c>
      <c r="Z706">
        <v>110732</v>
      </c>
      <c r="AA706">
        <v>1786</v>
      </c>
    </row>
    <row r="707" spans="1:27" x14ac:dyDescent="0.25">
      <c r="A707" t="s">
        <v>12</v>
      </c>
      <c r="B707" t="s">
        <v>556</v>
      </c>
      <c r="C707" t="s">
        <v>564</v>
      </c>
      <c r="D707" t="s">
        <v>614</v>
      </c>
      <c r="E707" t="s">
        <v>1111</v>
      </c>
      <c r="F707" t="s">
        <v>571</v>
      </c>
      <c r="G707" s="204"/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T707">
        <v>0</v>
      </c>
      <c r="U707">
        <v>0</v>
      </c>
      <c r="V707">
        <v>142</v>
      </c>
      <c r="W707">
        <v>0</v>
      </c>
      <c r="X707">
        <v>0</v>
      </c>
      <c r="Y707">
        <v>0</v>
      </c>
      <c r="Z707">
        <v>0</v>
      </c>
    </row>
    <row r="708" spans="1:27" x14ac:dyDescent="0.25">
      <c r="A708" t="s">
        <v>12</v>
      </c>
      <c r="B708" t="s">
        <v>556</v>
      </c>
      <c r="C708" t="s">
        <v>564</v>
      </c>
      <c r="D708" t="s">
        <v>614</v>
      </c>
      <c r="E708" t="s">
        <v>1148</v>
      </c>
      <c r="F708" t="s">
        <v>571</v>
      </c>
      <c r="G708" s="204"/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T708">
        <v>0</v>
      </c>
      <c r="U708">
        <v>0</v>
      </c>
      <c r="V708">
        <v>4</v>
      </c>
      <c r="W708">
        <v>8321.84</v>
      </c>
      <c r="X708">
        <v>4</v>
      </c>
      <c r="Y708">
        <v>4</v>
      </c>
      <c r="Z708">
        <v>8321.84</v>
      </c>
      <c r="AA708">
        <v>2080.46</v>
      </c>
    </row>
    <row r="709" spans="1:27" x14ac:dyDescent="0.25">
      <c r="A709" t="s">
        <v>273</v>
      </c>
      <c r="B709" t="s">
        <v>556</v>
      </c>
      <c r="C709" t="s">
        <v>1860</v>
      </c>
      <c r="D709" t="s">
        <v>586</v>
      </c>
      <c r="E709" t="s">
        <v>1354</v>
      </c>
      <c r="F709" t="s">
        <v>571</v>
      </c>
      <c r="G709" s="204"/>
      <c r="H709">
        <v>26</v>
      </c>
      <c r="I709">
        <v>23833.68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7" x14ac:dyDescent="0.25">
      <c r="A710" t="s">
        <v>273</v>
      </c>
      <c r="B710" t="s">
        <v>556</v>
      </c>
      <c r="C710" t="s">
        <v>1860</v>
      </c>
      <c r="D710" t="s">
        <v>586</v>
      </c>
      <c r="E710" t="s">
        <v>1330</v>
      </c>
      <c r="F710" t="s">
        <v>571</v>
      </c>
      <c r="G710" s="204"/>
      <c r="H710">
        <v>50</v>
      </c>
      <c r="I710">
        <v>55500</v>
      </c>
      <c r="L710">
        <v>100</v>
      </c>
      <c r="M710">
        <v>117600</v>
      </c>
      <c r="N710">
        <v>0</v>
      </c>
      <c r="O710">
        <v>0</v>
      </c>
      <c r="P710">
        <v>0</v>
      </c>
      <c r="Q710">
        <v>100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7" x14ac:dyDescent="0.25">
      <c r="A711" t="s">
        <v>273</v>
      </c>
      <c r="B711" t="s">
        <v>556</v>
      </c>
      <c r="C711" t="s">
        <v>1860</v>
      </c>
      <c r="D711" t="s">
        <v>586</v>
      </c>
      <c r="E711" t="s">
        <v>1266</v>
      </c>
      <c r="F711" t="s">
        <v>571</v>
      </c>
      <c r="G711" s="204"/>
      <c r="J711">
        <v>50</v>
      </c>
      <c r="K711">
        <v>62900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7" x14ac:dyDescent="0.25">
      <c r="A712" t="s">
        <v>273</v>
      </c>
      <c r="B712" t="s">
        <v>556</v>
      </c>
      <c r="C712" t="s">
        <v>1860</v>
      </c>
      <c r="D712" t="s">
        <v>586</v>
      </c>
      <c r="E712" t="s">
        <v>1212</v>
      </c>
      <c r="F712" t="s">
        <v>571</v>
      </c>
      <c r="G712" s="204"/>
      <c r="L712">
        <v>0</v>
      </c>
      <c r="M712">
        <v>0</v>
      </c>
      <c r="N712">
        <v>40</v>
      </c>
      <c r="O712">
        <v>51640</v>
      </c>
      <c r="P712">
        <v>40</v>
      </c>
      <c r="Q712">
        <v>40</v>
      </c>
      <c r="R712">
        <v>51640</v>
      </c>
      <c r="S712">
        <v>1291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7" x14ac:dyDescent="0.25">
      <c r="A713" t="s">
        <v>59</v>
      </c>
      <c r="B713" t="s">
        <v>566</v>
      </c>
      <c r="C713" t="s">
        <v>920</v>
      </c>
      <c r="D713" t="s">
        <v>920</v>
      </c>
      <c r="E713" t="s">
        <v>1482</v>
      </c>
      <c r="F713" t="s">
        <v>571</v>
      </c>
      <c r="G713" s="204"/>
      <c r="L713">
        <v>462</v>
      </c>
      <c r="M713">
        <v>47608.18</v>
      </c>
      <c r="N713">
        <v>0</v>
      </c>
      <c r="O713">
        <v>0</v>
      </c>
      <c r="P713">
        <v>0</v>
      </c>
      <c r="Q713">
        <v>462</v>
      </c>
      <c r="R713">
        <v>47608.18</v>
      </c>
      <c r="S713">
        <v>103.04800865800865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7" x14ac:dyDescent="0.25">
      <c r="A714" t="s">
        <v>274</v>
      </c>
      <c r="B714" t="s">
        <v>556</v>
      </c>
      <c r="C714" t="s">
        <v>1860</v>
      </c>
      <c r="D714" t="s">
        <v>586</v>
      </c>
      <c r="E714" t="s">
        <v>1354</v>
      </c>
      <c r="F714" t="s">
        <v>571</v>
      </c>
      <c r="G714" s="204"/>
      <c r="H714">
        <v>7</v>
      </c>
      <c r="I714">
        <v>8314.8799999999992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7" x14ac:dyDescent="0.25">
      <c r="A715" t="s">
        <v>275</v>
      </c>
      <c r="B715" t="s">
        <v>565</v>
      </c>
      <c r="C715" t="s">
        <v>1860</v>
      </c>
      <c r="D715" t="s">
        <v>586</v>
      </c>
      <c r="E715" t="s">
        <v>1343</v>
      </c>
      <c r="F715" t="s">
        <v>571</v>
      </c>
      <c r="G715" s="204"/>
      <c r="H715">
        <v>40</v>
      </c>
      <c r="L715">
        <v>31</v>
      </c>
      <c r="M715">
        <v>60185.88</v>
      </c>
      <c r="N715">
        <v>0</v>
      </c>
      <c r="O715">
        <v>0</v>
      </c>
      <c r="P715">
        <v>0</v>
      </c>
      <c r="Q715">
        <v>31</v>
      </c>
      <c r="R715">
        <v>60185.88</v>
      </c>
      <c r="S715">
        <v>1941.48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7" x14ac:dyDescent="0.25">
      <c r="A716" t="s">
        <v>275</v>
      </c>
      <c r="B716" t="s">
        <v>565</v>
      </c>
      <c r="C716" t="s">
        <v>1860</v>
      </c>
      <c r="D716" t="s">
        <v>586</v>
      </c>
      <c r="E716" t="s">
        <v>1197</v>
      </c>
      <c r="F716" t="s">
        <v>571</v>
      </c>
      <c r="G716" s="204"/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T716">
        <v>0</v>
      </c>
      <c r="U716">
        <v>0</v>
      </c>
      <c r="V716">
        <v>139</v>
      </c>
      <c r="W716">
        <v>254036.12</v>
      </c>
      <c r="X716">
        <v>139</v>
      </c>
      <c r="Y716">
        <v>139</v>
      </c>
      <c r="Z716">
        <v>254036.12</v>
      </c>
      <c r="AA716">
        <v>1827.5979856115107</v>
      </c>
    </row>
    <row r="717" spans="1:27" x14ac:dyDescent="0.25">
      <c r="A717" t="s">
        <v>87</v>
      </c>
      <c r="B717" t="s">
        <v>566</v>
      </c>
      <c r="C717" t="s">
        <v>920</v>
      </c>
      <c r="D717" t="s">
        <v>920</v>
      </c>
      <c r="E717" t="s">
        <v>1266</v>
      </c>
      <c r="F717" t="s">
        <v>571</v>
      </c>
      <c r="G717" s="204"/>
      <c r="L717">
        <v>2000</v>
      </c>
      <c r="M717">
        <v>18540</v>
      </c>
      <c r="N717">
        <v>0</v>
      </c>
      <c r="O717">
        <v>0</v>
      </c>
      <c r="P717">
        <v>0</v>
      </c>
      <c r="Q717">
        <v>2000</v>
      </c>
      <c r="T717">
        <v>0</v>
      </c>
      <c r="U717">
        <v>0</v>
      </c>
      <c r="V717">
        <v>1000</v>
      </c>
      <c r="W717">
        <v>9270</v>
      </c>
      <c r="X717">
        <v>1000</v>
      </c>
      <c r="Y717">
        <v>1000</v>
      </c>
      <c r="Z717">
        <v>9270</v>
      </c>
      <c r="AA717">
        <v>9.27</v>
      </c>
    </row>
    <row r="718" spans="1:27" x14ac:dyDescent="0.25">
      <c r="A718" t="s">
        <v>463</v>
      </c>
      <c r="B718" t="s">
        <v>567</v>
      </c>
      <c r="C718" t="s">
        <v>920</v>
      </c>
      <c r="D718" t="s">
        <v>920</v>
      </c>
      <c r="E718" t="s">
        <v>1330</v>
      </c>
      <c r="F718" t="s">
        <v>571</v>
      </c>
      <c r="G718" s="204"/>
      <c r="J718">
        <v>500</v>
      </c>
      <c r="K718">
        <v>5900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7" x14ac:dyDescent="0.25">
      <c r="A719" t="s">
        <v>37</v>
      </c>
      <c r="B719" t="s">
        <v>1031</v>
      </c>
      <c r="C719" t="s">
        <v>920</v>
      </c>
      <c r="D719" t="s">
        <v>920</v>
      </c>
      <c r="E719" t="s">
        <v>1216</v>
      </c>
      <c r="F719" t="s">
        <v>571</v>
      </c>
      <c r="G719" s="204"/>
      <c r="L719">
        <v>500</v>
      </c>
      <c r="M719">
        <v>12110</v>
      </c>
      <c r="N719">
        <v>0</v>
      </c>
      <c r="O719">
        <v>0</v>
      </c>
      <c r="P719">
        <v>0</v>
      </c>
      <c r="Q719">
        <v>500</v>
      </c>
      <c r="R719">
        <v>12110</v>
      </c>
      <c r="S719">
        <v>24.22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7" x14ac:dyDescent="0.25">
      <c r="A720" t="s">
        <v>453</v>
      </c>
      <c r="B720" t="s">
        <v>566</v>
      </c>
      <c r="C720" t="s">
        <v>920</v>
      </c>
      <c r="D720" t="s">
        <v>920</v>
      </c>
      <c r="E720" t="s">
        <v>1332</v>
      </c>
      <c r="F720" t="s">
        <v>571</v>
      </c>
      <c r="G720" s="204"/>
      <c r="J720">
        <v>11</v>
      </c>
      <c r="K720">
        <v>566.72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7" x14ac:dyDescent="0.25">
      <c r="A721" t="s">
        <v>453</v>
      </c>
      <c r="B721" t="s">
        <v>566</v>
      </c>
      <c r="C721" t="s">
        <v>920</v>
      </c>
      <c r="D721" t="s">
        <v>920</v>
      </c>
      <c r="E721" t="s">
        <v>1378</v>
      </c>
      <c r="F721" t="s">
        <v>571</v>
      </c>
      <c r="G721" s="204"/>
      <c r="J721">
        <v>20</v>
      </c>
      <c r="K721">
        <v>942.8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7" x14ac:dyDescent="0.25">
      <c r="A722" t="s">
        <v>453</v>
      </c>
      <c r="B722" t="s">
        <v>566</v>
      </c>
      <c r="C722" t="s">
        <v>920</v>
      </c>
      <c r="D722" t="s">
        <v>920</v>
      </c>
      <c r="E722" t="s">
        <v>1747</v>
      </c>
      <c r="F722" t="s">
        <v>571</v>
      </c>
      <c r="G722" s="204"/>
      <c r="J722">
        <v>11</v>
      </c>
      <c r="K722">
        <v>534.6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7" x14ac:dyDescent="0.25">
      <c r="A723" t="s">
        <v>453</v>
      </c>
      <c r="B723" t="s">
        <v>566</v>
      </c>
      <c r="C723" t="s">
        <v>920</v>
      </c>
      <c r="D723" t="s">
        <v>920</v>
      </c>
      <c r="E723" t="s">
        <v>1266</v>
      </c>
      <c r="F723" t="s">
        <v>571</v>
      </c>
      <c r="G723" s="204"/>
      <c r="H723">
        <v>1500</v>
      </c>
      <c r="I723">
        <v>11145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7" x14ac:dyDescent="0.25">
      <c r="A724" t="s">
        <v>453</v>
      </c>
      <c r="B724" t="s">
        <v>566</v>
      </c>
      <c r="C724" t="s">
        <v>920</v>
      </c>
      <c r="D724" t="s">
        <v>920</v>
      </c>
      <c r="E724" t="s">
        <v>1744</v>
      </c>
      <c r="F724" t="s">
        <v>571</v>
      </c>
      <c r="G724" s="204"/>
      <c r="H724">
        <v>2</v>
      </c>
      <c r="I724">
        <v>44.52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7" x14ac:dyDescent="0.25">
      <c r="A725" t="s">
        <v>453</v>
      </c>
      <c r="B725" t="s">
        <v>566</v>
      </c>
      <c r="C725" t="s">
        <v>920</v>
      </c>
      <c r="D725" t="s">
        <v>920</v>
      </c>
      <c r="E725" t="s">
        <v>1212</v>
      </c>
      <c r="F725" t="s">
        <v>571</v>
      </c>
      <c r="G725" s="204"/>
      <c r="L725">
        <v>500</v>
      </c>
      <c r="M725">
        <v>4015</v>
      </c>
      <c r="N725">
        <v>0</v>
      </c>
      <c r="O725">
        <v>0</v>
      </c>
      <c r="P725">
        <v>0</v>
      </c>
      <c r="Q725">
        <v>500</v>
      </c>
      <c r="R725">
        <v>4015</v>
      </c>
      <c r="S725">
        <v>8.0299999999999994</v>
      </c>
      <c r="T725">
        <v>0</v>
      </c>
      <c r="U725">
        <v>0</v>
      </c>
      <c r="V725">
        <v>2000</v>
      </c>
      <c r="W725">
        <v>16060</v>
      </c>
      <c r="X725">
        <v>2000</v>
      </c>
      <c r="Y725">
        <v>2000</v>
      </c>
    </row>
    <row r="726" spans="1:27" x14ac:dyDescent="0.25">
      <c r="A726" t="s">
        <v>453</v>
      </c>
      <c r="B726" t="s">
        <v>566</v>
      </c>
      <c r="C726" t="s">
        <v>920</v>
      </c>
      <c r="D726" t="s">
        <v>920</v>
      </c>
      <c r="E726" t="s">
        <v>1216</v>
      </c>
      <c r="F726" t="s">
        <v>571</v>
      </c>
      <c r="G726" s="204"/>
      <c r="J726">
        <v>500</v>
      </c>
      <c r="K726">
        <v>4385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7" x14ac:dyDescent="0.25">
      <c r="A727" t="s">
        <v>39</v>
      </c>
      <c r="B727" t="s">
        <v>566</v>
      </c>
      <c r="C727" t="s">
        <v>920</v>
      </c>
      <c r="D727" t="s">
        <v>920</v>
      </c>
      <c r="E727" t="s">
        <v>1266</v>
      </c>
      <c r="F727" t="s">
        <v>571</v>
      </c>
      <c r="G727" s="204"/>
      <c r="J727">
        <v>500</v>
      </c>
      <c r="K727">
        <v>5845</v>
      </c>
      <c r="L727">
        <v>2000</v>
      </c>
      <c r="M727">
        <v>22340</v>
      </c>
      <c r="N727">
        <v>0</v>
      </c>
      <c r="O727">
        <v>0</v>
      </c>
      <c r="P727">
        <v>0</v>
      </c>
      <c r="Q727">
        <v>2000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7" x14ac:dyDescent="0.25">
      <c r="A728" t="s">
        <v>41</v>
      </c>
      <c r="B728" t="s">
        <v>567</v>
      </c>
      <c r="C728" t="s">
        <v>920</v>
      </c>
      <c r="D728" t="s">
        <v>920</v>
      </c>
      <c r="E728" t="s">
        <v>1301</v>
      </c>
      <c r="F728" t="s">
        <v>571</v>
      </c>
      <c r="G728" s="204"/>
      <c r="L728">
        <v>0</v>
      </c>
      <c r="M728">
        <v>0</v>
      </c>
      <c r="N728">
        <v>2400</v>
      </c>
      <c r="O728">
        <v>43800</v>
      </c>
      <c r="P728">
        <v>2400</v>
      </c>
      <c r="Q728">
        <v>2400</v>
      </c>
      <c r="R728">
        <v>43800</v>
      </c>
      <c r="S728">
        <v>18.25</v>
      </c>
      <c r="T728">
        <v>0</v>
      </c>
      <c r="U728">
        <v>0</v>
      </c>
      <c r="V728">
        <v>5300</v>
      </c>
      <c r="W728">
        <v>96725</v>
      </c>
      <c r="X728">
        <v>5300</v>
      </c>
      <c r="Y728">
        <v>5300</v>
      </c>
    </row>
    <row r="729" spans="1:27" x14ac:dyDescent="0.25">
      <c r="A729" t="s">
        <v>109</v>
      </c>
      <c r="B729" t="s">
        <v>566</v>
      </c>
      <c r="C729" t="s">
        <v>920</v>
      </c>
      <c r="D729" t="s">
        <v>920</v>
      </c>
      <c r="E729" t="s">
        <v>1368</v>
      </c>
      <c r="F729" t="s">
        <v>571</v>
      </c>
      <c r="G729" s="204"/>
      <c r="L729">
        <v>130</v>
      </c>
      <c r="M729">
        <v>2095.6</v>
      </c>
      <c r="N729">
        <v>0</v>
      </c>
      <c r="O729">
        <v>0</v>
      </c>
      <c r="P729">
        <v>0</v>
      </c>
      <c r="Q729">
        <v>130</v>
      </c>
      <c r="R729">
        <v>2095.6</v>
      </c>
      <c r="S729">
        <v>16.12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7" x14ac:dyDescent="0.25">
      <c r="A730" t="s">
        <v>109</v>
      </c>
      <c r="B730" t="s">
        <v>566</v>
      </c>
      <c r="C730" t="s">
        <v>920</v>
      </c>
      <c r="D730" t="s">
        <v>920</v>
      </c>
      <c r="E730" t="s">
        <v>1212</v>
      </c>
      <c r="F730" t="s">
        <v>571</v>
      </c>
      <c r="G730" s="204"/>
      <c r="L730">
        <v>5000</v>
      </c>
      <c r="M730">
        <v>48825</v>
      </c>
      <c r="N730">
        <v>0</v>
      </c>
      <c r="O730">
        <v>0</v>
      </c>
      <c r="P730">
        <v>0</v>
      </c>
      <c r="Q730">
        <v>5000</v>
      </c>
      <c r="R730">
        <v>48825</v>
      </c>
      <c r="S730">
        <v>9.7650000000000006</v>
      </c>
      <c r="T730">
        <v>0</v>
      </c>
      <c r="U730">
        <v>0</v>
      </c>
      <c r="V730">
        <v>5000</v>
      </c>
      <c r="W730">
        <v>49650</v>
      </c>
      <c r="X730">
        <v>5000</v>
      </c>
      <c r="Y730">
        <v>5000</v>
      </c>
      <c r="Z730">
        <v>49650</v>
      </c>
      <c r="AA730">
        <v>9.93</v>
      </c>
    </row>
    <row r="731" spans="1:27" x14ac:dyDescent="0.25">
      <c r="A731" t="s">
        <v>43</v>
      </c>
      <c r="B731" t="s">
        <v>566</v>
      </c>
      <c r="C731" t="s">
        <v>920</v>
      </c>
      <c r="D731" t="s">
        <v>920</v>
      </c>
      <c r="E731" t="s">
        <v>1280</v>
      </c>
      <c r="F731" t="s">
        <v>571</v>
      </c>
      <c r="G731" s="204"/>
      <c r="J731">
        <v>2500</v>
      </c>
      <c r="K731">
        <v>23850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7" x14ac:dyDescent="0.25">
      <c r="A732" t="s">
        <v>43</v>
      </c>
      <c r="B732" t="s">
        <v>566</v>
      </c>
      <c r="C732" t="s">
        <v>920</v>
      </c>
      <c r="D732" t="s">
        <v>920</v>
      </c>
      <c r="E732" t="s">
        <v>1330</v>
      </c>
      <c r="F732" t="s">
        <v>571</v>
      </c>
      <c r="G732" s="204"/>
      <c r="L732">
        <v>250</v>
      </c>
      <c r="M732">
        <v>1950</v>
      </c>
      <c r="N732">
        <v>0</v>
      </c>
      <c r="O732">
        <v>0</v>
      </c>
      <c r="P732">
        <v>0</v>
      </c>
      <c r="Q732">
        <v>250</v>
      </c>
      <c r="R732">
        <v>1950</v>
      </c>
      <c r="S732">
        <v>7.8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7" x14ac:dyDescent="0.25">
      <c r="A733" t="s">
        <v>43</v>
      </c>
      <c r="B733" t="s">
        <v>566</v>
      </c>
      <c r="C733" t="s">
        <v>920</v>
      </c>
      <c r="D733" t="s">
        <v>920</v>
      </c>
      <c r="E733" t="s">
        <v>1299</v>
      </c>
      <c r="F733" t="s">
        <v>571</v>
      </c>
      <c r="G733" s="204"/>
      <c r="L733">
        <v>50</v>
      </c>
      <c r="M733">
        <v>700</v>
      </c>
      <c r="N733">
        <v>0</v>
      </c>
      <c r="O733">
        <v>0</v>
      </c>
      <c r="P733">
        <v>0</v>
      </c>
      <c r="Q733">
        <v>50</v>
      </c>
      <c r="R733">
        <v>700</v>
      </c>
      <c r="S733">
        <v>14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7" x14ac:dyDescent="0.25">
      <c r="A734" t="s">
        <v>109</v>
      </c>
      <c r="B734" t="s">
        <v>566</v>
      </c>
      <c r="C734" t="s">
        <v>920</v>
      </c>
      <c r="D734" t="s">
        <v>920</v>
      </c>
      <c r="E734" t="s">
        <v>1266</v>
      </c>
      <c r="F734" t="s">
        <v>578</v>
      </c>
      <c r="G734" s="204">
        <v>46752</v>
      </c>
      <c r="L734">
        <v>4500</v>
      </c>
      <c r="M734">
        <v>44100</v>
      </c>
      <c r="N734">
        <v>0</v>
      </c>
      <c r="O734">
        <v>0</v>
      </c>
      <c r="P734">
        <v>0</v>
      </c>
      <c r="Q734">
        <v>4500</v>
      </c>
      <c r="T734">
        <v>0</v>
      </c>
      <c r="U734">
        <v>0</v>
      </c>
      <c r="V734">
        <v>4000</v>
      </c>
      <c r="W734">
        <v>39200</v>
      </c>
      <c r="X734">
        <v>4000</v>
      </c>
      <c r="Y734">
        <v>4000</v>
      </c>
      <c r="Z734">
        <v>39200</v>
      </c>
      <c r="AA734">
        <v>9.8000000000000007</v>
      </c>
    </row>
    <row r="735" spans="1:27" x14ac:dyDescent="0.25">
      <c r="A735" t="s">
        <v>43</v>
      </c>
      <c r="B735" t="s">
        <v>566</v>
      </c>
      <c r="C735" t="s">
        <v>920</v>
      </c>
      <c r="D735" t="s">
        <v>920</v>
      </c>
      <c r="E735" t="s">
        <v>1283</v>
      </c>
      <c r="F735" t="s">
        <v>571</v>
      </c>
      <c r="G735" s="204"/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T735">
        <v>0</v>
      </c>
      <c r="U735">
        <v>0</v>
      </c>
      <c r="V735">
        <v>320</v>
      </c>
      <c r="W735">
        <v>3356.8</v>
      </c>
      <c r="X735">
        <v>320</v>
      </c>
      <c r="Y735">
        <v>320</v>
      </c>
      <c r="Z735">
        <v>3356.8</v>
      </c>
      <c r="AA735">
        <v>10.49</v>
      </c>
    </row>
    <row r="736" spans="1:27" x14ac:dyDescent="0.25">
      <c r="A736" t="s">
        <v>43</v>
      </c>
      <c r="B736" t="s">
        <v>566</v>
      </c>
      <c r="C736" t="s">
        <v>920</v>
      </c>
      <c r="D736" t="s">
        <v>920</v>
      </c>
      <c r="E736" t="s">
        <v>1501</v>
      </c>
      <c r="F736" t="s">
        <v>571</v>
      </c>
      <c r="G736" s="204"/>
      <c r="L736">
        <v>647</v>
      </c>
      <c r="M736">
        <v>6787.03</v>
      </c>
      <c r="N736">
        <v>0</v>
      </c>
      <c r="O736">
        <v>0</v>
      </c>
      <c r="P736">
        <v>0</v>
      </c>
      <c r="Q736">
        <v>647</v>
      </c>
      <c r="R736">
        <v>6787.03</v>
      </c>
      <c r="S736">
        <v>10.49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7" x14ac:dyDescent="0.25">
      <c r="A737" t="s">
        <v>43</v>
      </c>
      <c r="B737" t="s">
        <v>566</v>
      </c>
      <c r="C737" t="s">
        <v>920</v>
      </c>
      <c r="D737" t="s">
        <v>920</v>
      </c>
      <c r="E737" t="s">
        <v>1748</v>
      </c>
      <c r="F737" t="s">
        <v>571</v>
      </c>
      <c r="G737" s="204"/>
      <c r="H737">
        <v>2</v>
      </c>
      <c r="I737">
        <v>106.96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7" x14ac:dyDescent="0.25">
      <c r="A738" t="s">
        <v>43</v>
      </c>
      <c r="B738" t="s">
        <v>566</v>
      </c>
      <c r="C738" t="s">
        <v>920</v>
      </c>
      <c r="D738" t="s">
        <v>920</v>
      </c>
      <c r="E738" t="s">
        <v>1266</v>
      </c>
      <c r="F738" t="s">
        <v>571</v>
      </c>
      <c r="G738" s="204"/>
      <c r="L738">
        <v>500</v>
      </c>
      <c r="M738">
        <v>4030</v>
      </c>
      <c r="N738">
        <v>0</v>
      </c>
      <c r="O738">
        <v>0</v>
      </c>
      <c r="P738">
        <v>0</v>
      </c>
      <c r="Q738">
        <v>500</v>
      </c>
      <c r="R738">
        <v>4030</v>
      </c>
      <c r="S738">
        <v>8.06</v>
      </c>
      <c r="T738">
        <v>0</v>
      </c>
      <c r="U738">
        <v>0</v>
      </c>
      <c r="V738">
        <v>1820</v>
      </c>
      <c r="W738">
        <v>14669.2</v>
      </c>
      <c r="X738">
        <v>1820</v>
      </c>
      <c r="Y738">
        <v>1820</v>
      </c>
    </row>
    <row r="739" spans="1:27" x14ac:dyDescent="0.25">
      <c r="A739" t="s">
        <v>43</v>
      </c>
      <c r="B739" t="s">
        <v>566</v>
      </c>
      <c r="C739" t="s">
        <v>920</v>
      </c>
      <c r="D739" t="s">
        <v>920</v>
      </c>
      <c r="E739" t="s">
        <v>1138</v>
      </c>
      <c r="F739" t="s">
        <v>571</v>
      </c>
      <c r="G739" s="204"/>
      <c r="L739">
        <v>1700</v>
      </c>
      <c r="M739">
        <v>9503</v>
      </c>
      <c r="N739">
        <v>700</v>
      </c>
      <c r="O739">
        <v>4697</v>
      </c>
      <c r="P739">
        <v>700</v>
      </c>
      <c r="Q739">
        <v>2400</v>
      </c>
      <c r="R739">
        <v>14200</v>
      </c>
      <c r="S739">
        <v>5.916666666666667</v>
      </c>
      <c r="T739">
        <v>0</v>
      </c>
      <c r="U739">
        <v>0</v>
      </c>
      <c r="V739">
        <v>4500</v>
      </c>
      <c r="W739">
        <v>30195</v>
      </c>
      <c r="X739">
        <v>4500</v>
      </c>
      <c r="Y739">
        <v>4500</v>
      </c>
    </row>
    <row r="740" spans="1:27" x14ac:dyDescent="0.25">
      <c r="A740" t="s">
        <v>45</v>
      </c>
      <c r="B740" t="s">
        <v>1031</v>
      </c>
      <c r="C740" t="s">
        <v>920</v>
      </c>
      <c r="D740" t="s">
        <v>920</v>
      </c>
      <c r="E740" t="s">
        <v>1502</v>
      </c>
      <c r="F740" t="s">
        <v>571</v>
      </c>
      <c r="G740" s="204"/>
      <c r="L740">
        <v>250</v>
      </c>
      <c r="M740">
        <v>4667.5</v>
      </c>
      <c r="N740">
        <v>0</v>
      </c>
      <c r="O740">
        <v>0</v>
      </c>
      <c r="P740">
        <v>0</v>
      </c>
      <c r="Q740">
        <v>250</v>
      </c>
      <c r="R740">
        <v>4667.5</v>
      </c>
      <c r="S740">
        <v>18.670000000000002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7" x14ac:dyDescent="0.25">
      <c r="A741" t="s">
        <v>49</v>
      </c>
      <c r="B741" t="s">
        <v>566</v>
      </c>
      <c r="C741" t="s">
        <v>920</v>
      </c>
      <c r="D741" t="s">
        <v>920</v>
      </c>
      <c r="E741" t="s">
        <v>1330</v>
      </c>
      <c r="F741" t="s">
        <v>571</v>
      </c>
      <c r="G741" s="204"/>
      <c r="H741">
        <v>1250</v>
      </c>
      <c r="I741">
        <v>10450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7" x14ac:dyDescent="0.25">
      <c r="A742" t="s">
        <v>49</v>
      </c>
      <c r="B742" t="s">
        <v>566</v>
      </c>
      <c r="C742" t="s">
        <v>920</v>
      </c>
      <c r="D742" t="s">
        <v>920</v>
      </c>
      <c r="E742" t="s">
        <v>1262</v>
      </c>
      <c r="F742" t="s">
        <v>571</v>
      </c>
      <c r="G742" s="204"/>
      <c r="L742">
        <v>5</v>
      </c>
      <c r="M742">
        <v>1500</v>
      </c>
      <c r="N742">
        <v>0</v>
      </c>
      <c r="O742">
        <v>0</v>
      </c>
      <c r="P742">
        <v>0</v>
      </c>
      <c r="Q742">
        <v>5</v>
      </c>
      <c r="R742">
        <v>1500</v>
      </c>
      <c r="S742">
        <v>300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7" x14ac:dyDescent="0.25">
      <c r="A743" t="s">
        <v>49</v>
      </c>
      <c r="B743" t="s">
        <v>566</v>
      </c>
      <c r="C743" t="s">
        <v>920</v>
      </c>
      <c r="D743" t="s">
        <v>920</v>
      </c>
      <c r="E743" t="s">
        <v>1348</v>
      </c>
      <c r="F743" t="s">
        <v>571</v>
      </c>
      <c r="G743" s="204"/>
      <c r="J743">
        <v>1</v>
      </c>
      <c r="K743">
        <v>58.32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7" x14ac:dyDescent="0.25">
      <c r="A744" t="s">
        <v>119</v>
      </c>
      <c r="B744" t="s">
        <v>566</v>
      </c>
      <c r="C744" t="s">
        <v>920</v>
      </c>
      <c r="D744" t="s">
        <v>920</v>
      </c>
      <c r="E744" t="s">
        <v>1298</v>
      </c>
      <c r="F744" t="s">
        <v>571</v>
      </c>
      <c r="G744" s="204"/>
      <c r="L744">
        <v>611</v>
      </c>
      <c r="M744">
        <v>11609</v>
      </c>
      <c r="N744">
        <v>0</v>
      </c>
      <c r="O744">
        <v>0</v>
      </c>
      <c r="P744">
        <v>0</v>
      </c>
      <c r="Q744">
        <v>611</v>
      </c>
      <c r="T744">
        <v>0</v>
      </c>
      <c r="U744">
        <v>0</v>
      </c>
      <c r="V744">
        <v>478</v>
      </c>
      <c r="W744">
        <v>9349.68</v>
      </c>
      <c r="X744">
        <v>478</v>
      </c>
      <c r="Y744">
        <v>478</v>
      </c>
      <c r="Z744">
        <v>9349.68</v>
      </c>
      <c r="AA744">
        <v>19.560000000000002</v>
      </c>
    </row>
    <row r="745" spans="1:27" x14ac:dyDescent="0.25">
      <c r="A745" t="s">
        <v>49</v>
      </c>
      <c r="B745" t="s">
        <v>566</v>
      </c>
      <c r="C745" t="s">
        <v>920</v>
      </c>
      <c r="D745" t="s">
        <v>920</v>
      </c>
      <c r="E745" t="s">
        <v>1749</v>
      </c>
      <c r="F745" t="s">
        <v>571</v>
      </c>
      <c r="G745" s="204"/>
      <c r="H745">
        <v>2</v>
      </c>
      <c r="I745">
        <v>101.9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7" x14ac:dyDescent="0.25">
      <c r="A746" t="s">
        <v>49</v>
      </c>
      <c r="B746" t="s">
        <v>566</v>
      </c>
      <c r="C746" t="s">
        <v>920</v>
      </c>
      <c r="D746" t="s">
        <v>920</v>
      </c>
      <c r="E746" t="s">
        <v>1750</v>
      </c>
      <c r="F746" t="s">
        <v>571</v>
      </c>
      <c r="G746" s="204"/>
      <c r="J746">
        <v>2</v>
      </c>
      <c r="K746">
        <v>111.08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7" x14ac:dyDescent="0.25">
      <c r="A747" t="s">
        <v>49</v>
      </c>
      <c r="B747" t="s">
        <v>566</v>
      </c>
      <c r="C747" t="s">
        <v>920</v>
      </c>
      <c r="D747" t="s">
        <v>920</v>
      </c>
      <c r="E747" t="s">
        <v>1266</v>
      </c>
      <c r="F747" t="s">
        <v>571</v>
      </c>
      <c r="G747" s="204"/>
      <c r="H747">
        <v>500</v>
      </c>
      <c r="I747">
        <v>5330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7" x14ac:dyDescent="0.25">
      <c r="A748" t="s">
        <v>65</v>
      </c>
      <c r="B748" t="s">
        <v>566</v>
      </c>
      <c r="C748" t="s">
        <v>920</v>
      </c>
      <c r="D748" t="s">
        <v>920</v>
      </c>
      <c r="E748" t="s">
        <v>1345</v>
      </c>
      <c r="F748" t="s">
        <v>571</v>
      </c>
      <c r="G748" s="204"/>
      <c r="L748">
        <v>13</v>
      </c>
      <c r="M748">
        <v>0</v>
      </c>
      <c r="N748">
        <v>0</v>
      </c>
      <c r="O748">
        <v>0</v>
      </c>
      <c r="P748">
        <v>0</v>
      </c>
      <c r="Q748">
        <v>13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7" x14ac:dyDescent="0.25">
      <c r="A749" t="s">
        <v>121</v>
      </c>
      <c r="B749" t="s">
        <v>567</v>
      </c>
      <c r="C749" t="s">
        <v>920</v>
      </c>
      <c r="D749" t="s">
        <v>920</v>
      </c>
      <c r="E749" t="s">
        <v>1280</v>
      </c>
      <c r="F749" t="s">
        <v>571</v>
      </c>
      <c r="G749" s="204"/>
      <c r="J749">
        <v>87</v>
      </c>
      <c r="K749">
        <v>2282.0100000000002</v>
      </c>
      <c r="L749">
        <v>473</v>
      </c>
      <c r="M749">
        <v>12352.19</v>
      </c>
      <c r="N749">
        <v>0</v>
      </c>
      <c r="O749">
        <v>0</v>
      </c>
      <c r="P749">
        <v>0</v>
      </c>
      <c r="Q749">
        <v>473</v>
      </c>
      <c r="T749">
        <v>0</v>
      </c>
      <c r="U749">
        <v>0</v>
      </c>
      <c r="V749">
        <v>940</v>
      </c>
      <c r="W749">
        <v>23800.799999999999</v>
      </c>
      <c r="X749">
        <v>940</v>
      </c>
      <c r="Y749">
        <v>940</v>
      </c>
    </row>
    <row r="750" spans="1:27" x14ac:dyDescent="0.25">
      <c r="A750" t="s">
        <v>49</v>
      </c>
      <c r="B750" t="s">
        <v>566</v>
      </c>
      <c r="C750" t="s">
        <v>920</v>
      </c>
      <c r="D750" t="s">
        <v>920</v>
      </c>
      <c r="E750" t="s">
        <v>1212</v>
      </c>
      <c r="F750" t="s">
        <v>571</v>
      </c>
      <c r="G750" s="204"/>
      <c r="L750">
        <v>0</v>
      </c>
      <c r="M750">
        <v>0</v>
      </c>
      <c r="N750">
        <v>500</v>
      </c>
      <c r="O750">
        <v>5385</v>
      </c>
      <c r="P750">
        <v>500</v>
      </c>
      <c r="Q750">
        <v>500</v>
      </c>
      <c r="R750">
        <v>5385</v>
      </c>
      <c r="S750">
        <v>10.77</v>
      </c>
      <c r="T750">
        <v>0</v>
      </c>
      <c r="U750">
        <v>0</v>
      </c>
      <c r="V750">
        <v>2000</v>
      </c>
      <c r="W750">
        <v>21540</v>
      </c>
      <c r="X750">
        <v>2000</v>
      </c>
      <c r="Y750">
        <v>2000</v>
      </c>
    </row>
    <row r="751" spans="1:27" x14ac:dyDescent="0.25">
      <c r="A751" t="s">
        <v>85</v>
      </c>
      <c r="B751" t="s">
        <v>567</v>
      </c>
      <c r="C751" t="s">
        <v>920</v>
      </c>
      <c r="D751" t="s">
        <v>920</v>
      </c>
      <c r="E751" t="s">
        <v>1242</v>
      </c>
      <c r="F751" t="s">
        <v>571</v>
      </c>
      <c r="G751" s="204"/>
      <c r="L751">
        <v>2500</v>
      </c>
      <c r="M751">
        <v>31250</v>
      </c>
      <c r="N751">
        <v>0</v>
      </c>
      <c r="O751">
        <v>0</v>
      </c>
      <c r="P751">
        <v>0</v>
      </c>
      <c r="Q751">
        <v>2500</v>
      </c>
      <c r="R751">
        <v>31250</v>
      </c>
      <c r="S751">
        <v>12.5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7" x14ac:dyDescent="0.25">
      <c r="A752" t="s">
        <v>51</v>
      </c>
      <c r="B752" t="s">
        <v>567</v>
      </c>
      <c r="C752" t="s">
        <v>920</v>
      </c>
      <c r="D752" t="s">
        <v>920</v>
      </c>
      <c r="E752" t="s">
        <v>1212</v>
      </c>
      <c r="F752" t="s">
        <v>571</v>
      </c>
      <c r="G752" s="204"/>
      <c r="L752">
        <v>250</v>
      </c>
      <c r="M752">
        <v>6835</v>
      </c>
      <c r="N752">
        <v>0</v>
      </c>
      <c r="O752">
        <v>0</v>
      </c>
      <c r="P752">
        <v>0</v>
      </c>
      <c r="Q752">
        <v>250</v>
      </c>
      <c r="R752">
        <v>6835</v>
      </c>
      <c r="S752">
        <v>27.34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7" x14ac:dyDescent="0.25">
      <c r="A753" t="s">
        <v>53</v>
      </c>
      <c r="B753" t="s">
        <v>566</v>
      </c>
      <c r="C753" t="s">
        <v>920</v>
      </c>
      <c r="D753" t="s">
        <v>920</v>
      </c>
      <c r="E753" t="s">
        <v>1332</v>
      </c>
      <c r="F753" t="s">
        <v>571</v>
      </c>
      <c r="G753" s="204"/>
      <c r="H753">
        <v>3</v>
      </c>
      <c r="I753">
        <v>231.72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7" x14ac:dyDescent="0.25">
      <c r="A754" t="s">
        <v>53</v>
      </c>
      <c r="B754" t="s">
        <v>566</v>
      </c>
      <c r="C754" t="s">
        <v>920</v>
      </c>
      <c r="D754" t="s">
        <v>920</v>
      </c>
      <c r="E754" t="s">
        <v>1751</v>
      </c>
      <c r="F754" t="s">
        <v>571</v>
      </c>
      <c r="G754" s="204"/>
      <c r="J754">
        <v>8</v>
      </c>
      <c r="K754">
        <v>582.96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7" x14ac:dyDescent="0.25">
      <c r="A755" t="s">
        <v>844</v>
      </c>
      <c r="B755" t="s">
        <v>566</v>
      </c>
      <c r="C755" t="s">
        <v>920</v>
      </c>
      <c r="D755" t="s">
        <v>920</v>
      </c>
      <c r="E755" t="s">
        <v>1387</v>
      </c>
      <c r="F755" t="s">
        <v>571</v>
      </c>
      <c r="G755" s="204"/>
      <c r="L755">
        <v>3</v>
      </c>
      <c r="M755">
        <v>635.37</v>
      </c>
      <c r="N755">
        <v>0</v>
      </c>
      <c r="O755">
        <v>0</v>
      </c>
      <c r="P755">
        <v>0</v>
      </c>
      <c r="Q755">
        <v>3</v>
      </c>
      <c r="R755">
        <v>635.37</v>
      </c>
      <c r="S755">
        <v>211.79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7" x14ac:dyDescent="0.25">
      <c r="A756" t="s">
        <v>53</v>
      </c>
      <c r="B756" t="s">
        <v>566</v>
      </c>
      <c r="C756" t="s">
        <v>920</v>
      </c>
      <c r="D756" t="s">
        <v>920</v>
      </c>
      <c r="E756" t="s">
        <v>1408</v>
      </c>
      <c r="F756" t="s">
        <v>571</v>
      </c>
      <c r="G756" s="204"/>
      <c r="H756">
        <v>8</v>
      </c>
      <c r="I756">
        <v>534.79999999999995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7" x14ac:dyDescent="0.25">
      <c r="A757" t="s">
        <v>53</v>
      </c>
      <c r="B757" t="s">
        <v>566</v>
      </c>
      <c r="C757" t="s">
        <v>920</v>
      </c>
      <c r="D757" t="s">
        <v>920</v>
      </c>
      <c r="E757" t="s">
        <v>1266</v>
      </c>
      <c r="F757" t="s">
        <v>571</v>
      </c>
      <c r="G757" s="204"/>
      <c r="H757">
        <v>500</v>
      </c>
      <c r="I757">
        <v>5380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7" x14ac:dyDescent="0.25">
      <c r="A758" t="s">
        <v>450</v>
      </c>
      <c r="B758" t="s">
        <v>567</v>
      </c>
      <c r="C758" t="s">
        <v>920</v>
      </c>
      <c r="D758" t="s">
        <v>920</v>
      </c>
      <c r="E758" t="s">
        <v>1280</v>
      </c>
      <c r="F758" t="s">
        <v>571</v>
      </c>
      <c r="G758" s="204"/>
      <c r="L758">
        <v>331</v>
      </c>
      <c r="M758">
        <v>5815.67</v>
      </c>
      <c r="N758">
        <v>2169</v>
      </c>
      <c r="O758">
        <v>38109.33</v>
      </c>
      <c r="P758">
        <v>2169</v>
      </c>
      <c r="Q758">
        <v>2500</v>
      </c>
      <c r="R758">
        <v>43925</v>
      </c>
      <c r="S758">
        <v>17.57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7" x14ac:dyDescent="0.25">
      <c r="A759" t="s">
        <v>53</v>
      </c>
      <c r="B759" t="s">
        <v>566</v>
      </c>
      <c r="C759" t="s">
        <v>920</v>
      </c>
      <c r="D759" t="s">
        <v>920</v>
      </c>
      <c r="E759" t="s">
        <v>1138</v>
      </c>
      <c r="F759" t="s">
        <v>571</v>
      </c>
      <c r="G759" s="204"/>
      <c r="L759">
        <v>0</v>
      </c>
      <c r="M759">
        <v>0</v>
      </c>
      <c r="N759">
        <v>1500</v>
      </c>
      <c r="O759">
        <v>11685</v>
      </c>
      <c r="P759">
        <v>1500</v>
      </c>
      <c r="Q759">
        <v>1500</v>
      </c>
      <c r="T759">
        <v>0</v>
      </c>
      <c r="U759">
        <v>0</v>
      </c>
      <c r="V759">
        <v>800</v>
      </c>
      <c r="W759">
        <v>6232</v>
      </c>
      <c r="X759">
        <v>800</v>
      </c>
      <c r="Y759">
        <v>800</v>
      </c>
      <c r="Z759">
        <v>6232</v>
      </c>
      <c r="AA759">
        <v>7.79</v>
      </c>
    </row>
    <row r="760" spans="1:27" x14ac:dyDescent="0.25">
      <c r="A760" t="s">
        <v>53</v>
      </c>
      <c r="B760" t="s">
        <v>566</v>
      </c>
      <c r="C760" t="s">
        <v>920</v>
      </c>
      <c r="D760" t="s">
        <v>920</v>
      </c>
      <c r="E760" t="s">
        <v>1212</v>
      </c>
      <c r="F760" t="s">
        <v>571</v>
      </c>
      <c r="G760" s="204"/>
      <c r="J760">
        <v>250</v>
      </c>
      <c r="K760">
        <v>2802.5</v>
      </c>
      <c r="L760">
        <v>0</v>
      </c>
      <c r="M760">
        <v>0</v>
      </c>
      <c r="N760">
        <v>250</v>
      </c>
      <c r="O760">
        <v>3012.5</v>
      </c>
      <c r="P760">
        <v>250</v>
      </c>
      <c r="Q760">
        <v>250</v>
      </c>
      <c r="R760">
        <v>3012.5</v>
      </c>
      <c r="S760">
        <v>12.05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7" x14ac:dyDescent="0.25">
      <c r="A761" t="s">
        <v>55</v>
      </c>
      <c r="B761" t="s">
        <v>566</v>
      </c>
      <c r="C761" t="s">
        <v>920</v>
      </c>
      <c r="D761" t="s">
        <v>920</v>
      </c>
      <c r="E761" t="s">
        <v>1752</v>
      </c>
      <c r="F761" t="s">
        <v>571</v>
      </c>
      <c r="G761" s="204"/>
      <c r="H761">
        <v>2</v>
      </c>
      <c r="I761">
        <v>141.72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7" x14ac:dyDescent="0.25">
      <c r="A762" t="s">
        <v>55</v>
      </c>
      <c r="B762" t="s">
        <v>566</v>
      </c>
      <c r="C762" t="s">
        <v>920</v>
      </c>
      <c r="D762" t="s">
        <v>920</v>
      </c>
      <c r="E762" t="s">
        <v>1332</v>
      </c>
      <c r="F762" t="s">
        <v>571</v>
      </c>
      <c r="G762" s="204"/>
      <c r="L762">
        <v>10</v>
      </c>
      <c r="M762">
        <v>851.6</v>
      </c>
      <c r="N762">
        <v>0</v>
      </c>
      <c r="O762">
        <v>0</v>
      </c>
      <c r="P762">
        <v>0</v>
      </c>
      <c r="Q762">
        <v>10</v>
      </c>
      <c r="R762">
        <v>851.6</v>
      </c>
      <c r="S762">
        <v>85.16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7" x14ac:dyDescent="0.25">
      <c r="A763" t="s">
        <v>55</v>
      </c>
      <c r="B763" t="s">
        <v>566</v>
      </c>
      <c r="C763" t="s">
        <v>920</v>
      </c>
      <c r="D763" t="s">
        <v>920</v>
      </c>
      <c r="E763" t="s">
        <v>1753</v>
      </c>
      <c r="F763" t="s">
        <v>571</v>
      </c>
      <c r="G763" s="204"/>
      <c r="H763">
        <v>1</v>
      </c>
      <c r="I763">
        <v>66.849999999999994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7" x14ac:dyDescent="0.25">
      <c r="A764" t="s">
        <v>87</v>
      </c>
      <c r="B764" t="s">
        <v>566</v>
      </c>
      <c r="C764" t="s">
        <v>920</v>
      </c>
      <c r="D764" t="s">
        <v>920</v>
      </c>
      <c r="E764" t="s">
        <v>1216</v>
      </c>
      <c r="F764" t="s">
        <v>571</v>
      </c>
      <c r="G764" s="204"/>
      <c r="L764">
        <v>500</v>
      </c>
      <c r="M764">
        <v>4805</v>
      </c>
      <c r="N764">
        <v>2225</v>
      </c>
      <c r="O764">
        <v>21110.25</v>
      </c>
      <c r="P764">
        <v>2225</v>
      </c>
      <c r="Q764">
        <v>2725</v>
      </c>
      <c r="R764">
        <v>25915.25</v>
      </c>
      <c r="S764">
        <v>9.5101834862385317</v>
      </c>
      <c r="T764">
        <v>0</v>
      </c>
      <c r="U764">
        <v>0</v>
      </c>
      <c r="V764">
        <v>3900</v>
      </c>
      <c r="W764">
        <v>37670</v>
      </c>
      <c r="X764">
        <v>3900</v>
      </c>
      <c r="Y764">
        <v>3900</v>
      </c>
    </row>
    <row r="765" spans="1:27" x14ac:dyDescent="0.25">
      <c r="A765" t="s">
        <v>71</v>
      </c>
      <c r="B765" t="s">
        <v>566</v>
      </c>
      <c r="C765" t="s">
        <v>920</v>
      </c>
      <c r="D765" t="s">
        <v>920</v>
      </c>
      <c r="E765" t="s">
        <v>1280</v>
      </c>
      <c r="F765" t="s">
        <v>571</v>
      </c>
      <c r="G765" s="204"/>
      <c r="H765">
        <v>5000</v>
      </c>
      <c r="I765">
        <v>35200</v>
      </c>
      <c r="L765">
        <v>5000</v>
      </c>
      <c r="M765">
        <v>40850</v>
      </c>
      <c r="N765">
        <v>0</v>
      </c>
      <c r="O765">
        <v>0</v>
      </c>
      <c r="P765">
        <v>0</v>
      </c>
      <c r="Q765">
        <v>5000</v>
      </c>
      <c r="R765">
        <v>40850</v>
      </c>
      <c r="S765">
        <v>8.17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7" x14ac:dyDescent="0.25">
      <c r="A766" t="s">
        <v>55</v>
      </c>
      <c r="B766" t="s">
        <v>566</v>
      </c>
      <c r="C766" t="s">
        <v>920</v>
      </c>
      <c r="D766" t="s">
        <v>920</v>
      </c>
      <c r="E766" t="s">
        <v>1477</v>
      </c>
      <c r="F766" t="s">
        <v>571</v>
      </c>
      <c r="G766" s="204"/>
      <c r="L766">
        <v>5</v>
      </c>
      <c r="M766">
        <v>236.85</v>
      </c>
      <c r="N766">
        <v>0</v>
      </c>
      <c r="O766">
        <v>0</v>
      </c>
      <c r="P766">
        <v>0</v>
      </c>
      <c r="Q766">
        <v>5</v>
      </c>
      <c r="R766">
        <v>236.85</v>
      </c>
      <c r="S766">
        <v>47.37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7" x14ac:dyDescent="0.25">
      <c r="A767" t="s">
        <v>55</v>
      </c>
      <c r="B767" t="s">
        <v>566</v>
      </c>
      <c r="C767" t="s">
        <v>920</v>
      </c>
      <c r="D767" t="s">
        <v>920</v>
      </c>
      <c r="E767" t="s">
        <v>1754</v>
      </c>
      <c r="F767" t="s">
        <v>571</v>
      </c>
      <c r="G767" s="204"/>
      <c r="H767">
        <v>5</v>
      </c>
      <c r="I767">
        <v>353.4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7" x14ac:dyDescent="0.25">
      <c r="A768" t="s">
        <v>55</v>
      </c>
      <c r="B768" t="s">
        <v>566</v>
      </c>
      <c r="C768" t="s">
        <v>920</v>
      </c>
      <c r="D768" t="s">
        <v>920</v>
      </c>
      <c r="E768" t="s">
        <v>1503</v>
      </c>
      <c r="F768" t="s">
        <v>571</v>
      </c>
      <c r="G768" s="204"/>
      <c r="L768">
        <v>250</v>
      </c>
      <c r="M768">
        <v>4412.5</v>
      </c>
      <c r="N768">
        <v>0</v>
      </c>
      <c r="O768">
        <v>0</v>
      </c>
      <c r="P768">
        <v>0</v>
      </c>
      <c r="Q768">
        <v>250</v>
      </c>
      <c r="R768">
        <v>4412.5</v>
      </c>
      <c r="S768">
        <v>17.649999999999999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7" x14ac:dyDescent="0.25">
      <c r="A769" t="s">
        <v>909</v>
      </c>
      <c r="B769" t="s">
        <v>565</v>
      </c>
      <c r="C769" t="s">
        <v>1859</v>
      </c>
      <c r="D769" t="s">
        <v>581</v>
      </c>
      <c r="E769" t="s">
        <v>1361</v>
      </c>
      <c r="F769" t="s">
        <v>571</v>
      </c>
      <c r="G769" s="204"/>
      <c r="L769">
        <v>49</v>
      </c>
      <c r="M769">
        <v>6009.85</v>
      </c>
      <c r="N769">
        <v>0</v>
      </c>
      <c r="O769">
        <v>0</v>
      </c>
      <c r="P769">
        <v>0</v>
      </c>
      <c r="Q769">
        <v>49</v>
      </c>
      <c r="R769">
        <v>6009.85</v>
      </c>
      <c r="S769">
        <v>122.65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7" x14ac:dyDescent="0.25">
      <c r="A770" t="s">
        <v>55</v>
      </c>
      <c r="B770" t="s">
        <v>566</v>
      </c>
      <c r="C770" t="s">
        <v>920</v>
      </c>
      <c r="D770" t="s">
        <v>920</v>
      </c>
      <c r="E770" t="s">
        <v>1394</v>
      </c>
      <c r="F770" t="s">
        <v>571</v>
      </c>
      <c r="G770" s="204"/>
      <c r="J770">
        <v>3</v>
      </c>
      <c r="K770">
        <v>218.61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7" x14ac:dyDescent="0.25">
      <c r="A771" t="s">
        <v>55</v>
      </c>
      <c r="B771" t="s">
        <v>566</v>
      </c>
      <c r="C771" t="s">
        <v>920</v>
      </c>
      <c r="D771" t="s">
        <v>920</v>
      </c>
      <c r="E771" t="s">
        <v>1749</v>
      </c>
      <c r="F771" t="s">
        <v>571</v>
      </c>
      <c r="G771" s="204"/>
      <c r="J771">
        <v>2</v>
      </c>
      <c r="K771">
        <v>145.74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7" x14ac:dyDescent="0.25">
      <c r="A772" t="s">
        <v>55</v>
      </c>
      <c r="B772" t="s">
        <v>566</v>
      </c>
      <c r="C772" t="s">
        <v>920</v>
      </c>
      <c r="D772" t="s">
        <v>920</v>
      </c>
      <c r="E772" t="s">
        <v>1386</v>
      </c>
      <c r="F772" t="s">
        <v>571</v>
      </c>
      <c r="G772" s="204"/>
      <c r="H772">
        <v>6</v>
      </c>
      <c r="I772">
        <v>401.1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7" x14ac:dyDescent="0.25">
      <c r="A773" t="s">
        <v>55</v>
      </c>
      <c r="B773" t="s">
        <v>566</v>
      </c>
      <c r="C773" t="s">
        <v>920</v>
      </c>
      <c r="D773" t="s">
        <v>920</v>
      </c>
      <c r="E773" t="s">
        <v>1468</v>
      </c>
      <c r="F773" t="s">
        <v>571</v>
      </c>
      <c r="G773" s="204"/>
      <c r="H773">
        <v>2</v>
      </c>
      <c r="I773">
        <v>133.69999999999999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7" x14ac:dyDescent="0.25">
      <c r="A774" t="s">
        <v>55</v>
      </c>
      <c r="B774" t="s">
        <v>566</v>
      </c>
      <c r="C774" t="s">
        <v>920</v>
      </c>
      <c r="D774" t="s">
        <v>920</v>
      </c>
      <c r="E774" t="s">
        <v>1755</v>
      </c>
      <c r="F774" t="s">
        <v>571</v>
      </c>
      <c r="G774" s="204"/>
      <c r="J774">
        <v>1</v>
      </c>
      <c r="K774">
        <v>72.87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7" x14ac:dyDescent="0.25">
      <c r="A775" t="s">
        <v>55</v>
      </c>
      <c r="B775" t="s">
        <v>566</v>
      </c>
      <c r="C775" t="s">
        <v>920</v>
      </c>
      <c r="D775" t="s">
        <v>920</v>
      </c>
      <c r="E775" t="s">
        <v>1385</v>
      </c>
      <c r="F775" t="s">
        <v>571</v>
      </c>
      <c r="G775" s="204"/>
      <c r="J775">
        <v>24</v>
      </c>
      <c r="K775">
        <v>1748.88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7" x14ac:dyDescent="0.25">
      <c r="A776" t="s">
        <v>55</v>
      </c>
      <c r="B776" t="s">
        <v>566</v>
      </c>
      <c r="C776" t="s">
        <v>920</v>
      </c>
      <c r="D776" t="s">
        <v>920</v>
      </c>
      <c r="E776" t="s">
        <v>1756</v>
      </c>
      <c r="F776" t="s">
        <v>571</v>
      </c>
      <c r="G776" s="204"/>
      <c r="H776">
        <v>1</v>
      </c>
      <c r="I776">
        <v>66.849999999999994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7" x14ac:dyDescent="0.25">
      <c r="A777" t="s">
        <v>71</v>
      </c>
      <c r="B777" t="s">
        <v>566</v>
      </c>
      <c r="C777" t="s">
        <v>920</v>
      </c>
      <c r="D777" t="s">
        <v>920</v>
      </c>
      <c r="E777" t="s">
        <v>1216</v>
      </c>
      <c r="F777" t="s">
        <v>571</v>
      </c>
      <c r="G777" s="204"/>
      <c r="L777">
        <v>1650</v>
      </c>
      <c r="M777">
        <v>13464</v>
      </c>
      <c r="N777">
        <v>0</v>
      </c>
      <c r="O777">
        <v>0</v>
      </c>
      <c r="P777">
        <v>0</v>
      </c>
      <c r="Q777">
        <v>1650</v>
      </c>
      <c r="R777">
        <v>13464</v>
      </c>
      <c r="S777">
        <v>8.16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7" x14ac:dyDescent="0.25">
      <c r="A778" t="s">
        <v>55</v>
      </c>
      <c r="B778" t="s">
        <v>566</v>
      </c>
      <c r="C778" t="s">
        <v>920</v>
      </c>
      <c r="D778" t="s">
        <v>920</v>
      </c>
      <c r="E778" t="s">
        <v>1266</v>
      </c>
      <c r="F778" t="s">
        <v>571</v>
      </c>
      <c r="G778" s="204"/>
      <c r="J778">
        <v>500</v>
      </c>
      <c r="K778">
        <v>6070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7" x14ac:dyDescent="0.25">
      <c r="A779" t="s">
        <v>55</v>
      </c>
      <c r="B779" t="s">
        <v>566</v>
      </c>
      <c r="C779" t="s">
        <v>920</v>
      </c>
      <c r="D779" t="s">
        <v>920</v>
      </c>
      <c r="E779" t="s">
        <v>1138</v>
      </c>
      <c r="F779" t="s">
        <v>571</v>
      </c>
      <c r="G779" s="204"/>
      <c r="L779">
        <v>850</v>
      </c>
      <c r="M779">
        <v>7045.5</v>
      </c>
      <c r="N779">
        <v>400</v>
      </c>
      <c r="O779">
        <v>4092</v>
      </c>
      <c r="P779">
        <v>400</v>
      </c>
      <c r="Q779">
        <v>1250</v>
      </c>
      <c r="T779">
        <v>0</v>
      </c>
      <c r="U779">
        <v>0</v>
      </c>
      <c r="V779">
        <v>900</v>
      </c>
      <c r="W779">
        <v>9207</v>
      </c>
      <c r="X779">
        <v>900</v>
      </c>
      <c r="Y779">
        <v>900</v>
      </c>
      <c r="Z779">
        <v>9207</v>
      </c>
      <c r="AA779">
        <v>10.23</v>
      </c>
    </row>
    <row r="780" spans="1:27" x14ac:dyDescent="0.25">
      <c r="A780" t="s">
        <v>97</v>
      </c>
      <c r="B780" t="s">
        <v>566</v>
      </c>
      <c r="C780" t="s">
        <v>920</v>
      </c>
      <c r="D780" t="s">
        <v>920</v>
      </c>
      <c r="E780" t="s">
        <v>1394</v>
      </c>
      <c r="F780" t="s">
        <v>571</v>
      </c>
      <c r="G780" s="204"/>
      <c r="L780">
        <v>2</v>
      </c>
      <c r="M780">
        <v>114.08</v>
      </c>
      <c r="N780">
        <v>0</v>
      </c>
      <c r="O780">
        <v>0</v>
      </c>
      <c r="P780">
        <v>0</v>
      </c>
      <c r="Q780">
        <v>2</v>
      </c>
      <c r="R780">
        <v>114.08</v>
      </c>
      <c r="S780">
        <v>57.04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7" x14ac:dyDescent="0.25">
      <c r="A781" t="s">
        <v>55</v>
      </c>
      <c r="B781" t="s">
        <v>566</v>
      </c>
      <c r="C781" t="s">
        <v>920</v>
      </c>
      <c r="D781" t="s">
        <v>920</v>
      </c>
      <c r="E781" t="s">
        <v>1216</v>
      </c>
      <c r="F781" t="s">
        <v>571</v>
      </c>
      <c r="G781" s="204"/>
      <c r="H781">
        <v>300</v>
      </c>
      <c r="I781">
        <v>3087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7" x14ac:dyDescent="0.25">
      <c r="A782" t="s">
        <v>57</v>
      </c>
      <c r="B782" t="s">
        <v>1031</v>
      </c>
      <c r="C782" t="s">
        <v>920</v>
      </c>
      <c r="D782" t="s">
        <v>920</v>
      </c>
      <c r="E782" t="s">
        <v>1502</v>
      </c>
      <c r="F782" t="s">
        <v>571</v>
      </c>
      <c r="G782" s="204"/>
      <c r="L782">
        <v>500</v>
      </c>
      <c r="M782">
        <v>9965</v>
      </c>
      <c r="N782">
        <v>0</v>
      </c>
      <c r="O782">
        <v>0</v>
      </c>
      <c r="P782">
        <v>0</v>
      </c>
      <c r="Q782">
        <v>500</v>
      </c>
      <c r="R782">
        <v>9965</v>
      </c>
      <c r="S782">
        <v>19.93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7" x14ac:dyDescent="0.25">
      <c r="A783" t="s">
        <v>462</v>
      </c>
      <c r="B783" t="s">
        <v>566</v>
      </c>
      <c r="C783" t="s">
        <v>920</v>
      </c>
      <c r="D783" t="s">
        <v>920</v>
      </c>
      <c r="E783" t="s">
        <v>1294</v>
      </c>
      <c r="F783" t="s">
        <v>571</v>
      </c>
      <c r="G783" s="204"/>
      <c r="J783">
        <v>100</v>
      </c>
      <c r="K783">
        <v>2845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T783">
        <v>0</v>
      </c>
      <c r="U783">
        <v>0</v>
      </c>
      <c r="V783">
        <v>200</v>
      </c>
      <c r="W783">
        <v>5690</v>
      </c>
      <c r="X783">
        <v>200</v>
      </c>
      <c r="Y783">
        <v>200</v>
      </c>
    </row>
    <row r="784" spans="1:27" x14ac:dyDescent="0.25">
      <c r="A784" t="s">
        <v>915</v>
      </c>
      <c r="B784" t="s">
        <v>1031</v>
      </c>
      <c r="C784" t="s">
        <v>920</v>
      </c>
      <c r="D784" t="s">
        <v>920</v>
      </c>
      <c r="E784" t="s">
        <v>1138</v>
      </c>
      <c r="F784" t="s">
        <v>571</v>
      </c>
      <c r="G784" s="204"/>
      <c r="L784">
        <v>87</v>
      </c>
      <c r="M784">
        <v>2296.8000000000002</v>
      </c>
      <c r="N784">
        <v>0</v>
      </c>
      <c r="O784">
        <v>0</v>
      </c>
      <c r="P784">
        <v>0</v>
      </c>
      <c r="Q784">
        <v>87</v>
      </c>
      <c r="R784">
        <v>2296.8000000000002</v>
      </c>
      <c r="S784">
        <v>26.400000000000002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7" x14ac:dyDescent="0.25">
      <c r="A785" t="s">
        <v>462</v>
      </c>
      <c r="B785" t="s">
        <v>566</v>
      </c>
      <c r="C785" t="s">
        <v>920</v>
      </c>
      <c r="D785" t="s">
        <v>920</v>
      </c>
      <c r="E785" t="s">
        <v>1212</v>
      </c>
      <c r="F785" t="s">
        <v>578</v>
      </c>
      <c r="G785" s="204">
        <v>46752</v>
      </c>
      <c r="J785">
        <v>500</v>
      </c>
      <c r="K785">
        <v>9445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7" x14ac:dyDescent="0.25">
      <c r="A786" t="s">
        <v>59</v>
      </c>
      <c r="B786" t="s">
        <v>566</v>
      </c>
      <c r="C786" t="s">
        <v>920</v>
      </c>
      <c r="D786" t="s">
        <v>920</v>
      </c>
      <c r="E786" t="s">
        <v>1332</v>
      </c>
      <c r="F786" t="s">
        <v>571</v>
      </c>
      <c r="G786" s="204"/>
      <c r="J786">
        <v>4</v>
      </c>
      <c r="K786">
        <v>410.96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7" x14ac:dyDescent="0.25">
      <c r="A787" t="s">
        <v>59</v>
      </c>
      <c r="B787" t="s">
        <v>566</v>
      </c>
      <c r="C787" t="s">
        <v>920</v>
      </c>
      <c r="D787" t="s">
        <v>920</v>
      </c>
      <c r="E787" t="s">
        <v>1407</v>
      </c>
      <c r="F787" t="s">
        <v>571</v>
      </c>
      <c r="G787" s="204"/>
      <c r="L787">
        <v>2</v>
      </c>
      <c r="M787">
        <v>0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7" x14ac:dyDescent="0.25">
      <c r="A788" t="s">
        <v>59</v>
      </c>
      <c r="B788" t="s">
        <v>566</v>
      </c>
      <c r="C788" t="s">
        <v>920</v>
      </c>
      <c r="D788" t="s">
        <v>920</v>
      </c>
      <c r="E788" t="s">
        <v>1491</v>
      </c>
      <c r="F788" t="s">
        <v>571</v>
      </c>
      <c r="G788" s="204"/>
      <c r="L788">
        <v>2</v>
      </c>
      <c r="M788">
        <v>0</v>
      </c>
      <c r="N788">
        <v>0</v>
      </c>
      <c r="O788">
        <v>0</v>
      </c>
      <c r="P788">
        <v>0</v>
      </c>
      <c r="Q788">
        <v>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7" x14ac:dyDescent="0.25">
      <c r="A789" t="s">
        <v>89</v>
      </c>
      <c r="B789" t="s">
        <v>567</v>
      </c>
      <c r="C789" t="s">
        <v>920</v>
      </c>
      <c r="D789" t="s">
        <v>920</v>
      </c>
      <c r="E789" t="s">
        <v>1330</v>
      </c>
      <c r="F789" t="s">
        <v>571</v>
      </c>
      <c r="G789" s="204"/>
      <c r="L789">
        <v>500</v>
      </c>
      <c r="M789">
        <v>9610</v>
      </c>
      <c r="N789">
        <v>0</v>
      </c>
      <c r="O789">
        <v>0</v>
      </c>
      <c r="P789">
        <v>0</v>
      </c>
      <c r="Q789">
        <v>500</v>
      </c>
      <c r="R789">
        <v>9610</v>
      </c>
      <c r="S789">
        <v>19.22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7" x14ac:dyDescent="0.25">
      <c r="A790" t="s">
        <v>59</v>
      </c>
      <c r="B790" t="s">
        <v>566</v>
      </c>
      <c r="C790" t="s">
        <v>920</v>
      </c>
      <c r="D790" t="s">
        <v>920</v>
      </c>
      <c r="E790" t="s">
        <v>1749</v>
      </c>
      <c r="F790" t="s">
        <v>571</v>
      </c>
      <c r="G790" s="204"/>
      <c r="J790">
        <v>3</v>
      </c>
      <c r="K790">
        <v>290.76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7" x14ac:dyDescent="0.25">
      <c r="A791" t="s">
        <v>59</v>
      </c>
      <c r="B791" t="s">
        <v>566</v>
      </c>
      <c r="C791" t="s">
        <v>920</v>
      </c>
      <c r="D791" t="s">
        <v>920</v>
      </c>
      <c r="E791" t="s">
        <v>1756</v>
      </c>
      <c r="F791" t="s">
        <v>571</v>
      </c>
      <c r="G791" s="204"/>
      <c r="H791">
        <v>1</v>
      </c>
      <c r="I791">
        <v>84.68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7" x14ac:dyDescent="0.25">
      <c r="A792" t="s">
        <v>59</v>
      </c>
      <c r="B792" t="s">
        <v>566</v>
      </c>
      <c r="C792" t="s">
        <v>920</v>
      </c>
      <c r="D792" t="s">
        <v>920</v>
      </c>
      <c r="E792" t="s">
        <v>1266</v>
      </c>
      <c r="F792" t="s">
        <v>571</v>
      </c>
      <c r="G792" s="204"/>
      <c r="H792">
        <v>300</v>
      </c>
      <c r="I792">
        <v>5892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7" x14ac:dyDescent="0.25">
      <c r="A793" t="s">
        <v>125</v>
      </c>
      <c r="B793" t="s">
        <v>566</v>
      </c>
      <c r="C793" t="s">
        <v>920</v>
      </c>
      <c r="D793" t="s">
        <v>920</v>
      </c>
      <c r="E793" t="s">
        <v>1502</v>
      </c>
      <c r="F793" t="s">
        <v>571</v>
      </c>
      <c r="G793" s="204"/>
      <c r="L793">
        <v>350</v>
      </c>
      <c r="M793">
        <v>6965</v>
      </c>
      <c r="N793">
        <v>0</v>
      </c>
      <c r="O793">
        <v>0</v>
      </c>
      <c r="P793">
        <v>0</v>
      </c>
      <c r="Q793">
        <v>350</v>
      </c>
      <c r="R793">
        <v>6965</v>
      </c>
      <c r="S793">
        <v>19.899999999999999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7" x14ac:dyDescent="0.25">
      <c r="A794" t="s">
        <v>87</v>
      </c>
      <c r="B794" t="s">
        <v>566</v>
      </c>
      <c r="C794" t="s">
        <v>920</v>
      </c>
      <c r="D794" t="s">
        <v>920</v>
      </c>
      <c r="E794" t="s">
        <v>1502</v>
      </c>
      <c r="F794" t="s">
        <v>571</v>
      </c>
      <c r="G794" s="204"/>
      <c r="L794">
        <v>349</v>
      </c>
      <c r="M794">
        <v>4135.6499999999996</v>
      </c>
      <c r="N794">
        <v>0</v>
      </c>
      <c r="O794">
        <v>0</v>
      </c>
      <c r="P794">
        <v>0</v>
      </c>
      <c r="Q794">
        <v>349</v>
      </c>
      <c r="R794">
        <v>4135.6499999999996</v>
      </c>
      <c r="S794">
        <v>11.85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7" x14ac:dyDescent="0.25">
      <c r="A795" t="s">
        <v>942</v>
      </c>
      <c r="C795" t="s">
        <v>1860</v>
      </c>
      <c r="D795" t="s">
        <v>954</v>
      </c>
      <c r="E795" t="s">
        <v>1248</v>
      </c>
      <c r="F795" t="s">
        <v>571</v>
      </c>
      <c r="G795" s="204"/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T795">
        <v>0</v>
      </c>
      <c r="U795">
        <v>0</v>
      </c>
      <c r="V795">
        <v>150</v>
      </c>
      <c r="W795">
        <v>997500</v>
      </c>
      <c r="X795">
        <v>150</v>
      </c>
      <c r="Y795">
        <v>150</v>
      </c>
      <c r="Z795">
        <v>997500</v>
      </c>
      <c r="AA795">
        <v>6650</v>
      </c>
    </row>
    <row r="796" spans="1:27" x14ac:dyDescent="0.25">
      <c r="A796" t="s">
        <v>105</v>
      </c>
      <c r="B796" t="s">
        <v>567</v>
      </c>
      <c r="C796" t="s">
        <v>920</v>
      </c>
      <c r="D796" t="s">
        <v>920</v>
      </c>
      <c r="E796" t="s">
        <v>1502</v>
      </c>
      <c r="F796" t="s">
        <v>571</v>
      </c>
      <c r="G796" s="204"/>
      <c r="L796">
        <v>1000</v>
      </c>
      <c r="M796">
        <v>23910</v>
      </c>
      <c r="N796">
        <v>0</v>
      </c>
      <c r="O796">
        <v>0</v>
      </c>
      <c r="P796">
        <v>0</v>
      </c>
      <c r="Q796">
        <v>1000</v>
      </c>
      <c r="R796">
        <v>23910</v>
      </c>
      <c r="S796">
        <v>23.91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7" x14ac:dyDescent="0.25">
      <c r="A797" t="s">
        <v>61</v>
      </c>
      <c r="B797" t="s">
        <v>1031</v>
      </c>
      <c r="C797" t="s">
        <v>920</v>
      </c>
      <c r="D797" t="s">
        <v>920</v>
      </c>
      <c r="E797" t="s">
        <v>1502</v>
      </c>
      <c r="F797" t="s">
        <v>571</v>
      </c>
      <c r="G797" s="204"/>
      <c r="L797">
        <v>500</v>
      </c>
      <c r="M797">
        <v>14055</v>
      </c>
      <c r="N797">
        <v>0</v>
      </c>
      <c r="O797">
        <v>0</v>
      </c>
      <c r="P797">
        <v>0</v>
      </c>
      <c r="Q797">
        <v>500</v>
      </c>
      <c r="R797">
        <v>14055</v>
      </c>
      <c r="S797">
        <v>28.11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7" x14ac:dyDescent="0.25">
      <c r="A798" t="s">
        <v>63</v>
      </c>
      <c r="B798" t="s">
        <v>566</v>
      </c>
      <c r="C798" t="s">
        <v>920</v>
      </c>
      <c r="D798" t="s">
        <v>920</v>
      </c>
      <c r="E798" t="s">
        <v>1280</v>
      </c>
      <c r="F798" t="s">
        <v>571</v>
      </c>
      <c r="G798" s="204"/>
      <c r="H798">
        <v>1000</v>
      </c>
      <c r="I798">
        <v>20330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7" x14ac:dyDescent="0.25">
      <c r="A799" t="s">
        <v>63</v>
      </c>
      <c r="B799" t="s">
        <v>566</v>
      </c>
      <c r="C799" t="s">
        <v>920</v>
      </c>
      <c r="D799" t="s">
        <v>920</v>
      </c>
      <c r="E799" t="s">
        <v>1757</v>
      </c>
      <c r="F799" t="s">
        <v>571</v>
      </c>
      <c r="G799" s="204"/>
      <c r="H799">
        <v>5</v>
      </c>
      <c r="I799">
        <v>529.15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7" x14ac:dyDescent="0.25">
      <c r="A800" t="s">
        <v>63</v>
      </c>
      <c r="B800" t="s">
        <v>566</v>
      </c>
      <c r="C800" t="s">
        <v>920</v>
      </c>
      <c r="D800" t="s">
        <v>920</v>
      </c>
      <c r="E800" t="s">
        <v>1332</v>
      </c>
      <c r="F800" t="s">
        <v>571</v>
      </c>
      <c r="G800" s="204"/>
      <c r="J800">
        <v>6</v>
      </c>
      <c r="K800">
        <v>703.7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t="s">
        <v>63</v>
      </c>
      <c r="B801" t="s">
        <v>566</v>
      </c>
      <c r="C801" t="s">
        <v>920</v>
      </c>
      <c r="D801" t="s">
        <v>920</v>
      </c>
      <c r="E801" t="s">
        <v>1758</v>
      </c>
      <c r="F801" t="s">
        <v>571</v>
      </c>
      <c r="G801" s="204"/>
      <c r="H801">
        <v>2</v>
      </c>
      <c r="I801">
        <v>199.68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t="s">
        <v>63</v>
      </c>
      <c r="B802" t="s">
        <v>566</v>
      </c>
      <c r="C802" t="s">
        <v>920</v>
      </c>
      <c r="D802" t="s">
        <v>920</v>
      </c>
      <c r="E802" t="s">
        <v>1759</v>
      </c>
      <c r="F802" t="s">
        <v>571</v>
      </c>
      <c r="G802" s="204"/>
      <c r="J802">
        <v>1</v>
      </c>
      <c r="K802">
        <v>114.27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63</v>
      </c>
      <c r="B803" t="s">
        <v>566</v>
      </c>
      <c r="C803" t="s">
        <v>920</v>
      </c>
      <c r="D803" t="s">
        <v>920</v>
      </c>
      <c r="E803" t="s">
        <v>1339</v>
      </c>
      <c r="F803" t="s">
        <v>571</v>
      </c>
      <c r="G803" s="204"/>
      <c r="L803">
        <v>2</v>
      </c>
      <c r="M803">
        <v>239.96</v>
      </c>
      <c r="N803">
        <v>0</v>
      </c>
      <c r="O803">
        <v>0</v>
      </c>
      <c r="P803">
        <v>0</v>
      </c>
      <c r="Q803">
        <v>2</v>
      </c>
      <c r="R803">
        <v>239.96</v>
      </c>
      <c r="S803">
        <v>119.98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111</v>
      </c>
      <c r="B804" t="s">
        <v>566</v>
      </c>
      <c r="C804" t="s">
        <v>920</v>
      </c>
      <c r="D804" t="s">
        <v>920</v>
      </c>
      <c r="E804" t="s">
        <v>1266</v>
      </c>
      <c r="F804" t="s">
        <v>571</v>
      </c>
      <c r="G804" s="204"/>
      <c r="J804">
        <v>500</v>
      </c>
      <c r="K804">
        <v>5785</v>
      </c>
      <c r="L804">
        <v>500</v>
      </c>
      <c r="M804">
        <v>6135</v>
      </c>
      <c r="N804">
        <v>500</v>
      </c>
      <c r="O804">
        <v>6135</v>
      </c>
      <c r="P804">
        <v>500</v>
      </c>
      <c r="Q804">
        <v>1000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t="s">
        <v>63</v>
      </c>
      <c r="B805" t="s">
        <v>566</v>
      </c>
      <c r="C805" t="s">
        <v>920</v>
      </c>
      <c r="D805" t="s">
        <v>920</v>
      </c>
      <c r="E805" t="s">
        <v>1269</v>
      </c>
      <c r="F805" t="s">
        <v>571</v>
      </c>
      <c r="G805" s="204"/>
      <c r="J805">
        <v>40</v>
      </c>
      <c r="K805">
        <v>1550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63</v>
      </c>
      <c r="B806" t="s">
        <v>566</v>
      </c>
      <c r="C806" t="s">
        <v>920</v>
      </c>
      <c r="D806" t="s">
        <v>920</v>
      </c>
      <c r="E806" t="s">
        <v>1330</v>
      </c>
      <c r="F806" t="s">
        <v>571</v>
      </c>
      <c r="G806" s="204"/>
      <c r="H806">
        <v>50</v>
      </c>
      <c r="I806">
        <v>1373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63</v>
      </c>
      <c r="B807" t="s">
        <v>566</v>
      </c>
      <c r="C807" t="s">
        <v>920</v>
      </c>
      <c r="D807" t="s">
        <v>920</v>
      </c>
      <c r="E807" t="s">
        <v>1477</v>
      </c>
      <c r="F807" t="s">
        <v>571</v>
      </c>
      <c r="G807" s="204"/>
      <c r="J807">
        <v>5</v>
      </c>
      <c r="K807">
        <v>353.7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63</v>
      </c>
      <c r="B808" t="s">
        <v>566</v>
      </c>
      <c r="C808" t="s">
        <v>920</v>
      </c>
      <c r="D808" t="s">
        <v>920</v>
      </c>
      <c r="E808" t="s">
        <v>1760</v>
      </c>
      <c r="F808" t="s">
        <v>571</v>
      </c>
      <c r="G808" s="204"/>
      <c r="H808">
        <v>12</v>
      </c>
      <c r="I808">
        <v>1266.8399999999999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63</v>
      </c>
      <c r="B809" t="s">
        <v>566</v>
      </c>
      <c r="C809" t="s">
        <v>920</v>
      </c>
      <c r="D809" t="s">
        <v>920</v>
      </c>
      <c r="E809" t="s">
        <v>1490</v>
      </c>
      <c r="F809" t="s">
        <v>571</v>
      </c>
      <c r="G809" s="204"/>
      <c r="J809">
        <v>40</v>
      </c>
      <c r="K809">
        <v>1996.8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97</v>
      </c>
      <c r="B810" t="s">
        <v>566</v>
      </c>
      <c r="C810" t="s">
        <v>920</v>
      </c>
      <c r="D810" t="s">
        <v>920</v>
      </c>
      <c r="E810" t="s">
        <v>1216</v>
      </c>
      <c r="F810" t="s">
        <v>571</v>
      </c>
      <c r="G810" s="204"/>
      <c r="J810">
        <v>700</v>
      </c>
      <c r="K810">
        <v>7140</v>
      </c>
      <c r="L810">
        <v>2000</v>
      </c>
      <c r="M810">
        <v>14060</v>
      </c>
      <c r="N810">
        <v>0</v>
      </c>
      <c r="O810">
        <v>0</v>
      </c>
      <c r="P810">
        <v>0</v>
      </c>
      <c r="Q810">
        <v>2000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63</v>
      </c>
      <c r="B811" t="s">
        <v>566</v>
      </c>
      <c r="C811" t="s">
        <v>920</v>
      </c>
      <c r="D811" t="s">
        <v>920</v>
      </c>
      <c r="E811" t="s">
        <v>1439</v>
      </c>
      <c r="F811" t="s">
        <v>571</v>
      </c>
      <c r="G811" s="204"/>
      <c r="J811">
        <v>5</v>
      </c>
      <c r="K811">
        <v>544.15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63</v>
      </c>
      <c r="B812" t="s">
        <v>566</v>
      </c>
      <c r="C812" t="s">
        <v>920</v>
      </c>
      <c r="D812" t="s">
        <v>920</v>
      </c>
      <c r="E812" t="s">
        <v>1761</v>
      </c>
      <c r="F812" t="s">
        <v>571</v>
      </c>
      <c r="G812" s="204"/>
      <c r="J812">
        <v>1</v>
      </c>
      <c r="K812">
        <v>108.83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63</v>
      </c>
      <c r="B813" t="s">
        <v>566</v>
      </c>
      <c r="C813" t="s">
        <v>920</v>
      </c>
      <c r="D813" t="s">
        <v>920</v>
      </c>
      <c r="E813" t="s">
        <v>1741</v>
      </c>
      <c r="F813" t="s">
        <v>571</v>
      </c>
      <c r="G813" s="204"/>
      <c r="H813">
        <v>6</v>
      </c>
      <c r="I813">
        <v>617.02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63</v>
      </c>
      <c r="B814" t="s">
        <v>566</v>
      </c>
      <c r="C814" t="s">
        <v>920</v>
      </c>
      <c r="D814" t="s">
        <v>920</v>
      </c>
      <c r="E814" t="s">
        <v>1476</v>
      </c>
      <c r="F814" t="s">
        <v>571</v>
      </c>
      <c r="G814" s="204"/>
      <c r="L814">
        <v>2</v>
      </c>
      <c r="M814">
        <v>239.96</v>
      </c>
      <c r="N814">
        <v>0</v>
      </c>
      <c r="O814">
        <v>0</v>
      </c>
      <c r="P814">
        <v>0</v>
      </c>
      <c r="Q814">
        <v>2</v>
      </c>
      <c r="R814">
        <v>239.96</v>
      </c>
      <c r="S814">
        <v>119.98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63</v>
      </c>
      <c r="B815" t="s">
        <v>566</v>
      </c>
      <c r="C815" t="s">
        <v>920</v>
      </c>
      <c r="D815" t="s">
        <v>920</v>
      </c>
      <c r="E815" t="s">
        <v>1364</v>
      </c>
      <c r="F815" t="s">
        <v>571</v>
      </c>
      <c r="G815" s="204"/>
      <c r="J815">
        <v>3</v>
      </c>
      <c r="K815">
        <v>326.49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63</v>
      </c>
      <c r="B816" t="s">
        <v>566</v>
      </c>
      <c r="C816" t="s">
        <v>920</v>
      </c>
      <c r="D816" t="s">
        <v>920</v>
      </c>
      <c r="E816" t="s">
        <v>1762</v>
      </c>
      <c r="F816" t="s">
        <v>571</v>
      </c>
      <c r="G816" s="204"/>
      <c r="J816">
        <v>4</v>
      </c>
      <c r="K816">
        <v>435.32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t="s">
        <v>894</v>
      </c>
      <c r="B817" t="s">
        <v>566</v>
      </c>
      <c r="C817" t="s">
        <v>920</v>
      </c>
      <c r="D817" t="s">
        <v>920</v>
      </c>
      <c r="E817" t="s">
        <v>1216</v>
      </c>
      <c r="F817" t="s">
        <v>571</v>
      </c>
      <c r="G817" s="204"/>
      <c r="L817">
        <v>300</v>
      </c>
      <c r="M817">
        <v>9591</v>
      </c>
      <c r="N817">
        <v>0</v>
      </c>
      <c r="O817">
        <v>0</v>
      </c>
      <c r="P817">
        <v>0</v>
      </c>
      <c r="Q817">
        <v>300</v>
      </c>
      <c r="R817">
        <v>9591</v>
      </c>
      <c r="S817">
        <v>31.97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97</v>
      </c>
      <c r="B818" t="s">
        <v>566</v>
      </c>
      <c r="C818" t="s">
        <v>920</v>
      </c>
      <c r="D818" t="s">
        <v>920</v>
      </c>
      <c r="E818" t="s">
        <v>1138</v>
      </c>
      <c r="F818" t="s">
        <v>571</v>
      </c>
      <c r="G818" s="204"/>
      <c r="H818">
        <v>3200</v>
      </c>
      <c r="I818">
        <v>16480</v>
      </c>
      <c r="L818">
        <v>3200</v>
      </c>
      <c r="M818">
        <v>19234</v>
      </c>
      <c r="N818">
        <v>0</v>
      </c>
      <c r="O818">
        <v>0</v>
      </c>
      <c r="P818">
        <v>0</v>
      </c>
      <c r="Q818">
        <v>3200</v>
      </c>
      <c r="R818">
        <v>19234</v>
      </c>
      <c r="S818">
        <v>6.0106250000000001</v>
      </c>
      <c r="T818">
        <v>0</v>
      </c>
      <c r="U818">
        <v>0</v>
      </c>
      <c r="V818">
        <v>5700</v>
      </c>
      <c r="W818">
        <v>38589</v>
      </c>
      <c r="X818">
        <v>5700</v>
      </c>
      <c r="Y818">
        <v>5700</v>
      </c>
    </row>
    <row r="819" spans="1:25" x14ac:dyDescent="0.25">
      <c r="A819" t="s">
        <v>63</v>
      </c>
      <c r="B819" t="s">
        <v>566</v>
      </c>
      <c r="C819" t="s">
        <v>920</v>
      </c>
      <c r="D819" t="s">
        <v>920</v>
      </c>
      <c r="E819" t="s">
        <v>1763</v>
      </c>
      <c r="F819" t="s">
        <v>571</v>
      </c>
      <c r="G819" s="204"/>
      <c r="J819">
        <v>1</v>
      </c>
      <c r="K819">
        <v>108.83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85</v>
      </c>
      <c r="B820" t="s">
        <v>567</v>
      </c>
      <c r="C820" t="s">
        <v>920</v>
      </c>
      <c r="D820" t="s">
        <v>920</v>
      </c>
      <c r="E820" t="s">
        <v>1212</v>
      </c>
      <c r="F820" t="s">
        <v>571</v>
      </c>
      <c r="G820" s="204"/>
      <c r="H820">
        <v>1500</v>
      </c>
      <c r="I820">
        <v>11520</v>
      </c>
      <c r="L820">
        <v>1500</v>
      </c>
      <c r="M820">
        <v>12270</v>
      </c>
      <c r="N820">
        <v>3500</v>
      </c>
      <c r="O820">
        <v>28630</v>
      </c>
      <c r="P820">
        <v>3500</v>
      </c>
      <c r="Q820">
        <v>5000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63</v>
      </c>
      <c r="B821" t="s">
        <v>566</v>
      </c>
      <c r="C821" t="s">
        <v>920</v>
      </c>
      <c r="D821" t="s">
        <v>920</v>
      </c>
      <c r="E821" t="s">
        <v>1756</v>
      </c>
      <c r="F821" t="s">
        <v>571</v>
      </c>
      <c r="G821" s="204"/>
      <c r="H821">
        <v>7</v>
      </c>
      <c r="I821">
        <v>698.88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63</v>
      </c>
      <c r="B822" t="s">
        <v>566</v>
      </c>
      <c r="C822" t="s">
        <v>920</v>
      </c>
      <c r="D822" t="s">
        <v>920</v>
      </c>
      <c r="E822" t="s">
        <v>1764</v>
      </c>
      <c r="F822" t="s">
        <v>571</v>
      </c>
      <c r="G822" s="204"/>
      <c r="J822">
        <v>6</v>
      </c>
      <c r="K822">
        <v>1173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63</v>
      </c>
      <c r="B823" t="s">
        <v>566</v>
      </c>
      <c r="C823" t="s">
        <v>920</v>
      </c>
      <c r="D823" t="s">
        <v>920</v>
      </c>
      <c r="E823" t="s">
        <v>1138</v>
      </c>
      <c r="F823" t="s">
        <v>571</v>
      </c>
      <c r="G823" s="204"/>
      <c r="J823">
        <v>100</v>
      </c>
      <c r="K823">
        <v>1979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101</v>
      </c>
      <c r="B824" t="s">
        <v>567</v>
      </c>
      <c r="C824" t="s">
        <v>920</v>
      </c>
      <c r="D824" t="s">
        <v>920</v>
      </c>
      <c r="E824" t="s">
        <v>1266</v>
      </c>
      <c r="F824" t="s">
        <v>571</v>
      </c>
      <c r="G824" s="204"/>
      <c r="L824">
        <v>250</v>
      </c>
      <c r="M824">
        <v>6047.5</v>
      </c>
      <c r="N824">
        <v>250</v>
      </c>
      <c r="O824">
        <v>6047.5</v>
      </c>
      <c r="P824">
        <v>250</v>
      </c>
      <c r="Q824">
        <v>500</v>
      </c>
      <c r="R824">
        <v>12095</v>
      </c>
      <c r="S824">
        <v>24.19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63</v>
      </c>
      <c r="B825" t="s">
        <v>566</v>
      </c>
      <c r="C825" t="s">
        <v>920</v>
      </c>
      <c r="D825" t="s">
        <v>920</v>
      </c>
      <c r="E825" t="s">
        <v>1212</v>
      </c>
      <c r="F825" t="s">
        <v>571</v>
      </c>
      <c r="G825" s="204"/>
      <c r="H825">
        <v>500</v>
      </c>
      <c r="I825">
        <v>10335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T825">
        <v>0</v>
      </c>
      <c r="U825">
        <v>0</v>
      </c>
      <c r="V825">
        <v>1000</v>
      </c>
      <c r="W825">
        <v>20670</v>
      </c>
      <c r="X825">
        <v>1000</v>
      </c>
      <c r="Y825">
        <v>1000</v>
      </c>
    </row>
    <row r="826" spans="1:25" x14ac:dyDescent="0.25">
      <c r="A826" t="s">
        <v>63</v>
      </c>
      <c r="B826" t="s">
        <v>566</v>
      </c>
      <c r="C826" t="s">
        <v>920</v>
      </c>
      <c r="D826" t="s">
        <v>920</v>
      </c>
      <c r="E826" t="s">
        <v>1216</v>
      </c>
      <c r="F826" t="s">
        <v>571</v>
      </c>
      <c r="G826" s="204"/>
      <c r="H826">
        <v>288</v>
      </c>
      <c r="I826">
        <v>6477.119999999999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455</v>
      </c>
      <c r="B827" t="s">
        <v>567</v>
      </c>
      <c r="C827" t="s">
        <v>920</v>
      </c>
      <c r="D827" t="s">
        <v>920</v>
      </c>
      <c r="E827" t="s">
        <v>1280</v>
      </c>
      <c r="F827" t="s">
        <v>571</v>
      </c>
      <c r="G827" s="204"/>
      <c r="H827">
        <v>500</v>
      </c>
      <c r="I827">
        <v>12920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455</v>
      </c>
      <c r="B828" t="s">
        <v>567</v>
      </c>
      <c r="C828" t="s">
        <v>920</v>
      </c>
      <c r="D828" t="s">
        <v>920</v>
      </c>
      <c r="E828" t="s">
        <v>1330</v>
      </c>
      <c r="F828" t="s">
        <v>571</v>
      </c>
      <c r="G828" s="204"/>
      <c r="J828">
        <v>100</v>
      </c>
      <c r="K828">
        <v>3046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455</v>
      </c>
      <c r="B829" t="s">
        <v>567</v>
      </c>
      <c r="C829" t="s">
        <v>920</v>
      </c>
      <c r="D829" t="s">
        <v>920</v>
      </c>
      <c r="E829" t="s">
        <v>1477</v>
      </c>
      <c r="F829" t="s">
        <v>571</v>
      </c>
      <c r="G829" s="204"/>
      <c r="J829">
        <v>1</v>
      </c>
      <c r="K829">
        <v>88.22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455</v>
      </c>
      <c r="B830" t="s">
        <v>567</v>
      </c>
      <c r="C830" t="s">
        <v>920</v>
      </c>
      <c r="D830" t="s">
        <v>920</v>
      </c>
      <c r="E830" t="s">
        <v>1266</v>
      </c>
      <c r="F830" t="s">
        <v>571</v>
      </c>
      <c r="G830" s="204"/>
      <c r="L830">
        <v>0</v>
      </c>
      <c r="M830">
        <v>0</v>
      </c>
      <c r="N830">
        <v>250</v>
      </c>
      <c r="O830">
        <v>7942.5</v>
      </c>
      <c r="P830">
        <v>250</v>
      </c>
      <c r="Q830">
        <v>250</v>
      </c>
      <c r="R830">
        <v>7942.5</v>
      </c>
      <c r="S830">
        <v>31.77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455</v>
      </c>
      <c r="B831" t="s">
        <v>567</v>
      </c>
      <c r="C831" t="s">
        <v>920</v>
      </c>
      <c r="D831" t="s">
        <v>920</v>
      </c>
      <c r="E831" t="s">
        <v>1744</v>
      </c>
      <c r="F831" t="s">
        <v>571</v>
      </c>
      <c r="G831" s="204"/>
      <c r="H831">
        <v>1</v>
      </c>
      <c r="I831">
        <v>62.17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455</v>
      </c>
      <c r="B832" t="s">
        <v>567</v>
      </c>
      <c r="C832" t="s">
        <v>920</v>
      </c>
      <c r="D832" t="s">
        <v>920</v>
      </c>
      <c r="E832" t="s">
        <v>1365</v>
      </c>
      <c r="F832" t="s">
        <v>571</v>
      </c>
      <c r="G832" s="204"/>
      <c r="J832">
        <v>5</v>
      </c>
      <c r="K832">
        <v>339.35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7" x14ac:dyDescent="0.25">
      <c r="A833" t="s">
        <v>455</v>
      </c>
      <c r="B833" t="s">
        <v>567</v>
      </c>
      <c r="C833" t="s">
        <v>920</v>
      </c>
      <c r="D833" t="s">
        <v>920</v>
      </c>
      <c r="E833" t="s">
        <v>1138</v>
      </c>
      <c r="F833" t="s">
        <v>571</v>
      </c>
      <c r="G833" s="204"/>
      <c r="J833">
        <v>100</v>
      </c>
      <c r="K833">
        <v>2593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7" x14ac:dyDescent="0.25">
      <c r="A834" t="s">
        <v>1612</v>
      </c>
      <c r="B834" t="s">
        <v>567</v>
      </c>
      <c r="C834" t="s">
        <v>920</v>
      </c>
      <c r="D834" t="s">
        <v>920</v>
      </c>
      <c r="E834" t="s">
        <v>1266</v>
      </c>
      <c r="F834" t="s">
        <v>571</v>
      </c>
      <c r="G834" s="204"/>
      <c r="H834">
        <v>24</v>
      </c>
      <c r="I834">
        <v>2412.2399999999998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7" x14ac:dyDescent="0.25">
      <c r="A835" t="s">
        <v>372</v>
      </c>
      <c r="B835" t="s">
        <v>556</v>
      </c>
      <c r="C835" t="s">
        <v>1858</v>
      </c>
      <c r="D835" t="s">
        <v>584</v>
      </c>
      <c r="E835" t="s">
        <v>1765</v>
      </c>
      <c r="F835" t="s">
        <v>571</v>
      </c>
      <c r="G835" s="204"/>
      <c r="H835">
        <v>306</v>
      </c>
      <c r="K835">
        <v>156108.16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7" x14ac:dyDescent="0.25">
      <c r="A836" t="s">
        <v>372</v>
      </c>
      <c r="B836" t="s">
        <v>556</v>
      </c>
      <c r="C836" t="s">
        <v>1858</v>
      </c>
      <c r="D836" t="s">
        <v>584</v>
      </c>
      <c r="E836" t="s">
        <v>1147</v>
      </c>
      <c r="F836" t="s">
        <v>571</v>
      </c>
      <c r="G836" s="204"/>
      <c r="H836">
        <v>7</v>
      </c>
      <c r="I836">
        <v>6301.54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7" x14ac:dyDescent="0.25">
      <c r="A837" t="s">
        <v>372</v>
      </c>
      <c r="B837" t="s">
        <v>556</v>
      </c>
      <c r="C837" t="s">
        <v>1858</v>
      </c>
      <c r="D837" t="s">
        <v>584</v>
      </c>
      <c r="E837" t="s">
        <v>1186</v>
      </c>
      <c r="F837" t="s">
        <v>571</v>
      </c>
      <c r="G837" s="204"/>
      <c r="H837">
        <v>40</v>
      </c>
      <c r="I837">
        <v>34796.020000000004</v>
      </c>
      <c r="L837">
        <v>100</v>
      </c>
      <c r="M837">
        <v>75624</v>
      </c>
      <c r="N837">
        <v>0</v>
      </c>
      <c r="O837">
        <v>0</v>
      </c>
      <c r="P837">
        <v>0</v>
      </c>
      <c r="Q837">
        <v>100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7" x14ac:dyDescent="0.25">
      <c r="A838" t="s">
        <v>1613</v>
      </c>
      <c r="B838" t="s">
        <v>562</v>
      </c>
      <c r="C838" t="s">
        <v>1858</v>
      </c>
      <c r="D838" t="s">
        <v>584</v>
      </c>
      <c r="E838" t="s">
        <v>1186</v>
      </c>
      <c r="F838" t="s">
        <v>571</v>
      </c>
      <c r="G838" s="204"/>
      <c r="J838">
        <v>51</v>
      </c>
      <c r="K838">
        <v>85602.99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7" x14ac:dyDescent="0.25">
      <c r="A839" t="s">
        <v>844</v>
      </c>
      <c r="B839" t="s">
        <v>566</v>
      </c>
      <c r="C839" t="s">
        <v>920</v>
      </c>
      <c r="D839" t="s">
        <v>920</v>
      </c>
      <c r="E839" t="s">
        <v>1280</v>
      </c>
      <c r="F839" t="s">
        <v>571</v>
      </c>
      <c r="G839" s="204"/>
      <c r="H839">
        <v>250</v>
      </c>
      <c r="I839">
        <v>10027.5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7" x14ac:dyDescent="0.25">
      <c r="A840" t="s">
        <v>844</v>
      </c>
      <c r="B840" t="s">
        <v>566</v>
      </c>
      <c r="C840" t="s">
        <v>920</v>
      </c>
      <c r="D840" t="s">
        <v>920</v>
      </c>
      <c r="E840" t="s">
        <v>1766</v>
      </c>
      <c r="F840" t="s">
        <v>571</v>
      </c>
      <c r="G840" s="204"/>
      <c r="H840">
        <v>1</v>
      </c>
      <c r="I840">
        <v>192.59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7" x14ac:dyDescent="0.25">
      <c r="A841" t="s">
        <v>844</v>
      </c>
      <c r="B841" t="s">
        <v>566</v>
      </c>
      <c r="C841" t="s">
        <v>920</v>
      </c>
      <c r="D841" t="s">
        <v>920</v>
      </c>
      <c r="E841" t="s">
        <v>1348</v>
      </c>
      <c r="F841" t="s">
        <v>571</v>
      </c>
      <c r="G841" s="204"/>
      <c r="J841">
        <v>11</v>
      </c>
      <c r="K841">
        <v>2160.62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7" x14ac:dyDescent="0.25">
      <c r="A842" t="s">
        <v>844</v>
      </c>
      <c r="B842" t="s">
        <v>566</v>
      </c>
      <c r="C842" t="s">
        <v>920</v>
      </c>
      <c r="D842" t="s">
        <v>920</v>
      </c>
      <c r="E842" t="s">
        <v>1760</v>
      </c>
      <c r="F842" t="s">
        <v>571</v>
      </c>
      <c r="G842" s="204"/>
      <c r="H842">
        <v>16</v>
      </c>
      <c r="I842">
        <v>3073.6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7" x14ac:dyDescent="0.25">
      <c r="A843" t="s">
        <v>844</v>
      </c>
      <c r="B843" t="s">
        <v>566</v>
      </c>
      <c r="C843" t="s">
        <v>920</v>
      </c>
      <c r="D843" t="s">
        <v>920</v>
      </c>
      <c r="E843" t="s">
        <v>1285</v>
      </c>
      <c r="F843" t="s">
        <v>571</v>
      </c>
      <c r="G843" s="204"/>
      <c r="H843">
        <v>6</v>
      </c>
      <c r="I843">
        <v>1090.1400000000001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7" x14ac:dyDescent="0.25">
      <c r="A844" t="s">
        <v>71</v>
      </c>
      <c r="B844" t="s">
        <v>566</v>
      </c>
      <c r="C844" t="s">
        <v>920</v>
      </c>
      <c r="D844" t="s">
        <v>920</v>
      </c>
      <c r="E844" t="s">
        <v>1273</v>
      </c>
      <c r="F844" t="s">
        <v>571</v>
      </c>
      <c r="G844" s="204"/>
      <c r="L844">
        <v>7530</v>
      </c>
      <c r="M844">
        <v>66489.899999999994</v>
      </c>
      <c r="N844">
        <v>2885</v>
      </c>
      <c r="O844">
        <v>26224.65</v>
      </c>
      <c r="P844">
        <v>2885</v>
      </c>
      <c r="Q844">
        <v>10415</v>
      </c>
      <c r="T844">
        <v>0</v>
      </c>
      <c r="U844">
        <v>0</v>
      </c>
      <c r="V844">
        <v>600</v>
      </c>
      <c r="W844">
        <v>5454</v>
      </c>
      <c r="X844">
        <v>600</v>
      </c>
      <c r="Y844">
        <v>600</v>
      </c>
      <c r="Z844">
        <v>5454</v>
      </c>
      <c r="AA844">
        <v>9.09</v>
      </c>
    </row>
    <row r="845" spans="1:27" x14ac:dyDescent="0.25">
      <c r="A845" t="s">
        <v>844</v>
      </c>
      <c r="B845" t="s">
        <v>566</v>
      </c>
      <c r="C845" t="s">
        <v>920</v>
      </c>
      <c r="D845" t="s">
        <v>920</v>
      </c>
      <c r="E845" t="s">
        <v>1767</v>
      </c>
      <c r="F845" t="s">
        <v>571</v>
      </c>
      <c r="G845" s="204"/>
      <c r="H845">
        <v>14</v>
      </c>
      <c r="I845">
        <v>2467.36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7" x14ac:dyDescent="0.25">
      <c r="A846" t="s">
        <v>844</v>
      </c>
      <c r="B846" t="s">
        <v>566</v>
      </c>
      <c r="C846" t="s">
        <v>920</v>
      </c>
      <c r="D846" t="s">
        <v>920</v>
      </c>
      <c r="E846" t="s">
        <v>1768</v>
      </c>
      <c r="F846" t="s">
        <v>571</v>
      </c>
      <c r="G846" s="204"/>
      <c r="H846">
        <v>14</v>
      </c>
      <c r="I846">
        <v>2467.36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7" x14ac:dyDescent="0.25">
      <c r="A847" t="s">
        <v>844</v>
      </c>
      <c r="B847" t="s">
        <v>566</v>
      </c>
      <c r="C847" t="s">
        <v>920</v>
      </c>
      <c r="D847" t="s">
        <v>920</v>
      </c>
      <c r="E847" t="s">
        <v>1769</v>
      </c>
      <c r="F847" t="s">
        <v>571</v>
      </c>
      <c r="G847" s="204"/>
      <c r="J847">
        <v>30</v>
      </c>
      <c r="K847">
        <v>5941.2000000000007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7" x14ac:dyDescent="0.25">
      <c r="A848" t="s">
        <v>844</v>
      </c>
      <c r="B848" t="s">
        <v>566</v>
      </c>
      <c r="C848" t="s">
        <v>920</v>
      </c>
      <c r="D848" t="s">
        <v>920</v>
      </c>
      <c r="E848" t="s">
        <v>1401</v>
      </c>
      <c r="F848" t="s">
        <v>571</v>
      </c>
      <c r="G848" s="204"/>
      <c r="H848">
        <v>23</v>
      </c>
      <c r="I848">
        <v>4178.87</v>
      </c>
      <c r="L848">
        <v>25</v>
      </c>
      <c r="M848">
        <v>5458.5</v>
      </c>
      <c r="N848">
        <v>0</v>
      </c>
      <c r="O848">
        <v>0</v>
      </c>
      <c r="P848">
        <v>0</v>
      </c>
      <c r="Q848">
        <v>25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7" x14ac:dyDescent="0.25">
      <c r="A849" t="s">
        <v>844</v>
      </c>
      <c r="B849" t="s">
        <v>566</v>
      </c>
      <c r="C849" t="s">
        <v>920</v>
      </c>
      <c r="D849" t="s">
        <v>920</v>
      </c>
      <c r="E849" t="s">
        <v>1715</v>
      </c>
      <c r="F849" t="s">
        <v>571</v>
      </c>
      <c r="G849" s="204"/>
      <c r="H849">
        <v>12</v>
      </c>
      <c r="I849">
        <v>2376.48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7" x14ac:dyDescent="0.25">
      <c r="A850" t="s">
        <v>844</v>
      </c>
      <c r="B850" t="s">
        <v>566</v>
      </c>
      <c r="C850" t="s">
        <v>920</v>
      </c>
      <c r="D850" t="s">
        <v>920</v>
      </c>
      <c r="E850" t="s">
        <v>1741</v>
      </c>
      <c r="F850" t="s">
        <v>571</v>
      </c>
      <c r="G850" s="204"/>
      <c r="J850">
        <v>3</v>
      </c>
      <c r="K850">
        <v>594.12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7" x14ac:dyDescent="0.25">
      <c r="A851" t="s">
        <v>844</v>
      </c>
      <c r="B851" t="s">
        <v>566</v>
      </c>
      <c r="C851" t="s">
        <v>920</v>
      </c>
      <c r="D851" t="s">
        <v>920</v>
      </c>
      <c r="E851" t="s">
        <v>1446</v>
      </c>
      <c r="F851" t="s">
        <v>571</v>
      </c>
      <c r="G851" s="204"/>
      <c r="L851">
        <v>10</v>
      </c>
      <c r="M851">
        <v>2292.6</v>
      </c>
      <c r="N851">
        <v>0</v>
      </c>
      <c r="O851">
        <v>0</v>
      </c>
      <c r="P851">
        <v>0</v>
      </c>
      <c r="Q851">
        <v>10</v>
      </c>
      <c r="R851">
        <v>2292.6</v>
      </c>
      <c r="S851">
        <v>229.26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7" x14ac:dyDescent="0.25">
      <c r="A852" t="s">
        <v>844</v>
      </c>
      <c r="B852" t="s">
        <v>566</v>
      </c>
      <c r="C852" t="s">
        <v>920</v>
      </c>
      <c r="D852" t="s">
        <v>920</v>
      </c>
      <c r="E852" t="s">
        <v>1770</v>
      </c>
      <c r="F852" t="s">
        <v>571</v>
      </c>
      <c r="G852" s="204"/>
      <c r="J852">
        <v>4</v>
      </c>
      <c r="K852">
        <v>792.16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7" x14ac:dyDescent="0.25">
      <c r="A853" t="s">
        <v>844</v>
      </c>
      <c r="B853" t="s">
        <v>566</v>
      </c>
      <c r="C853" t="s">
        <v>920</v>
      </c>
      <c r="D853" t="s">
        <v>920</v>
      </c>
      <c r="E853" t="s">
        <v>1381</v>
      </c>
      <c r="F853" t="s">
        <v>571</v>
      </c>
      <c r="G853" s="204"/>
      <c r="L853">
        <v>8</v>
      </c>
      <c r="M853">
        <v>1746.72</v>
      </c>
      <c r="N853">
        <v>0</v>
      </c>
      <c r="O853">
        <v>0</v>
      </c>
      <c r="P853">
        <v>0</v>
      </c>
      <c r="Q853">
        <v>8</v>
      </c>
      <c r="R853">
        <v>1746.72</v>
      </c>
      <c r="S853">
        <v>218.34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7" x14ac:dyDescent="0.25">
      <c r="A854" t="s">
        <v>844</v>
      </c>
      <c r="B854" t="s">
        <v>566</v>
      </c>
      <c r="C854" t="s">
        <v>920</v>
      </c>
      <c r="D854" t="s">
        <v>920</v>
      </c>
      <c r="E854" t="s">
        <v>1365</v>
      </c>
      <c r="F854" t="s">
        <v>571</v>
      </c>
      <c r="G854" s="204"/>
      <c r="J854">
        <v>2</v>
      </c>
      <c r="K854">
        <v>198.04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7" x14ac:dyDescent="0.25">
      <c r="A855" t="s">
        <v>848</v>
      </c>
      <c r="B855" t="s">
        <v>554</v>
      </c>
      <c r="C855" t="s">
        <v>920</v>
      </c>
      <c r="D855" t="s">
        <v>920</v>
      </c>
      <c r="E855" t="s">
        <v>1263</v>
      </c>
      <c r="F855" t="s">
        <v>571</v>
      </c>
      <c r="G855" s="204"/>
      <c r="L855">
        <v>0</v>
      </c>
      <c r="M855">
        <v>0</v>
      </c>
      <c r="N855">
        <v>24</v>
      </c>
      <c r="O855">
        <v>19992</v>
      </c>
      <c r="P855">
        <v>24</v>
      </c>
      <c r="Q855">
        <v>24</v>
      </c>
      <c r="R855">
        <v>19992</v>
      </c>
      <c r="S855">
        <v>833</v>
      </c>
      <c r="T855">
        <v>0</v>
      </c>
      <c r="U855">
        <v>0</v>
      </c>
      <c r="V855">
        <v>48</v>
      </c>
      <c r="W855">
        <v>39984</v>
      </c>
      <c r="X855">
        <v>48</v>
      </c>
      <c r="Y855">
        <v>48</v>
      </c>
    </row>
    <row r="856" spans="1:27" x14ac:dyDescent="0.25">
      <c r="A856" t="s">
        <v>1614</v>
      </c>
      <c r="B856" t="s">
        <v>562</v>
      </c>
      <c r="E856" t="s">
        <v>1252</v>
      </c>
      <c r="F856" t="s">
        <v>571</v>
      </c>
      <c r="G856" s="204"/>
      <c r="H856">
        <v>56</v>
      </c>
      <c r="I856">
        <v>10546.48</v>
      </c>
      <c r="K856">
        <v>11200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7" x14ac:dyDescent="0.25">
      <c r="A857" t="s">
        <v>97</v>
      </c>
      <c r="B857" t="s">
        <v>566</v>
      </c>
      <c r="C857" t="s">
        <v>920</v>
      </c>
      <c r="D857" t="s">
        <v>920</v>
      </c>
      <c r="E857" t="s">
        <v>1242</v>
      </c>
      <c r="F857" t="s">
        <v>571</v>
      </c>
      <c r="G857" s="204"/>
      <c r="L857">
        <v>4500</v>
      </c>
      <c r="M857">
        <v>44865</v>
      </c>
      <c r="N857">
        <v>0</v>
      </c>
      <c r="O857">
        <v>0</v>
      </c>
      <c r="P857">
        <v>0</v>
      </c>
      <c r="Q857">
        <v>4500</v>
      </c>
      <c r="R857">
        <v>44865</v>
      </c>
      <c r="S857">
        <v>9.9700000000000006</v>
      </c>
      <c r="T857">
        <v>0</v>
      </c>
      <c r="U857">
        <v>0</v>
      </c>
      <c r="V857">
        <v>5000</v>
      </c>
      <c r="W857">
        <v>49850</v>
      </c>
      <c r="X857">
        <v>5000</v>
      </c>
      <c r="Y857">
        <v>5000</v>
      </c>
    </row>
    <row r="858" spans="1:27" x14ac:dyDescent="0.25">
      <c r="A858" t="s">
        <v>1209</v>
      </c>
      <c r="B858" t="s">
        <v>562</v>
      </c>
      <c r="C858" t="s">
        <v>569</v>
      </c>
      <c r="D858" t="s">
        <v>1876</v>
      </c>
      <c r="E858" t="s">
        <v>1208</v>
      </c>
      <c r="F858" t="s">
        <v>571</v>
      </c>
      <c r="G858" s="204"/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T858">
        <v>0</v>
      </c>
      <c r="U858">
        <v>0</v>
      </c>
      <c r="V858">
        <v>21</v>
      </c>
      <c r="W858">
        <v>111300</v>
      </c>
      <c r="X858">
        <v>21</v>
      </c>
      <c r="Y858">
        <v>21</v>
      </c>
      <c r="Z858">
        <v>111300</v>
      </c>
      <c r="AA858">
        <v>5300</v>
      </c>
    </row>
    <row r="859" spans="1:27" x14ac:dyDescent="0.25">
      <c r="A859" t="s">
        <v>1615</v>
      </c>
      <c r="B859" t="s">
        <v>565</v>
      </c>
      <c r="C859" t="s">
        <v>564</v>
      </c>
      <c r="D859" t="s">
        <v>1877</v>
      </c>
      <c r="E859" t="s">
        <v>1252</v>
      </c>
      <c r="F859" t="s">
        <v>571</v>
      </c>
      <c r="G859" s="204"/>
      <c r="J859">
        <v>23</v>
      </c>
      <c r="K859">
        <v>24083.3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7" x14ac:dyDescent="0.25">
      <c r="A860" t="s">
        <v>95</v>
      </c>
      <c r="B860" t="s">
        <v>1031</v>
      </c>
      <c r="C860" t="s">
        <v>920</v>
      </c>
      <c r="D860" t="s">
        <v>920</v>
      </c>
      <c r="E860" t="s">
        <v>1488</v>
      </c>
      <c r="F860" t="s">
        <v>571</v>
      </c>
      <c r="G860" s="204"/>
      <c r="L860">
        <v>52</v>
      </c>
      <c r="M860">
        <v>1001.52</v>
      </c>
      <c r="N860">
        <v>0</v>
      </c>
      <c r="O860">
        <v>0</v>
      </c>
      <c r="P860">
        <v>0</v>
      </c>
      <c r="Q860">
        <v>52</v>
      </c>
      <c r="R860">
        <v>1001.52</v>
      </c>
      <c r="S860">
        <v>19.259999999999998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7" x14ac:dyDescent="0.25">
      <c r="A861" t="s">
        <v>65</v>
      </c>
      <c r="B861" t="s">
        <v>566</v>
      </c>
      <c r="C861" t="s">
        <v>920</v>
      </c>
      <c r="D861" t="s">
        <v>920</v>
      </c>
      <c r="E861" t="s">
        <v>1268</v>
      </c>
      <c r="F861" t="s">
        <v>571</v>
      </c>
      <c r="G861" s="204"/>
      <c r="H861">
        <v>96</v>
      </c>
      <c r="I861">
        <v>696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7" x14ac:dyDescent="0.25">
      <c r="A862" t="s">
        <v>75</v>
      </c>
      <c r="B862" t="s">
        <v>567</v>
      </c>
      <c r="C862" t="s">
        <v>920</v>
      </c>
      <c r="D862" t="s">
        <v>920</v>
      </c>
      <c r="E862" t="s">
        <v>1488</v>
      </c>
      <c r="F862" t="s">
        <v>571</v>
      </c>
      <c r="G862" s="204"/>
      <c r="L862">
        <v>104</v>
      </c>
      <c r="M862">
        <v>1256.3200000000002</v>
      </c>
      <c r="N862">
        <v>0</v>
      </c>
      <c r="O862">
        <v>0</v>
      </c>
      <c r="P862">
        <v>0</v>
      </c>
      <c r="Q862">
        <v>104</v>
      </c>
      <c r="R862">
        <v>1256.3200000000002</v>
      </c>
      <c r="S862">
        <v>12.080000000000002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7" x14ac:dyDescent="0.25">
      <c r="A863" t="s">
        <v>65</v>
      </c>
      <c r="B863" t="s">
        <v>566</v>
      </c>
      <c r="C863" t="s">
        <v>920</v>
      </c>
      <c r="D863" t="s">
        <v>920</v>
      </c>
      <c r="E863" t="s">
        <v>1332</v>
      </c>
      <c r="F863" t="s">
        <v>571</v>
      </c>
      <c r="G863" s="204"/>
      <c r="L863">
        <v>14</v>
      </c>
      <c r="M863">
        <v>740.45999999999992</v>
      </c>
      <c r="N863">
        <v>0</v>
      </c>
      <c r="O863">
        <v>0</v>
      </c>
      <c r="P863">
        <v>0</v>
      </c>
      <c r="Q863">
        <v>14</v>
      </c>
      <c r="R863">
        <v>740.45999999999992</v>
      </c>
      <c r="S863">
        <v>52.889999999999993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7" x14ac:dyDescent="0.25">
      <c r="A864" t="s">
        <v>111</v>
      </c>
      <c r="B864" t="s">
        <v>566</v>
      </c>
      <c r="C864" t="s">
        <v>920</v>
      </c>
      <c r="D864" t="s">
        <v>920</v>
      </c>
      <c r="E864" t="s">
        <v>1448</v>
      </c>
      <c r="F864" t="s">
        <v>571</v>
      </c>
      <c r="G864" s="204"/>
      <c r="L864">
        <v>60</v>
      </c>
      <c r="M864">
        <v>4475.3999999999996</v>
      </c>
      <c r="N864">
        <v>0</v>
      </c>
      <c r="O864">
        <v>0</v>
      </c>
      <c r="P864">
        <v>0</v>
      </c>
      <c r="Q864">
        <v>60</v>
      </c>
      <c r="R864">
        <v>4475.3999999999996</v>
      </c>
      <c r="S864">
        <v>74.589999999999989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7" x14ac:dyDescent="0.25">
      <c r="A865" t="s">
        <v>65</v>
      </c>
      <c r="B865" t="s">
        <v>566</v>
      </c>
      <c r="C865" t="s">
        <v>920</v>
      </c>
      <c r="D865" t="s">
        <v>920</v>
      </c>
      <c r="E865" t="s">
        <v>1708</v>
      </c>
      <c r="F865" t="s">
        <v>571</v>
      </c>
      <c r="G865" s="204"/>
      <c r="H865">
        <v>4</v>
      </c>
      <c r="I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7" x14ac:dyDescent="0.25">
      <c r="A866" t="s">
        <v>65</v>
      </c>
      <c r="B866" t="s">
        <v>566</v>
      </c>
      <c r="C866" t="s">
        <v>920</v>
      </c>
      <c r="D866" t="s">
        <v>920</v>
      </c>
      <c r="E866" t="s">
        <v>1330</v>
      </c>
      <c r="F866" t="s">
        <v>571</v>
      </c>
      <c r="G866" s="204"/>
      <c r="J866">
        <v>500</v>
      </c>
      <c r="K866">
        <v>3600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7" x14ac:dyDescent="0.25">
      <c r="A867" t="s">
        <v>117</v>
      </c>
      <c r="B867" t="s">
        <v>567</v>
      </c>
      <c r="C867" t="s">
        <v>920</v>
      </c>
      <c r="D867" t="s">
        <v>920</v>
      </c>
      <c r="E867" t="s">
        <v>1216</v>
      </c>
      <c r="F867" t="s">
        <v>571</v>
      </c>
      <c r="G867" s="204"/>
      <c r="L867">
        <v>1000</v>
      </c>
      <c r="M867">
        <v>22460</v>
      </c>
      <c r="N867">
        <v>0</v>
      </c>
      <c r="O867">
        <v>0</v>
      </c>
      <c r="P867">
        <v>0</v>
      </c>
      <c r="Q867">
        <v>1000</v>
      </c>
      <c r="R867">
        <v>22460</v>
      </c>
      <c r="S867">
        <v>22.46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7" x14ac:dyDescent="0.25">
      <c r="A868" t="s">
        <v>65</v>
      </c>
      <c r="B868" t="s">
        <v>566</v>
      </c>
      <c r="C868" t="s">
        <v>920</v>
      </c>
      <c r="D868" t="s">
        <v>920</v>
      </c>
      <c r="E868" t="s">
        <v>1771</v>
      </c>
      <c r="F868" t="s">
        <v>571</v>
      </c>
      <c r="G868" s="204"/>
      <c r="H868">
        <v>100</v>
      </c>
      <c r="I868">
        <v>797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7" x14ac:dyDescent="0.25">
      <c r="A869" t="s">
        <v>65</v>
      </c>
      <c r="B869" t="s">
        <v>566</v>
      </c>
      <c r="C869" t="s">
        <v>920</v>
      </c>
      <c r="D869" t="s">
        <v>920</v>
      </c>
      <c r="E869" t="s">
        <v>1263</v>
      </c>
      <c r="F869" t="s">
        <v>571</v>
      </c>
      <c r="G869" s="204"/>
      <c r="L869">
        <v>300</v>
      </c>
      <c r="M869">
        <v>3000</v>
      </c>
      <c r="N869">
        <v>0</v>
      </c>
      <c r="O869">
        <v>0</v>
      </c>
      <c r="P869">
        <v>0</v>
      </c>
      <c r="Q869">
        <v>300</v>
      </c>
      <c r="R869">
        <v>3000</v>
      </c>
      <c r="S869">
        <v>10</v>
      </c>
      <c r="T869">
        <v>0</v>
      </c>
      <c r="U869">
        <v>0</v>
      </c>
      <c r="V869">
        <v>300</v>
      </c>
      <c r="W869">
        <v>3000</v>
      </c>
      <c r="X869">
        <v>300</v>
      </c>
      <c r="Y869">
        <v>300</v>
      </c>
      <c r="Z869">
        <v>3000</v>
      </c>
      <c r="AA869">
        <v>10</v>
      </c>
    </row>
    <row r="870" spans="1:27" x14ac:dyDescent="0.25">
      <c r="A870" t="s">
        <v>65</v>
      </c>
      <c r="B870" t="s">
        <v>566</v>
      </c>
      <c r="C870" t="s">
        <v>920</v>
      </c>
      <c r="D870" t="s">
        <v>920</v>
      </c>
      <c r="E870" t="s">
        <v>1406</v>
      </c>
      <c r="F870" t="s">
        <v>571</v>
      </c>
      <c r="G870" s="204"/>
      <c r="J870">
        <v>20</v>
      </c>
      <c r="K870">
        <v>905.2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7" x14ac:dyDescent="0.25">
      <c r="A871" t="s">
        <v>65</v>
      </c>
      <c r="B871" t="s">
        <v>566</v>
      </c>
      <c r="C871" t="s">
        <v>920</v>
      </c>
      <c r="D871" t="s">
        <v>920</v>
      </c>
      <c r="E871" t="s">
        <v>1772</v>
      </c>
      <c r="F871" t="s">
        <v>571</v>
      </c>
      <c r="G871" s="204"/>
      <c r="J871">
        <v>20</v>
      </c>
      <c r="K871">
        <v>905.2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7" x14ac:dyDescent="0.25">
      <c r="A872" t="s">
        <v>65</v>
      </c>
      <c r="B872" t="s">
        <v>566</v>
      </c>
      <c r="C872" t="s">
        <v>920</v>
      </c>
      <c r="D872" t="s">
        <v>920</v>
      </c>
      <c r="E872" t="s">
        <v>1773</v>
      </c>
      <c r="F872" t="s">
        <v>571</v>
      </c>
      <c r="G872" s="204"/>
      <c r="H872">
        <v>6</v>
      </c>
      <c r="I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7" x14ac:dyDescent="0.25">
      <c r="A873" t="s">
        <v>65</v>
      </c>
      <c r="B873" t="s">
        <v>566</v>
      </c>
      <c r="C873" t="s">
        <v>920</v>
      </c>
      <c r="D873" t="s">
        <v>920</v>
      </c>
      <c r="E873" t="s">
        <v>1337</v>
      </c>
      <c r="F873" t="s">
        <v>571</v>
      </c>
      <c r="G873" s="204"/>
      <c r="H873">
        <v>40</v>
      </c>
      <c r="I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7" x14ac:dyDescent="0.25">
      <c r="A874" t="s">
        <v>65</v>
      </c>
      <c r="B874" t="s">
        <v>566</v>
      </c>
      <c r="C874" t="s">
        <v>920</v>
      </c>
      <c r="D874" t="s">
        <v>920</v>
      </c>
      <c r="E874" t="s">
        <v>1138</v>
      </c>
      <c r="F874" t="s">
        <v>571</v>
      </c>
      <c r="G874" s="204"/>
      <c r="H874">
        <v>1000</v>
      </c>
      <c r="I874">
        <v>7720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7" x14ac:dyDescent="0.25">
      <c r="A875" t="s">
        <v>128</v>
      </c>
      <c r="B875" t="s">
        <v>565</v>
      </c>
      <c r="C875" t="s">
        <v>1859</v>
      </c>
      <c r="D875" t="s">
        <v>637</v>
      </c>
      <c r="E875" t="s">
        <v>1169</v>
      </c>
      <c r="F875" t="s">
        <v>578</v>
      </c>
      <c r="G875" s="204">
        <v>46752</v>
      </c>
      <c r="L875">
        <v>0</v>
      </c>
      <c r="M875">
        <v>0</v>
      </c>
      <c r="N875">
        <v>50</v>
      </c>
      <c r="O875">
        <v>3415.5</v>
      </c>
      <c r="P875">
        <v>50</v>
      </c>
      <c r="Q875">
        <v>50</v>
      </c>
      <c r="R875">
        <v>3415.5</v>
      </c>
      <c r="S875">
        <v>68.31</v>
      </c>
      <c r="T875">
        <v>0</v>
      </c>
      <c r="U875">
        <v>0</v>
      </c>
      <c r="V875">
        <v>171</v>
      </c>
      <c r="W875">
        <v>11681.01</v>
      </c>
      <c r="X875">
        <v>171</v>
      </c>
      <c r="Y875">
        <v>171</v>
      </c>
    </row>
    <row r="876" spans="1:27" x14ac:dyDescent="0.25">
      <c r="A876" t="s">
        <v>451</v>
      </c>
      <c r="B876" t="s">
        <v>566</v>
      </c>
      <c r="C876" t="s">
        <v>920</v>
      </c>
      <c r="D876" t="s">
        <v>920</v>
      </c>
      <c r="E876" t="s">
        <v>1242</v>
      </c>
      <c r="F876" t="s">
        <v>571</v>
      </c>
      <c r="G876" s="204"/>
      <c r="L876">
        <v>1500</v>
      </c>
      <c r="M876">
        <v>20790</v>
      </c>
      <c r="N876">
        <v>0</v>
      </c>
      <c r="O876">
        <v>0</v>
      </c>
      <c r="P876">
        <v>0</v>
      </c>
      <c r="Q876">
        <v>1500</v>
      </c>
      <c r="R876">
        <v>20790</v>
      </c>
      <c r="S876">
        <v>13.86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7" x14ac:dyDescent="0.25">
      <c r="A877" t="s">
        <v>451</v>
      </c>
      <c r="B877" t="s">
        <v>566</v>
      </c>
      <c r="C877" t="s">
        <v>920</v>
      </c>
      <c r="D877" t="s">
        <v>920</v>
      </c>
      <c r="E877" t="s">
        <v>1266</v>
      </c>
      <c r="F877" t="s">
        <v>571</v>
      </c>
      <c r="G877" s="204"/>
      <c r="L877">
        <v>1000</v>
      </c>
      <c r="M877">
        <v>8070</v>
      </c>
      <c r="N877">
        <v>1500</v>
      </c>
      <c r="O877">
        <v>12105</v>
      </c>
      <c r="P877">
        <v>1500</v>
      </c>
      <c r="Q877">
        <v>2500</v>
      </c>
      <c r="R877">
        <v>20175</v>
      </c>
      <c r="S877">
        <v>8.07</v>
      </c>
      <c r="T877">
        <v>0</v>
      </c>
      <c r="U877">
        <v>0</v>
      </c>
      <c r="V877">
        <v>4000</v>
      </c>
      <c r="W877">
        <v>32280</v>
      </c>
      <c r="X877">
        <v>4000</v>
      </c>
      <c r="Y877">
        <v>4000</v>
      </c>
    </row>
    <row r="878" spans="1:27" x14ac:dyDescent="0.25">
      <c r="A878" t="s">
        <v>97</v>
      </c>
      <c r="B878" t="s">
        <v>566</v>
      </c>
      <c r="C878" t="s">
        <v>920</v>
      </c>
      <c r="D878" t="s">
        <v>920</v>
      </c>
      <c r="E878" t="s">
        <v>1330</v>
      </c>
      <c r="F878" t="s">
        <v>571</v>
      </c>
      <c r="G878" s="204"/>
      <c r="L878">
        <v>250</v>
      </c>
      <c r="M878">
        <v>2287.5</v>
      </c>
      <c r="N878">
        <v>0</v>
      </c>
      <c r="O878">
        <v>0</v>
      </c>
      <c r="P878">
        <v>0</v>
      </c>
      <c r="Q878">
        <v>250</v>
      </c>
      <c r="R878">
        <v>2287.5</v>
      </c>
      <c r="S878">
        <v>9.15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7" x14ac:dyDescent="0.25">
      <c r="A879" t="s">
        <v>1616</v>
      </c>
      <c r="B879" t="s">
        <v>567</v>
      </c>
      <c r="C879" t="s">
        <v>920</v>
      </c>
      <c r="D879" t="s">
        <v>920</v>
      </c>
      <c r="E879" t="s">
        <v>1266</v>
      </c>
      <c r="F879" t="s">
        <v>571</v>
      </c>
      <c r="G879" s="204"/>
      <c r="H879">
        <v>530</v>
      </c>
      <c r="I879">
        <v>13997.3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7" x14ac:dyDescent="0.25">
      <c r="A880" t="s">
        <v>67</v>
      </c>
      <c r="B880" t="s">
        <v>567</v>
      </c>
      <c r="C880" t="s">
        <v>920</v>
      </c>
      <c r="D880" t="s">
        <v>920</v>
      </c>
      <c r="E880" t="s">
        <v>1280</v>
      </c>
      <c r="F880" t="s">
        <v>571</v>
      </c>
      <c r="G880" s="204"/>
      <c r="J880">
        <v>1000</v>
      </c>
      <c r="K880">
        <v>19440</v>
      </c>
      <c r="L880">
        <v>1000</v>
      </c>
      <c r="M880">
        <v>19440</v>
      </c>
      <c r="N880">
        <v>0</v>
      </c>
      <c r="O880">
        <v>0</v>
      </c>
      <c r="P880">
        <v>0</v>
      </c>
      <c r="Q880">
        <v>1000</v>
      </c>
      <c r="R880">
        <v>19440</v>
      </c>
      <c r="S880">
        <v>19.440000000000001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7" x14ac:dyDescent="0.25">
      <c r="A881" t="s">
        <v>67</v>
      </c>
      <c r="B881" t="s">
        <v>567</v>
      </c>
      <c r="C881" t="s">
        <v>920</v>
      </c>
      <c r="D881" t="s">
        <v>920</v>
      </c>
      <c r="E881" t="s">
        <v>1315</v>
      </c>
      <c r="F881" t="s">
        <v>571</v>
      </c>
      <c r="G881" s="204"/>
      <c r="J881">
        <v>100</v>
      </c>
      <c r="K881">
        <v>2515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7" x14ac:dyDescent="0.25">
      <c r="A882" t="s">
        <v>67</v>
      </c>
      <c r="B882" t="s">
        <v>567</v>
      </c>
      <c r="C882" t="s">
        <v>920</v>
      </c>
      <c r="D882" t="s">
        <v>920</v>
      </c>
      <c r="E882" t="s">
        <v>1300</v>
      </c>
      <c r="F882" t="s">
        <v>571</v>
      </c>
      <c r="G882" s="204"/>
      <c r="L882">
        <v>0</v>
      </c>
      <c r="M882">
        <v>0</v>
      </c>
      <c r="N882">
        <v>238</v>
      </c>
      <c r="O882">
        <v>4143.58</v>
      </c>
      <c r="P882">
        <v>238</v>
      </c>
      <c r="Q882">
        <v>238</v>
      </c>
      <c r="R882">
        <v>4143.58</v>
      </c>
      <c r="S882">
        <v>17.41</v>
      </c>
      <c r="T882">
        <v>0</v>
      </c>
      <c r="U882">
        <v>0</v>
      </c>
      <c r="V882">
        <v>714</v>
      </c>
      <c r="W882">
        <v>12430.74</v>
      </c>
      <c r="X882">
        <v>714</v>
      </c>
      <c r="Y882">
        <v>714</v>
      </c>
    </row>
    <row r="883" spans="1:27" x14ac:dyDescent="0.25">
      <c r="A883" t="s">
        <v>1617</v>
      </c>
      <c r="B883" t="s">
        <v>566</v>
      </c>
      <c r="C883" t="s">
        <v>920</v>
      </c>
      <c r="D883" t="s">
        <v>920</v>
      </c>
      <c r="E883" t="s">
        <v>1136</v>
      </c>
      <c r="F883" t="s">
        <v>571</v>
      </c>
      <c r="G883" s="204"/>
      <c r="H883">
        <v>25</v>
      </c>
      <c r="I883">
        <v>956.25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7" x14ac:dyDescent="0.25">
      <c r="A884" t="s">
        <v>1617</v>
      </c>
      <c r="B884" t="s">
        <v>566</v>
      </c>
      <c r="C884" t="s">
        <v>920</v>
      </c>
      <c r="D884" t="s">
        <v>920</v>
      </c>
      <c r="E884" t="s">
        <v>1212</v>
      </c>
      <c r="F884" t="s">
        <v>571</v>
      </c>
      <c r="G884" s="204"/>
      <c r="H884">
        <v>1000</v>
      </c>
      <c r="I884">
        <v>13570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7" x14ac:dyDescent="0.25">
      <c r="A885" t="s">
        <v>125</v>
      </c>
      <c r="B885" t="s">
        <v>566</v>
      </c>
      <c r="C885" t="s">
        <v>920</v>
      </c>
      <c r="D885" t="s">
        <v>920</v>
      </c>
      <c r="E885" t="s">
        <v>1138</v>
      </c>
      <c r="F885" t="s">
        <v>571</v>
      </c>
      <c r="G885" s="204"/>
      <c r="J885">
        <v>500</v>
      </c>
      <c r="K885">
        <v>4535</v>
      </c>
      <c r="L885">
        <v>2000</v>
      </c>
      <c r="M885">
        <v>18140</v>
      </c>
      <c r="N885">
        <v>0</v>
      </c>
      <c r="O885">
        <v>0</v>
      </c>
      <c r="P885">
        <v>0</v>
      </c>
      <c r="Q885">
        <v>2000</v>
      </c>
      <c r="T885">
        <v>0</v>
      </c>
      <c r="U885">
        <v>0</v>
      </c>
      <c r="V885">
        <v>500</v>
      </c>
      <c r="W885">
        <v>6005</v>
      </c>
      <c r="X885">
        <v>500</v>
      </c>
      <c r="Y885">
        <v>500</v>
      </c>
      <c r="Z885">
        <v>6005</v>
      </c>
      <c r="AA885">
        <v>12.01</v>
      </c>
    </row>
    <row r="886" spans="1:27" x14ac:dyDescent="0.25">
      <c r="A886" t="s">
        <v>1529</v>
      </c>
      <c r="B886" t="s">
        <v>566</v>
      </c>
      <c r="C886" t="s">
        <v>920</v>
      </c>
      <c r="D886" t="s">
        <v>920</v>
      </c>
      <c r="E886" t="s">
        <v>1774</v>
      </c>
      <c r="F886" t="s">
        <v>571</v>
      </c>
      <c r="G886" s="204"/>
      <c r="H886">
        <v>538</v>
      </c>
      <c r="I886">
        <v>14122.5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7" x14ac:dyDescent="0.25">
      <c r="A887" t="s">
        <v>450</v>
      </c>
      <c r="B887" t="s">
        <v>567</v>
      </c>
      <c r="C887" t="s">
        <v>920</v>
      </c>
      <c r="D887" t="s">
        <v>920</v>
      </c>
      <c r="E887" t="s">
        <v>1314</v>
      </c>
      <c r="F887" t="s">
        <v>571</v>
      </c>
      <c r="G887" s="204"/>
      <c r="J887">
        <v>100</v>
      </c>
      <c r="K887">
        <v>2491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7" x14ac:dyDescent="0.25">
      <c r="A888" t="s">
        <v>450</v>
      </c>
      <c r="B888" t="s">
        <v>567</v>
      </c>
      <c r="C888" t="s">
        <v>920</v>
      </c>
      <c r="D888" t="s">
        <v>920</v>
      </c>
      <c r="E888" t="s">
        <v>1216</v>
      </c>
      <c r="F888" t="s">
        <v>571</v>
      </c>
      <c r="G888" s="204"/>
      <c r="J888">
        <v>1100</v>
      </c>
      <c r="K888">
        <v>20042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T888">
        <v>0</v>
      </c>
      <c r="U888">
        <v>0</v>
      </c>
      <c r="V888">
        <v>3500</v>
      </c>
      <c r="W888">
        <v>61495</v>
      </c>
      <c r="X888">
        <v>3500</v>
      </c>
      <c r="Y888">
        <v>3500</v>
      </c>
    </row>
    <row r="889" spans="1:27" x14ac:dyDescent="0.25">
      <c r="A889" t="s">
        <v>69</v>
      </c>
      <c r="B889" t="s">
        <v>1031</v>
      </c>
      <c r="C889" t="s">
        <v>920</v>
      </c>
      <c r="D889" t="s">
        <v>920</v>
      </c>
      <c r="E889" t="s">
        <v>1300</v>
      </c>
      <c r="F889" t="s">
        <v>571</v>
      </c>
      <c r="G889" s="204"/>
      <c r="L889">
        <v>0</v>
      </c>
      <c r="M889">
        <v>0</v>
      </c>
      <c r="N889">
        <v>70</v>
      </c>
      <c r="O889">
        <v>1158.5</v>
      </c>
      <c r="P889">
        <v>70</v>
      </c>
      <c r="Q889">
        <v>70</v>
      </c>
      <c r="R889">
        <v>1158.5</v>
      </c>
      <c r="S889">
        <v>16.55</v>
      </c>
      <c r="T889">
        <v>0</v>
      </c>
      <c r="U889">
        <v>0</v>
      </c>
      <c r="V889">
        <v>210</v>
      </c>
      <c r="W889">
        <v>3475.5</v>
      </c>
      <c r="X889">
        <v>210</v>
      </c>
      <c r="Y889">
        <v>210</v>
      </c>
    </row>
    <row r="890" spans="1:27" x14ac:dyDescent="0.25">
      <c r="A890" t="s">
        <v>71</v>
      </c>
      <c r="B890" t="s">
        <v>566</v>
      </c>
      <c r="C890" t="s">
        <v>920</v>
      </c>
      <c r="D890" t="s">
        <v>920</v>
      </c>
      <c r="E890" t="s">
        <v>1775</v>
      </c>
      <c r="F890" t="s">
        <v>571</v>
      </c>
      <c r="G890" s="204"/>
      <c r="H890">
        <v>10</v>
      </c>
      <c r="I890">
        <v>245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7" x14ac:dyDescent="0.25">
      <c r="A891" t="s">
        <v>71</v>
      </c>
      <c r="B891" t="s">
        <v>566</v>
      </c>
      <c r="C891" t="s">
        <v>920</v>
      </c>
      <c r="D891" t="s">
        <v>920</v>
      </c>
      <c r="E891" t="s">
        <v>1139</v>
      </c>
      <c r="F891" t="s">
        <v>571</v>
      </c>
      <c r="G891" s="204"/>
      <c r="L891">
        <v>0</v>
      </c>
      <c r="M891">
        <v>0</v>
      </c>
      <c r="N891">
        <v>60</v>
      </c>
      <c r="O891">
        <v>2160</v>
      </c>
      <c r="P891">
        <v>60</v>
      </c>
      <c r="Q891">
        <v>60</v>
      </c>
      <c r="R891">
        <v>2160</v>
      </c>
      <c r="S891">
        <v>36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7" x14ac:dyDescent="0.25">
      <c r="A892" t="s">
        <v>71</v>
      </c>
      <c r="B892" t="s">
        <v>566</v>
      </c>
      <c r="C892" t="s">
        <v>920</v>
      </c>
      <c r="D892" t="s">
        <v>920</v>
      </c>
      <c r="E892" t="s">
        <v>1400</v>
      </c>
      <c r="F892" t="s">
        <v>571</v>
      </c>
      <c r="G892" s="204"/>
      <c r="H892">
        <v>500</v>
      </c>
      <c r="I892">
        <v>4455</v>
      </c>
      <c r="K892">
        <v>5125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7" x14ac:dyDescent="0.25">
      <c r="A893" t="s">
        <v>71</v>
      </c>
      <c r="B893" t="s">
        <v>566</v>
      </c>
      <c r="C893" t="s">
        <v>920</v>
      </c>
      <c r="D893" t="s">
        <v>920</v>
      </c>
      <c r="E893" t="s">
        <v>1242</v>
      </c>
      <c r="F893" t="s">
        <v>571</v>
      </c>
      <c r="G893" s="204"/>
      <c r="L893">
        <v>7500</v>
      </c>
      <c r="M893">
        <v>72000</v>
      </c>
      <c r="N893">
        <v>0</v>
      </c>
      <c r="O893">
        <v>0</v>
      </c>
      <c r="P893">
        <v>0</v>
      </c>
      <c r="Q893">
        <v>7500</v>
      </c>
      <c r="R893">
        <v>72000</v>
      </c>
      <c r="S893">
        <v>9.6</v>
      </c>
      <c r="T893">
        <v>0</v>
      </c>
      <c r="U893">
        <v>0</v>
      </c>
      <c r="V893">
        <v>7500</v>
      </c>
      <c r="W893">
        <v>72000</v>
      </c>
      <c r="X893">
        <v>7500</v>
      </c>
      <c r="Y893">
        <v>7500</v>
      </c>
      <c r="Z893">
        <v>72000</v>
      </c>
      <c r="AA893">
        <v>9.6</v>
      </c>
    </row>
    <row r="894" spans="1:27" x14ac:dyDescent="0.25">
      <c r="A894" t="s">
        <v>71</v>
      </c>
      <c r="B894" t="s">
        <v>566</v>
      </c>
      <c r="C894" t="s">
        <v>920</v>
      </c>
      <c r="D894" t="s">
        <v>920</v>
      </c>
      <c r="E894" t="s">
        <v>1217</v>
      </c>
      <c r="F894" t="s">
        <v>571</v>
      </c>
      <c r="G894" s="204"/>
      <c r="L894">
        <v>0</v>
      </c>
      <c r="M894">
        <v>0</v>
      </c>
      <c r="N894">
        <v>5000</v>
      </c>
      <c r="O894">
        <v>35000</v>
      </c>
      <c r="P894">
        <v>5000</v>
      </c>
      <c r="Q894">
        <v>5000</v>
      </c>
      <c r="R894">
        <v>35000</v>
      </c>
      <c r="S894">
        <v>7</v>
      </c>
      <c r="T894">
        <v>0</v>
      </c>
      <c r="U894">
        <v>0</v>
      </c>
      <c r="V894">
        <v>5000</v>
      </c>
      <c r="W894">
        <v>35000</v>
      </c>
      <c r="X894">
        <v>5000</v>
      </c>
      <c r="Y894">
        <v>5000</v>
      </c>
      <c r="Z894">
        <v>35000</v>
      </c>
      <c r="AA894">
        <v>7</v>
      </c>
    </row>
    <row r="895" spans="1:27" x14ac:dyDescent="0.25">
      <c r="A895" t="s">
        <v>71</v>
      </c>
      <c r="B895" t="s">
        <v>566</v>
      </c>
      <c r="C895" t="s">
        <v>920</v>
      </c>
      <c r="D895" t="s">
        <v>920</v>
      </c>
      <c r="E895" t="s">
        <v>1469</v>
      </c>
      <c r="F895" t="s">
        <v>571</v>
      </c>
      <c r="G895" s="204"/>
      <c r="J895">
        <v>70</v>
      </c>
      <c r="K895">
        <v>1499.4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7" x14ac:dyDescent="0.25">
      <c r="A896" t="s">
        <v>71</v>
      </c>
      <c r="B896" t="s">
        <v>566</v>
      </c>
      <c r="C896" t="s">
        <v>920</v>
      </c>
      <c r="D896" t="s">
        <v>920</v>
      </c>
      <c r="E896" t="s">
        <v>1368</v>
      </c>
      <c r="F896" t="s">
        <v>571</v>
      </c>
      <c r="G896" s="204"/>
      <c r="J896">
        <v>500</v>
      </c>
      <c r="K896">
        <v>5345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7" x14ac:dyDescent="0.25">
      <c r="A897" t="s">
        <v>71</v>
      </c>
      <c r="B897" t="s">
        <v>566</v>
      </c>
      <c r="C897" t="s">
        <v>920</v>
      </c>
      <c r="D897" t="s">
        <v>920</v>
      </c>
      <c r="E897" t="s">
        <v>1337</v>
      </c>
      <c r="F897" t="s">
        <v>571</v>
      </c>
      <c r="G897" s="204"/>
      <c r="H897">
        <v>286</v>
      </c>
      <c r="I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7" x14ac:dyDescent="0.25">
      <c r="A898" t="s">
        <v>71</v>
      </c>
      <c r="B898" t="s">
        <v>566</v>
      </c>
      <c r="C898" t="s">
        <v>920</v>
      </c>
      <c r="D898" t="s">
        <v>920</v>
      </c>
      <c r="E898" t="s">
        <v>1719</v>
      </c>
      <c r="F898" t="s">
        <v>571</v>
      </c>
      <c r="G898" s="204"/>
      <c r="H898">
        <v>286</v>
      </c>
      <c r="I898">
        <v>2714.14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7" x14ac:dyDescent="0.25">
      <c r="A899" t="s">
        <v>73</v>
      </c>
      <c r="B899" t="s">
        <v>566</v>
      </c>
      <c r="C899" t="s">
        <v>920</v>
      </c>
      <c r="D899" t="s">
        <v>920</v>
      </c>
      <c r="E899" t="s">
        <v>1266</v>
      </c>
      <c r="F899" t="s">
        <v>578</v>
      </c>
      <c r="G899" s="204">
        <v>46752</v>
      </c>
      <c r="H899">
        <v>2000</v>
      </c>
      <c r="I899">
        <v>15460</v>
      </c>
      <c r="L899">
        <v>1250</v>
      </c>
      <c r="M899">
        <v>10287.5</v>
      </c>
      <c r="N899">
        <v>3750</v>
      </c>
      <c r="O899">
        <v>30862.5</v>
      </c>
      <c r="P899">
        <v>3750</v>
      </c>
      <c r="Q899">
        <v>5000</v>
      </c>
      <c r="T899">
        <v>0</v>
      </c>
      <c r="U899">
        <v>0</v>
      </c>
      <c r="V899">
        <v>2500</v>
      </c>
      <c r="W899">
        <v>20575</v>
      </c>
      <c r="X899">
        <v>2500</v>
      </c>
      <c r="Y899">
        <v>2500</v>
      </c>
    </row>
    <row r="900" spans="1:27" x14ac:dyDescent="0.25">
      <c r="A900" t="s">
        <v>111</v>
      </c>
      <c r="B900" t="s">
        <v>566</v>
      </c>
      <c r="C900" t="s">
        <v>920</v>
      </c>
      <c r="D900" t="s">
        <v>920</v>
      </c>
      <c r="E900" t="s">
        <v>1508</v>
      </c>
      <c r="F900" t="s">
        <v>571</v>
      </c>
      <c r="G900" s="204"/>
      <c r="L900">
        <v>8</v>
      </c>
      <c r="M900">
        <v>578.79999999999995</v>
      </c>
      <c r="N900">
        <v>0</v>
      </c>
      <c r="O900">
        <v>0</v>
      </c>
      <c r="P900">
        <v>0</v>
      </c>
      <c r="Q900">
        <v>8</v>
      </c>
      <c r="R900">
        <v>578.79999999999995</v>
      </c>
      <c r="S900">
        <v>72.349999999999994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7" x14ac:dyDescent="0.25">
      <c r="A901" t="s">
        <v>73</v>
      </c>
      <c r="B901" t="s">
        <v>566</v>
      </c>
      <c r="C901" t="s">
        <v>920</v>
      </c>
      <c r="D901" t="s">
        <v>920</v>
      </c>
      <c r="E901" t="s">
        <v>1138</v>
      </c>
      <c r="F901" t="s">
        <v>571</v>
      </c>
      <c r="G901" s="204"/>
      <c r="J901">
        <v>240</v>
      </c>
      <c r="K901">
        <v>3633.6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7" x14ac:dyDescent="0.25">
      <c r="A902" t="s">
        <v>73</v>
      </c>
      <c r="B902" t="s">
        <v>566</v>
      </c>
      <c r="C902" t="s">
        <v>920</v>
      </c>
      <c r="D902" t="s">
        <v>920</v>
      </c>
      <c r="E902" t="s">
        <v>1212</v>
      </c>
      <c r="F902" t="s">
        <v>571</v>
      </c>
      <c r="G902" s="204"/>
      <c r="J902">
        <v>100</v>
      </c>
      <c r="K902">
        <v>3500</v>
      </c>
      <c r="L902">
        <v>0</v>
      </c>
      <c r="M902">
        <v>0</v>
      </c>
      <c r="N902">
        <v>5000</v>
      </c>
      <c r="O902">
        <v>38750</v>
      </c>
      <c r="P902">
        <v>5000</v>
      </c>
      <c r="Q902">
        <v>5000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7" x14ac:dyDescent="0.25">
      <c r="A903" t="s">
        <v>101</v>
      </c>
      <c r="B903" t="s">
        <v>567</v>
      </c>
      <c r="C903" t="s">
        <v>920</v>
      </c>
      <c r="D903" t="s">
        <v>920</v>
      </c>
      <c r="E903" t="s">
        <v>1280</v>
      </c>
      <c r="F903" t="s">
        <v>571</v>
      </c>
      <c r="G903" s="204"/>
      <c r="L903">
        <v>2500</v>
      </c>
      <c r="M903">
        <v>49800</v>
      </c>
      <c r="N903">
        <v>0</v>
      </c>
      <c r="O903">
        <v>0</v>
      </c>
      <c r="P903">
        <v>0</v>
      </c>
      <c r="Q903">
        <v>2500</v>
      </c>
      <c r="R903">
        <v>49800</v>
      </c>
      <c r="S903">
        <v>19.920000000000002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7" x14ac:dyDescent="0.25">
      <c r="A904" t="s">
        <v>73</v>
      </c>
      <c r="B904" t="s">
        <v>566</v>
      </c>
      <c r="C904" t="s">
        <v>920</v>
      </c>
      <c r="D904" t="s">
        <v>920</v>
      </c>
      <c r="E904" t="s">
        <v>1216</v>
      </c>
      <c r="F904" t="s">
        <v>571</v>
      </c>
      <c r="G904" s="204"/>
      <c r="H904">
        <v>1000</v>
      </c>
      <c r="I904">
        <v>10860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7" x14ac:dyDescent="0.25">
      <c r="A905" t="s">
        <v>75</v>
      </c>
      <c r="B905" t="s">
        <v>567</v>
      </c>
      <c r="C905" t="s">
        <v>920</v>
      </c>
      <c r="D905" t="s">
        <v>920</v>
      </c>
      <c r="E905" t="s">
        <v>1300</v>
      </c>
      <c r="F905" t="s">
        <v>571</v>
      </c>
      <c r="G905" s="204"/>
      <c r="L905">
        <v>0</v>
      </c>
      <c r="M905">
        <v>0</v>
      </c>
      <c r="N905">
        <v>28</v>
      </c>
      <c r="O905">
        <v>338.24</v>
      </c>
      <c r="P905">
        <v>28</v>
      </c>
      <c r="Q905">
        <v>28</v>
      </c>
      <c r="R905">
        <v>338.24</v>
      </c>
      <c r="S905">
        <v>12.08</v>
      </c>
      <c r="T905">
        <v>0</v>
      </c>
      <c r="U905">
        <v>0</v>
      </c>
      <c r="V905">
        <v>84</v>
      </c>
      <c r="W905">
        <v>1014.72</v>
      </c>
      <c r="X905">
        <v>84</v>
      </c>
      <c r="Y905">
        <v>84</v>
      </c>
    </row>
    <row r="906" spans="1:27" x14ac:dyDescent="0.25">
      <c r="A906" t="s">
        <v>77</v>
      </c>
      <c r="B906" t="s">
        <v>567</v>
      </c>
      <c r="C906" t="s">
        <v>920</v>
      </c>
      <c r="D906" t="s">
        <v>920</v>
      </c>
      <c r="E906" t="s">
        <v>1436</v>
      </c>
      <c r="F906" t="s">
        <v>571</v>
      </c>
      <c r="G906" s="204"/>
      <c r="H906">
        <v>100</v>
      </c>
      <c r="I906">
        <v>2562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7" x14ac:dyDescent="0.25">
      <c r="A907" t="s">
        <v>77</v>
      </c>
      <c r="B907" t="s">
        <v>567</v>
      </c>
      <c r="C907" t="s">
        <v>920</v>
      </c>
      <c r="D907" t="s">
        <v>920</v>
      </c>
      <c r="E907" t="s">
        <v>1216</v>
      </c>
      <c r="F907" t="s">
        <v>571</v>
      </c>
      <c r="G907" s="204"/>
      <c r="J907">
        <v>415</v>
      </c>
      <c r="K907">
        <v>10269.799999999999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7" x14ac:dyDescent="0.25">
      <c r="A908" t="s">
        <v>79</v>
      </c>
      <c r="B908" t="s">
        <v>567</v>
      </c>
      <c r="C908" t="s">
        <v>920</v>
      </c>
      <c r="D908" t="s">
        <v>920</v>
      </c>
      <c r="E908" t="s">
        <v>1280</v>
      </c>
      <c r="F908" t="s">
        <v>571</v>
      </c>
      <c r="G908" s="204"/>
      <c r="H908">
        <v>500</v>
      </c>
      <c r="I908">
        <v>9940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7" x14ac:dyDescent="0.25">
      <c r="A909" t="s">
        <v>79</v>
      </c>
      <c r="B909" t="s">
        <v>567</v>
      </c>
      <c r="C909" t="s">
        <v>920</v>
      </c>
      <c r="D909" t="s">
        <v>920</v>
      </c>
      <c r="E909" t="s">
        <v>1314</v>
      </c>
      <c r="F909" t="s">
        <v>571</v>
      </c>
      <c r="G909" s="204"/>
      <c r="H909">
        <v>1464</v>
      </c>
      <c r="I909">
        <v>34878.159999999996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7" x14ac:dyDescent="0.25">
      <c r="A910" t="s">
        <v>79</v>
      </c>
      <c r="B910" t="s">
        <v>567</v>
      </c>
      <c r="C910" t="s">
        <v>920</v>
      </c>
      <c r="D910" t="s">
        <v>920</v>
      </c>
      <c r="E910" t="s">
        <v>1300</v>
      </c>
      <c r="F910" t="s">
        <v>571</v>
      </c>
      <c r="G910" s="204"/>
      <c r="L910">
        <v>0</v>
      </c>
      <c r="M910">
        <v>0</v>
      </c>
      <c r="N910">
        <v>364</v>
      </c>
      <c r="O910">
        <v>6366.36</v>
      </c>
      <c r="P910">
        <v>364</v>
      </c>
      <c r="Q910">
        <v>364</v>
      </c>
      <c r="R910">
        <v>6366.36</v>
      </c>
      <c r="S910">
        <v>17.489999999999998</v>
      </c>
      <c r="T910">
        <v>0</v>
      </c>
      <c r="U910">
        <v>0</v>
      </c>
      <c r="V910">
        <v>1092</v>
      </c>
      <c r="W910">
        <v>19099.080000000002</v>
      </c>
      <c r="X910">
        <v>1092</v>
      </c>
      <c r="Y910">
        <v>1092</v>
      </c>
    </row>
    <row r="911" spans="1:27" x14ac:dyDescent="0.25">
      <c r="A911" t="s">
        <v>79</v>
      </c>
      <c r="B911" t="s">
        <v>567</v>
      </c>
      <c r="C911" t="s">
        <v>920</v>
      </c>
      <c r="D911" t="s">
        <v>920</v>
      </c>
      <c r="E911" t="s">
        <v>1266</v>
      </c>
      <c r="F911" t="s">
        <v>578</v>
      </c>
      <c r="G911" s="204">
        <v>46752</v>
      </c>
      <c r="H911">
        <v>500</v>
      </c>
      <c r="I911">
        <v>9940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7" x14ac:dyDescent="0.25">
      <c r="A912" t="s">
        <v>81</v>
      </c>
      <c r="B912" t="s">
        <v>567</v>
      </c>
      <c r="C912" t="s">
        <v>920</v>
      </c>
      <c r="D912" t="s">
        <v>920</v>
      </c>
      <c r="E912" t="s">
        <v>1217</v>
      </c>
      <c r="F912" t="s">
        <v>571</v>
      </c>
      <c r="G912" s="204"/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T912">
        <v>0</v>
      </c>
      <c r="U912">
        <v>0</v>
      </c>
      <c r="V912">
        <v>250</v>
      </c>
      <c r="W912">
        <v>4912.5</v>
      </c>
      <c r="X912">
        <v>250</v>
      </c>
      <c r="Y912">
        <v>250</v>
      </c>
      <c r="Z912">
        <v>4912.5</v>
      </c>
      <c r="AA912">
        <v>19.649999999999999</v>
      </c>
    </row>
    <row r="913" spans="1:27" x14ac:dyDescent="0.25">
      <c r="A913" t="s">
        <v>81</v>
      </c>
      <c r="B913" t="s">
        <v>567</v>
      </c>
      <c r="C913" t="s">
        <v>920</v>
      </c>
      <c r="D913" t="s">
        <v>920</v>
      </c>
      <c r="E913" t="s">
        <v>1138</v>
      </c>
      <c r="F913" t="s">
        <v>571</v>
      </c>
      <c r="G913" s="204"/>
      <c r="J913">
        <v>6000</v>
      </c>
      <c r="K913">
        <v>46199.999999999993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7" x14ac:dyDescent="0.25">
      <c r="A914" t="s">
        <v>81</v>
      </c>
      <c r="B914" t="s">
        <v>567</v>
      </c>
      <c r="C914" t="s">
        <v>920</v>
      </c>
      <c r="D914" t="s">
        <v>920</v>
      </c>
      <c r="E914" t="s">
        <v>1212</v>
      </c>
      <c r="F914" t="s">
        <v>571</v>
      </c>
      <c r="G914" s="204"/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T914">
        <v>0</v>
      </c>
      <c r="U914">
        <v>0</v>
      </c>
      <c r="V914">
        <v>500</v>
      </c>
      <c r="W914">
        <v>9280</v>
      </c>
      <c r="X914">
        <v>500</v>
      </c>
      <c r="Y914">
        <v>500</v>
      </c>
      <c r="Z914">
        <v>9280</v>
      </c>
      <c r="AA914">
        <v>18.559999999999999</v>
      </c>
    </row>
    <row r="915" spans="1:27" x14ac:dyDescent="0.25">
      <c r="A915" t="s">
        <v>93</v>
      </c>
      <c r="B915" t="s">
        <v>566</v>
      </c>
      <c r="C915" t="s">
        <v>920</v>
      </c>
      <c r="D915" t="s">
        <v>920</v>
      </c>
      <c r="E915" t="s">
        <v>1315</v>
      </c>
      <c r="F915" t="s">
        <v>571</v>
      </c>
      <c r="G915" s="204"/>
      <c r="H915">
        <v>250</v>
      </c>
      <c r="L915">
        <v>120</v>
      </c>
      <c r="M915">
        <v>3811.2</v>
      </c>
      <c r="N915">
        <v>0</v>
      </c>
      <c r="O915">
        <v>0</v>
      </c>
      <c r="P915">
        <v>0</v>
      </c>
      <c r="Q915">
        <v>120</v>
      </c>
      <c r="R915">
        <v>3811.2</v>
      </c>
      <c r="S915">
        <v>31.759999999999998</v>
      </c>
      <c r="T915">
        <v>0</v>
      </c>
      <c r="U915">
        <v>0</v>
      </c>
      <c r="V915">
        <v>250</v>
      </c>
      <c r="W915">
        <v>4580</v>
      </c>
      <c r="X915">
        <v>250</v>
      </c>
      <c r="Y915">
        <v>250</v>
      </c>
    </row>
    <row r="916" spans="1:27" x14ac:dyDescent="0.25">
      <c r="A916" t="s">
        <v>83</v>
      </c>
      <c r="B916" t="s">
        <v>567</v>
      </c>
      <c r="C916" t="s">
        <v>920</v>
      </c>
      <c r="D916" t="s">
        <v>920</v>
      </c>
      <c r="E916" t="s">
        <v>1280</v>
      </c>
      <c r="F916" t="s">
        <v>571</v>
      </c>
      <c r="G916" s="204"/>
      <c r="H916">
        <v>5000</v>
      </c>
      <c r="I916">
        <v>84925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7" x14ac:dyDescent="0.25">
      <c r="A917" t="s">
        <v>83</v>
      </c>
      <c r="B917" t="s">
        <v>567</v>
      </c>
      <c r="C917" t="s">
        <v>920</v>
      </c>
      <c r="D917" t="s">
        <v>920</v>
      </c>
      <c r="E917" t="s">
        <v>1330</v>
      </c>
      <c r="F917" t="s">
        <v>571</v>
      </c>
      <c r="G917" s="204"/>
      <c r="H917">
        <v>500</v>
      </c>
      <c r="I917">
        <v>8855</v>
      </c>
      <c r="L917">
        <v>1000</v>
      </c>
      <c r="M917">
        <v>22670</v>
      </c>
      <c r="N917">
        <v>0</v>
      </c>
      <c r="O917">
        <v>0</v>
      </c>
      <c r="P917">
        <v>0</v>
      </c>
      <c r="Q917">
        <v>1000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7" x14ac:dyDescent="0.25">
      <c r="A918" t="s">
        <v>83</v>
      </c>
      <c r="B918" t="s">
        <v>567</v>
      </c>
      <c r="C918" t="s">
        <v>920</v>
      </c>
      <c r="D918" t="s">
        <v>920</v>
      </c>
      <c r="E918" t="s">
        <v>1266</v>
      </c>
      <c r="F918" t="s">
        <v>571</v>
      </c>
      <c r="G918" s="204"/>
      <c r="L918">
        <v>91</v>
      </c>
      <c r="M918">
        <v>1812.72</v>
      </c>
      <c r="N918">
        <v>0</v>
      </c>
      <c r="O918">
        <v>0</v>
      </c>
      <c r="P918">
        <v>0</v>
      </c>
      <c r="Q918">
        <v>91</v>
      </c>
      <c r="R918">
        <v>1812.72</v>
      </c>
      <c r="S918">
        <v>19.920000000000002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7" x14ac:dyDescent="0.25">
      <c r="A919" t="s">
        <v>1553</v>
      </c>
      <c r="B919" t="s">
        <v>567</v>
      </c>
      <c r="C919" t="s">
        <v>920</v>
      </c>
      <c r="D919" t="s">
        <v>920</v>
      </c>
      <c r="E919" t="s">
        <v>1280</v>
      </c>
      <c r="F919" t="s">
        <v>571</v>
      </c>
      <c r="G919" s="204"/>
      <c r="H919">
        <v>500</v>
      </c>
      <c r="I919">
        <v>9435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7" x14ac:dyDescent="0.25">
      <c r="A920" t="s">
        <v>1553</v>
      </c>
      <c r="B920" t="s">
        <v>567</v>
      </c>
      <c r="C920" t="s">
        <v>920</v>
      </c>
      <c r="D920" t="s">
        <v>920</v>
      </c>
      <c r="E920" t="s">
        <v>1138</v>
      </c>
      <c r="F920" t="s">
        <v>571</v>
      </c>
      <c r="G920" s="204"/>
      <c r="H920">
        <v>610</v>
      </c>
      <c r="I920">
        <v>10132.1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7" x14ac:dyDescent="0.25">
      <c r="A921" t="s">
        <v>1553</v>
      </c>
      <c r="B921" t="s">
        <v>567</v>
      </c>
      <c r="C921" t="s">
        <v>920</v>
      </c>
      <c r="D921" t="s">
        <v>920</v>
      </c>
      <c r="E921" t="s">
        <v>1216</v>
      </c>
      <c r="F921" t="s">
        <v>578</v>
      </c>
      <c r="G921" s="204">
        <v>46752</v>
      </c>
      <c r="H921">
        <v>551</v>
      </c>
      <c r="I921">
        <v>10794.09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7" x14ac:dyDescent="0.25">
      <c r="A922" t="s">
        <v>85</v>
      </c>
      <c r="B922" t="s">
        <v>567</v>
      </c>
      <c r="C922" t="s">
        <v>920</v>
      </c>
      <c r="D922" t="s">
        <v>920</v>
      </c>
      <c r="E922" t="s">
        <v>1217</v>
      </c>
      <c r="F922" t="s">
        <v>571</v>
      </c>
      <c r="G922" s="204"/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T922">
        <v>0</v>
      </c>
      <c r="U922">
        <v>0</v>
      </c>
      <c r="V922">
        <v>100</v>
      </c>
      <c r="W922">
        <v>1500</v>
      </c>
      <c r="X922">
        <v>100</v>
      </c>
      <c r="Y922">
        <v>100</v>
      </c>
      <c r="Z922">
        <v>1500</v>
      </c>
      <c r="AA922">
        <v>15</v>
      </c>
    </row>
    <row r="923" spans="1:27" x14ac:dyDescent="0.25">
      <c r="A923" t="s">
        <v>85</v>
      </c>
      <c r="B923" t="s">
        <v>567</v>
      </c>
      <c r="C923" t="s">
        <v>920</v>
      </c>
      <c r="D923" t="s">
        <v>920</v>
      </c>
      <c r="E923" t="s">
        <v>1330</v>
      </c>
      <c r="F923" t="s">
        <v>571</v>
      </c>
      <c r="G923" s="204"/>
      <c r="H923">
        <v>250</v>
      </c>
      <c r="I923">
        <v>2025</v>
      </c>
      <c r="K923">
        <v>2607.5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7" x14ac:dyDescent="0.25">
      <c r="A924" t="s">
        <v>85</v>
      </c>
      <c r="B924" t="s">
        <v>567</v>
      </c>
      <c r="C924" t="s">
        <v>920</v>
      </c>
      <c r="D924" t="s">
        <v>920</v>
      </c>
      <c r="E924" t="s">
        <v>1407</v>
      </c>
      <c r="F924" t="s">
        <v>571</v>
      </c>
      <c r="G924" s="204"/>
      <c r="L924">
        <v>2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7" x14ac:dyDescent="0.25">
      <c r="A925" t="s">
        <v>85</v>
      </c>
      <c r="B925" t="s">
        <v>567</v>
      </c>
      <c r="C925" t="s">
        <v>920</v>
      </c>
      <c r="D925" t="s">
        <v>920</v>
      </c>
      <c r="E925" t="s">
        <v>1378</v>
      </c>
      <c r="F925" t="s">
        <v>571</v>
      </c>
      <c r="G925" s="204"/>
      <c r="J925">
        <v>1</v>
      </c>
      <c r="K925">
        <v>48.15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7" x14ac:dyDescent="0.25">
      <c r="A926" t="s">
        <v>85</v>
      </c>
      <c r="B926" t="s">
        <v>567</v>
      </c>
      <c r="C926" t="s">
        <v>920</v>
      </c>
      <c r="D926" t="s">
        <v>920</v>
      </c>
      <c r="E926" t="s">
        <v>1491</v>
      </c>
      <c r="F926" t="s">
        <v>571</v>
      </c>
      <c r="G926" s="204"/>
      <c r="L926">
        <v>2</v>
      </c>
      <c r="M926">
        <v>0</v>
      </c>
      <c r="N926">
        <v>0</v>
      </c>
      <c r="O926">
        <v>0</v>
      </c>
      <c r="P926">
        <v>0</v>
      </c>
      <c r="Q926">
        <v>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7" x14ac:dyDescent="0.25">
      <c r="A927" t="s">
        <v>85</v>
      </c>
      <c r="B927" t="s">
        <v>567</v>
      </c>
      <c r="C927" t="s">
        <v>920</v>
      </c>
      <c r="D927" t="s">
        <v>920</v>
      </c>
      <c r="E927" t="s">
        <v>1266</v>
      </c>
      <c r="F927" t="s">
        <v>571</v>
      </c>
      <c r="G927" s="204"/>
      <c r="L927">
        <v>0</v>
      </c>
      <c r="M927">
        <v>0</v>
      </c>
      <c r="N927">
        <v>250</v>
      </c>
      <c r="O927">
        <v>2057.5</v>
      </c>
      <c r="P927">
        <v>250</v>
      </c>
      <c r="Q927">
        <v>250</v>
      </c>
      <c r="R927">
        <v>2057.5</v>
      </c>
      <c r="S927">
        <v>8.23</v>
      </c>
      <c r="T927">
        <v>0</v>
      </c>
      <c r="U927">
        <v>0</v>
      </c>
      <c r="V927">
        <v>750</v>
      </c>
      <c r="W927">
        <v>6172.5</v>
      </c>
      <c r="X927">
        <v>750</v>
      </c>
      <c r="Y927">
        <v>750</v>
      </c>
    </row>
    <row r="928" spans="1:27" x14ac:dyDescent="0.25">
      <c r="A928" t="s">
        <v>85</v>
      </c>
      <c r="B928" t="s">
        <v>567</v>
      </c>
      <c r="C928" t="s">
        <v>920</v>
      </c>
      <c r="D928" t="s">
        <v>920</v>
      </c>
      <c r="E928" t="s">
        <v>1138</v>
      </c>
      <c r="F928" t="s">
        <v>571</v>
      </c>
      <c r="G928" s="204"/>
      <c r="J928">
        <v>4000</v>
      </c>
      <c r="K928">
        <v>22480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7" x14ac:dyDescent="0.25">
      <c r="A929" t="s">
        <v>85</v>
      </c>
      <c r="B929" t="s">
        <v>567</v>
      </c>
      <c r="C929" t="s">
        <v>920</v>
      </c>
      <c r="D929" t="s">
        <v>920</v>
      </c>
      <c r="E929" t="s">
        <v>1216</v>
      </c>
      <c r="F929" t="s">
        <v>571</v>
      </c>
      <c r="G929" s="204"/>
      <c r="L929">
        <v>0</v>
      </c>
      <c r="M929">
        <v>0</v>
      </c>
      <c r="N929">
        <v>750</v>
      </c>
      <c r="O929">
        <v>7350</v>
      </c>
      <c r="P929">
        <v>750</v>
      </c>
      <c r="Q929">
        <v>750</v>
      </c>
      <c r="R929">
        <v>7350</v>
      </c>
      <c r="S929">
        <v>9.8000000000000007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7" x14ac:dyDescent="0.25">
      <c r="A930" t="s">
        <v>87</v>
      </c>
      <c r="B930" t="s">
        <v>566</v>
      </c>
      <c r="C930" t="s">
        <v>920</v>
      </c>
      <c r="D930" t="s">
        <v>920</v>
      </c>
      <c r="E930" t="s">
        <v>1280</v>
      </c>
      <c r="F930" t="s">
        <v>571</v>
      </c>
      <c r="G930" s="204"/>
      <c r="L930">
        <v>2500</v>
      </c>
      <c r="M930">
        <v>23600</v>
      </c>
      <c r="N930">
        <v>0</v>
      </c>
      <c r="O930">
        <v>0</v>
      </c>
      <c r="P930">
        <v>0</v>
      </c>
      <c r="Q930">
        <v>2500</v>
      </c>
      <c r="R930">
        <v>23600</v>
      </c>
      <c r="S930">
        <v>9.44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7" x14ac:dyDescent="0.25">
      <c r="A931" t="s">
        <v>87</v>
      </c>
      <c r="B931" t="s">
        <v>566</v>
      </c>
      <c r="C931" t="s">
        <v>920</v>
      </c>
      <c r="D931" t="s">
        <v>920</v>
      </c>
      <c r="E931" t="s">
        <v>1217</v>
      </c>
      <c r="F931" t="s">
        <v>571</v>
      </c>
      <c r="G931" s="204"/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T931">
        <v>0</v>
      </c>
      <c r="U931">
        <v>0</v>
      </c>
      <c r="V931">
        <v>1000</v>
      </c>
      <c r="W931">
        <v>9160</v>
      </c>
      <c r="X931">
        <v>1000</v>
      </c>
      <c r="Y931">
        <v>1000</v>
      </c>
      <c r="Z931">
        <v>9160</v>
      </c>
      <c r="AA931">
        <v>9.16</v>
      </c>
    </row>
    <row r="932" spans="1:27" x14ac:dyDescent="0.25">
      <c r="A932" t="s">
        <v>87</v>
      </c>
      <c r="B932" t="s">
        <v>566</v>
      </c>
      <c r="C932" t="s">
        <v>920</v>
      </c>
      <c r="D932" t="s">
        <v>920</v>
      </c>
      <c r="E932" t="s">
        <v>1299</v>
      </c>
      <c r="F932" t="s">
        <v>571</v>
      </c>
      <c r="G932" s="204"/>
      <c r="L932">
        <v>0</v>
      </c>
      <c r="M932">
        <v>0</v>
      </c>
      <c r="N932">
        <v>500</v>
      </c>
      <c r="O932">
        <v>4805</v>
      </c>
      <c r="P932">
        <v>500</v>
      </c>
      <c r="Q932">
        <v>500</v>
      </c>
      <c r="R932">
        <v>4805</v>
      </c>
      <c r="S932">
        <v>9.61</v>
      </c>
      <c r="T932">
        <v>0</v>
      </c>
      <c r="U932">
        <v>0</v>
      </c>
      <c r="V932">
        <v>1000</v>
      </c>
      <c r="W932">
        <v>9610</v>
      </c>
      <c r="X932">
        <v>1000</v>
      </c>
      <c r="Y932">
        <v>1000</v>
      </c>
    </row>
    <row r="933" spans="1:27" x14ac:dyDescent="0.25">
      <c r="A933" t="s">
        <v>87</v>
      </c>
      <c r="B933" t="s">
        <v>566</v>
      </c>
      <c r="C933" t="s">
        <v>920</v>
      </c>
      <c r="D933" t="s">
        <v>920</v>
      </c>
      <c r="E933" t="s">
        <v>1212</v>
      </c>
      <c r="F933" t="s">
        <v>571</v>
      </c>
      <c r="G933" s="204"/>
      <c r="L933">
        <v>0</v>
      </c>
      <c r="M933">
        <v>0</v>
      </c>
      <c r="N933">
        <v>2500</v>
      </c>
      <c r="O933">
        <v>23600</v>
      </c>
      <c r="P933">
        <v>2500</v>
      </c>
      <c r="Q933">
        <v>2500</v>
      </c>
      <c r="R933">
        <v>23600</v>
      </c>
      <c r="S933">
        <v>9.44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7" x14ac:dyDescent="0.25">
      <c r="A934" t="s">
        <v>849</v>
      </c>
      <c r="B934" t="s">
        <v>565</v>
      </c>
      <c r="C934" t="s">
        <v>920</v>
      </c>
      <c r="D934" t="s">
        <v>920</v>
      </c>
      <c r="E934" t="s">
        <v>1706</v>
      </c>
      <c r="F934" t="s">
        <v>571</v>
      </c>
      <c r="G934" s="204"/>
      <c r="H934">
        <v>250</v>
      </c>
      <c r="I934">
        <v>27090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7" x14ac:dyDescent="0.25">
      <c r="A935" t="s">
        <v>111</v>
      </c>
      <c r="B935" t="s">
        <v>566</v>
      </c>
      <c r="C935" t="s">
        <v>920</v>
      </c>
      <c r="D935" t="s">
        <v>920</v>
      </c>
      <c r="E935" t="s">
        <v>1401</v>
      </c>
      <c r="F935" t="s">
        <v>571</v>
      </c>
      <c r="G935" s="204"/>
      <c r="L935">
        <v>8</v>
      </c>
      <c r="M935">
        <v>596.72</v>
      </c>
      <c r="N935">
        <v>0</v>
      </c>
      <c r="O935">
        <v>0</v>
      </c>
      <c r="P935">
        <v>0</v>
      </c>
      <c r="Q935">
        <v>8</v>
      </c>
      <c r="R935">
        <v>596.72</v>
      </c>
      <c r="S935">
        <v>74.59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7" x14ac:dyDescent="0.25">
      <c r="A936" t="s">
        <v>849</v>
      </c>
      <c r="B936" t="s">
        <v>565</v>
      </c>
      <c r="C936" t="s">
        <v>920</v>
      </c>
      <c r="D936" t="s">
        <v>920</v>
      </c>
      <c r="E936" t="s">
        <v>1316</v>
      </c>
      <c r="F936" t="s">
        <v>571</v>
      </c>
      <c r="G936" s="204"/>
      <c r="L936">
        <v>0</v>
      </c>
      <c r="M936">
        <v>0</v>
      </c>
      <c r="N936">
        <v>250</v>
      </c>
      <c r="O936">
        <v>28037.5</v>
      </c>
      <c r="P936">
        <v>250</v>
      </c>
      <c r="Q936">
        <v>250</v>
      </c>
      <c r="R936">
        <v>28037.5</v>
      </c>
      <c r="S936">
        <v>112.15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7" x14ac:dyDescent="0.25">
      <c r="A937" t="s">
        <v>1411</v>
      </c>
      <c r="B937" t="s">
        <v>1031</v>
      </c>
      <c r="C937" t="s">
        <v>920</v>
      </c>
      <c r="D937" t="s">
        <v>920</v>
      </c>
      <c r="E937" t="s">
        <v>1436</v>
      </c>
      <c r="F937" t="s">
        <v>571</v>
      </c>
      <c r="G937" s="204"/>
      <c r="L937">
        <v>27</v>
      </c>
      <c r="M937">
        <v>1512</v>
      </c>
      <c r="N937">
        <v>0</v>
      </c>
      <c r="O937">
        <v>0</v>
      </c>
      <c r="P937">
        <v>0</v>
      </c>
      <c r="Q937">
        <v>27</v>
      </c>
      <c r="R937">
        <v>1512</v>
      </c>
      <c r="S937">
        <v>56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7" x14ac:dyDescent="0.25">
      <c r="A938" t="s">
        <v>1541</v>
      </c>
      <c r="B938" t="s">
        <v>1031</v>
      </c>
      <c r="C938" t="s">
        <v>920</v>
      </c>
      <c r="D938" t="s">
        <v>920</v>
      </c>
      <c r="E938" t="s">
        <v>1212</v>
      </c>
      <c r="F938" t="s">
        <v>571</v>
      </c>
      <c r="G938" s="204"/>
      <c r="J938">
        <v>250</v>
      </c>
      <c r="K938">
        <v>9500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7" x14ac:dyDescent="0.25">
      <c r="A939" t="s">
        <v>1541</v>
      </c>
      <c r="B939" t="s">
        <v>1031</v>
      </c>
      <c r="C939" t="s">
        <v>920</v>
      </c>
      <c r="D939" t="s">
        <v>920</v>
      </c>
      <c r="E939" t="s">
        <v>1216</v>
      </c>
      <c r="F939" t="s">
        <v>571</v>
      </c>
      <c r="G939" s="204"/>
      <c r="J939">
        <v>500</v>
      </c>
      <c r="K939">
        <v>8905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7" x14ac:dyDescent="0.25">
      <c r="A940" t="s">
        <v>89</v>
      </c>
      <c r="B940" t="s">
        <v>567</v>
      </c>
      <c r="C940" t="s">
        <v>920</v>
      </c>
      <c r="D940" t="s">
        <v>920</v>
      </c>
      <c r="E940" t="s">
        <v>1280</v>
      </c>
      <c r="F940" t="s">
        <v>571</v>
      </c>
      <c r="G940" s="204"/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T940">
        <v>0</v>
      </c>
      <c r="U940">
        <v>0</v>
      </c>
      <c r="V940">
        <v>2500</v>
      </c>
      <c r="W940">
        <v>45900</v>
      </c>
      <c r="X940">
        <v>2500</v>
      </c>
      <c r="Y940">
        <v>2500</v>
      </c>
      <c r="Z940">
        <v>45900</v>
      </c>
      <c r="AA940">
        <v>18.36</v>
      </c>
    </row>
    <row r="941" spans="1:27" x14ac:dyDescent="0.25">
      <c r="A941" t="s">
        <v>89</v>
      </c>
      <c r="B941" t="s">
        <v>567</v>
      </c>
      <c r="C941" t="s">
        <v>920</v>
      </c>
      <c r="D941" t="s">
        <v>920</v>
      </c>
      <c r="E941" t="s">
        <v>1217</v>
      </c>
      <c r="F941" t="s">
        <v>571</v>
      </c>
      <c r="G941" s="204"/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T941">
        <v>0</v>
      </c>
      <c r="U941">
        <v>0</v>
      </c>
      <c r="V941">
        <v>1000</v>
      </c>
      <c r="W941">
        <v>18830</v>
      </c>
      <c r="X941">
        <v>1000</v>
      </c>
      <c r="Y941">
        <v>1000</v>
      </c>
      <c r="Z941">
        <v>18830</v>
      </c>
      <c r="AA941">
        <v>18.829999999999998</v>
      </c>
    </row>
    <row r="942" spans="1:27" x14ac:dyDescent="0.25">
      <c r="A942" t="s">
        <v>1411</v>
      </c>
      <c r="B942" t="s">
        <v>1031</v>
      </c>
      <c r="C942" t="s">
        <v>920</v>
      </c>
      <c r="D942" t="s">
        <v>920</v>
      </c>
      <c r="E942" t="s">
        <v>1138</v>
      </c>
      <c r="F942" t="s">
        <v>571</v>
      </c>
      <c r="G942" s="204"/>
      <c r="H942">
        <v>120</v>
      </c>
      <c r="I942">
        <v>4052.4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7" x14ac:dyDescent="0.25">
      <c r="A943" t="s">
        <v>91</v>
      </c>
      <c r="B943" t="s">
        <v>566</v>
      </c>
      <c r="C943" t="s">
        <v>920</v>
      </c>
      <c r="D943" t="s">
        <v>920</v>
      </c>
      <c r="E943" t="s">
        <v>1280</v>
      </c>
      <c r="F943" t="s">
        <v>571</v>
      </c>
      <c r="G943" s="204"/>
      <c r="J943">
        <v>2500</v>
      </c>
      <c r="K943">
        <v>46250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7" x14ac:dyDescent="0.25">
      <c r="A944" t="s">
        <v>91</v>
      </c>
      <c r="B944" t="s">
        <v>566</v>
      </c>
      <c r="C944" t="s">
        <v>920</v>
      </c>
      <c r="D944" t="s">
        <v>920</v>
      </c>
      <c r="E944" t="s">
        <v>1314</v>
      </c>
      <c r="F944" t="s">
        <v>571</v>
      </c>
      <c r="G944" s="204"/>
      <c r="H944">
        <v>100</v>
      </c>
      <c r="I944">
        <v>2571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7" x14ac:dyDescent="0.25">
      <c r="A945" t="s">
        <v>91</v>
      </c>
      <c r="B945" t="s">
        <v>566</v>
      </c>
      <c r="C945" t="s">
        <v>920</v>
      </c>
      <c r="D945" t="s">
        <v>920</v>
      </c>
      <c r="E945" t="s">
        <v>1216</v>
      </c>
      <c r="F945" t="s">
        <v>571</v>
      </c>
      <c r="G945" s="204"/>
      <c r="H945">
        <v>3500</v>
      </c>
      <c r="I945">
        <v>65880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7" x14ac:dyDescent="0.25">
      <c r="A946" t="s">
        <v>125</v>
      </c>
      <c r="B946" t="s">
        <v>566</v>
      </c>
      <c r="C946" t="s">
        <v>920</v>
      </c>
      <c r="D946" t="s">
        <v>920</v>
      </c>
      <c r="E946" t="s">
        <v>1316</v>
      </c>
      <c r="F946" t="s">
        <v>571</v>
      </c>
      <c r="G946" s="204"/>
      <c r="L946">
        <v>136</v>
      </c>
      <c r="M946">
        <v>2195.04</v>
      </c>
      <c r="N946">
        <v>0</v>
      </c>
      <c r="O946">
        <v>0</v>
      </c>
      <c r="P946">
        <v>0</v>
      </c>
      <c r="Q946">
        <v>136</v>
      </c>
      <c r="R946">
        <v>2195.04</v>
      </c>
      <c r="S946">
        <v>16.14</v>
      </c>
      <c r="T946">
        <v>0</v>
      </c>
      <c r="U946">
        <v>0</v>
      </c>
      <c r="V946">
        <v>300</v>
      </c>
      <c r="W946">
        <v>4842</v>
      </c>
      <c r="X946">
        <v>300</v>
      </c>
      <c r="Y946">
        <v>300</v>
      </c>
    </row>
    <row r="947" spans="1:27" x14ac:dyDescent="0.25">
      <c r="A947" t="s">
        <v>939</v>
      </c>
      <c r="B947" t="s">
        <v>554</v>
      </c>
      <c r="C947" t="s">
        <v>1858</v>
      </c>
      <c r="D947" t="s">
        <v>688</v>
      </c>
      <c r="E947" t="s">
        <v>1321</v>
      </c>
      <c r="F947" t="s">
        <v>571</v>
      </c>
      <c r="G947" s="204"/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T947">
        <v>0</v>
      </c>
      <c r="U947">
        <v>0</v>
      </c>
      <c r="V947">
        <v>200</v>
      </c>
      <c r="W947">
        <v>38500</v>
      </c>
      <c r="X947">
        <v>200</v>
      </c>
      <c r="Y947">
        <v>200</v>
      </c>
      <c r="Z947">
        <v>38500</v>
      </c>
      <c r="AA947">
        <v>192.5</v>
      </c>
    </row>
    <row r="948" spans="1:27" x14ac:dyDescent="0.25">
      <c r="A948" t="s">
        <v>1554</v>
      </c>
      <c r="B948" t="s">
        <v>1031</v>
      </c>
      <c r="C948" t="s">
        <v>920</v>
      </c>
      <c r="D948" t="s">
        <v>920</v>
      </c>
      <c r="E948" t="s">
        <v>1280</v>
      </c>
      <c r="F948" t="s">
        <v>571</v>
      </c>
      <c r="G948" s="204"/>
      <c r="H948">
        <v>70</v>
      </c>
      <c r="I948">
        <v>2813.3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7" x14ac:dyDescent="0.25">
      <c r="A949" t="s">
        <v>1618</v>
      </c>
      <c r="B949" t="s">
        <v>567</v>
      </c>
      <c r="C949" t="s">
        <v>920</v>
      </c>
      <c r="D949" t="s">
        <v>920</v>
      </c>
      <c r="E949" t="s">
        <v>1280</v>
      </c>
      <c r="F949" t="s">
        <v>571</v>
      </c>
      <c r="G949" s="204"/>
      <c r="H949">
        <v>1330</v>
      </c>
      <c r="I949">
        <v>24618.3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7" x14ac:dyDescent="0.25">
      <c r="A950" t="s">
        <v>1618</v>
      </c>
      <c r="B950" t="s">
        <v>567</v>
      </c>
      <c r="C950" t="s">
        <v>920</v>
      </c>
      <c r="D950" t="s">
        <v>920</v>
      </c>
      <c r="E950" t="s">
        <v>1266</v>
      </c>
      <c r="F950" t="s">
        <v>571</v>
      </c>
      <c r="G950" s="204"/>
      <c r="J950">
        <v>500</v>
      </c>
      <c r="K950">
        <v>9540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7" x14ac:dyDescent="0.25">
      <c r="A951" t="s">
        <v>1618</v>
      </c>
      <c r="B951" t="s">
        <v>567</v>
      </c>
      <c r="C951" t="s">
        <v>920</v>
      </c>
      <c r="D951" t="s">
        <v>920</v>
      </c>
      <c r="E951" t="s">
        <v>1337</v>
      </c>
      <c r="F951" t="s">
        <v>571</v>
      </c>
      <c r="G951" s="204"/>
      <c r="H951">
        <v>281</v>
      </c>
      <c r="I951">
        <v>562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7" x14ac:dyDescent="0.25">
      <c r="A952" t="s">
        <v>95</v>
      </c>
      <c r="B952" t="s">
        <v>1031</v>
      </c>
      <c r="C952" t="s">
        <v>920</v>
      </c>
      <c r="D952" t="s">
        <v>920</v>
      </c>
      <c r="E952" t="s">
        <v>1300</v>
      </c>
      <c r="F952" t="s">
        <v>571</v>
      </c>
      <c r="G952" s="204"/>
      <c r="L952">
        <v>0</v>
      </c>
      <c r="M952">
        <v>0</v>
      </c>
      <c r="N952">
        <v>14</v>
      </c>
      <c r="O952">
        <v>269.64</v>
      </c>
      <c r="P952">
        <v>14</v>
      </c>
      <c r="Q952">
        <v>14</v>
      </c>
      <c r="R952">
        <v>269.64</v>
      </c>
      <c r="S952">
        <v>19.259999999999998</v>
      </c>
      <c r="T952">
        <v>0</v>
      </c>
      <c r="U952">
        <v>0</v>
      </c>
      <c r="V952">
        <v>42</v>
      </c>
      <c r="W952">
        <v>808.92</v>
      </c>
      <c r="X952">
        <v>42</v>
      </c>
      <c r="Y952">
        <v>42</v>
      </c>
    </row>
    <row r="953" spans="1:27" x14ac:dyDescent="0.25">
      <c r="A953" t="s">
        <v>97</v>
      </c>
      <c r="B953" t="s">
        <v>566</v>
      </c>
      <c r="C953" t="s">
        <v>920</v>
      </c>
      <c r="D953" t="s">
        <v>920</v>
      </c>
      <c r="E953" t="s">
        <v>1421</v>
      </c>
      <c r="F953" t="s">
        <v>571</v>
      </c>
      <c r="G953" s="204"/>
      <c r="J953">
        <v>500</v>
      </c>
      <c r="K953">
        <v>5100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7" x14ac:dyDescent="0.25">
      <c r="A954" t="s">
        <v>97</v>
      </c>
      <c r="B954" t="s">
        <v>566</v>
      </c>
      <c r="C954" t="s">
        <v>920</v>
      </c>
      <c r="D954" t="s">
        <v>920</v>
      </c>
      <c r="E954" t="s">
        <v>1190</v>
      </c>
      <c r="F954" t="s">
        <v>571</v>
      </c>
      <c r="G954" s="204"/>
      <c r="J954">
        <v>500</v>
      </c>
      <c r="K954">
        <v>4935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7" x14ac:dyDescent="0.25">
      <c r="A955" t="s">
        <v>97</v>
      </c>
      <c r="B955" t="s">
        <v>566</v>
      </c>
      <c r="C955" t="s">
        <v>920</v>
      </c>
      <c r="D955" t="s">
        <v>920</v>
      </c>
      <c r="E955" t="s">
        <v>1318</v>
      </c>
      <c r="F955" t="s">
        <v>571</v>
      </c>
      <c r="G955" s="204"/>
      <c r="H955">
        <v>500</v>
      </c>
      <c r="I955">
        <v>4935</v>
      </c>
      <c r="L955">
        <v>500</v>
      </c>
      <c r="M955">
        <v>5110</v>
      </c>
      <c r="N955">
        <v>0</v>
      </c>
      <c r="O955">
        <v>0</v>
      </c>
      <c r="P955">
        <v>0</v>
      </c>
      <c r="Q955">
        <v>500</v>
      </c>
      <c r="R955">
        <v>5110</v>
      </c>
      <c r="S955">
        <v>10.220000000000001</v>
      </c>
      <c r="T955">
        <v>0</v>
      </c>
      <c r="U955">
        <v>0</v>
      </c>
      <c r="V955">
        <v>500</v>
      </c>
      <c r="W955">
        <v>5110</v>
      </c>
      <c r="X955">
        <v>500</v>
      </c>
      <c r="Y955">
        <v>500</v>
      </c>
      <c r="Z955">
        <v>5110</v>
      </c>
      <c r="AA955">
        <v>10.220000000000001</v>
      </c>
    </row>
    <row r="956" spans="1:27" x14ac:dyDescent="0.25">
      <c r="A956" t="s">
        <v>97</v>
      </c>
      <c r="B956" t="s">
        <v>566</v>
      </c>
      <c r="C956" t="s">
        <v>920</v>
      </c>
      <c r="D956" t="s">
        <v>920</v>
      </c>
      <c r="E956" t="s">
        <v>1167</v>
      </c>
      <c r="F956" t="s">
        <v>571</v>
      </c>
      <c r="G956" s="204"/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T956">
        <v>0</v>
      </c>
      <c r="U956">
        <v>0</v>
      </c>
      <c r="V956">
        <v>5</v>
      </c>
      <c r="W956">
        <v>500</v>
      </c>
      <c r="X956">
        <v>5</v>
      </c>
      <c r="Y956">
        <v>5</v>
      </c>
      <c r="Z956">
        <v>500</v>
      </c>
      <c r="AA956">
        <v>100</v>
      </c>
    </row>
    <row r="957" spans="1:27" x14ac:dyDescent="0.25">
      <c r="A957" t="s">
        <v>97</v>
      </c>
      <c r="B957" t="s">
        <v>566</v>
      </c>
      <c r="C957" t="s">
        <v>920</v>
      </c>
      <c r="D957" t="s">
        <v>920</v>
      </c>
      <c r="E957" t="s">
        <v>1776</v>
      </c>
      <c r="F957" t="s">
        <v>571</v>
      </c>
      <c r="G957" s="204"/>
      <c r="H957">
        <v>18</v>
      </c>
      <c r="I957">
        <v>878.4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7" x14ac:dyDescent="0.25">
      <c r="A958" t="s">
        <v>97</v>
      </c>
      <c r="B958" t="s">
        <v>566</v>
      </c>
      <c r="C958" t="s">
        <v>920</v>
      </c>
      <c r="D958" t="s">
        <v>920</v>
      </c>
      <c r="E958" t="s">
        <v>1349</v>
      </c>
      <c r="F958" t="s">
        <v>571</v>
      </c>
      <c r="G958" s="204"/>
      <c r="H958">
        <v>2</v>
      </c>
      <c r="I958">
        <v>94.92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7" x14ac:dyDescent="0.25">
      <c r="A959" t="s">
        <v>97</v>
      </c>
      <c r="B959" t="s">
        <v>566</v>
      </c>
      <c r="C959" t="s">
        <v>920</v>
      </c>
      <c r="D959" t="s">
        <v>920</v>
      </c>
      <c r="E959" t="s">
        <v>1744</v>
      </c>
      <c r="F959" t="s">
        <v>571</v>
      </c>
      <c r="G959" s="204"/>
      <c r="H959">
        <v>12</v>
      </c>
      <c r="I959">
        <v>284.27999999999997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7" x14ac:dyDescent="0.25">
      <c r="A960" t="s">
        <v>97</v>
      </c>
      <c r="B960" t="s">
        <v>566</v>
      </c>
      <c r="C960" t="s">
        <v>920</v>
      </c>
      <c r="D960" t="s">
        <v>920</v>
      </c>
      <c r="E960" t="s">
        <v>1773</v>
      </c>
      <c r="F960" t="s">
        <v>571</v>
      </c>
      <c r="G960" s="204"/>
      <c r="H960">
        <v>12</v>
      </c>
      <c r="I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7" x14ac:dyDescent="0.25">
      <c r="A961" t="s">
        <v>97</v>
      </c>
      <c r="B961" t="s">
        <v>566</v>
      </c>
      <c r="C961" t="s">
        <v>920</v>
      </c>
      <c r="D961" t="s">
        <v>920</v>
      </c>
      <c r="E961" t="s">
        <v>1434</v>
      </c>
      <c r="F961" t="s">
        <v>571</v>
      </c>
      <c r="G961" s="204"/>
      <c r="J961">
        <v>257</v>
      </c>
      <c r="K961">
        <v>2806.44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7" x14ac:dyDescent="0.25">
      <c r="A962" t="s">
        <v>413</v>
      </c>
      <c r="B962" t="s">
        <v>567</v>
      </c>
      <c r="C962" t="s">
        <v>555</v>
      </c>
      <c r="D962" t="s">
        <v>666</v>
      </c>
      <c r="E962" t="s">
        <v>1258</v>
      </c>
      <c r="F962" t="s">
        <v>571</v>
      </c>
      <c r="G962" s="204"/>
      <c r="L962">
        <v>0</v>
      </c>
      <c r="M962">
        <v>0</v>
      </c>
      <c r="N962">
        <v>700</v>
      </c>
      <c r="O962">
        <v>17325</v>
      </c>
      <c r="P962">
        <v>700</v>
      </c>
      <c r="Q962">
        <v>700</v>
      </c>
      <c r="R962">
        <v>17325</v>
      </c>
      <c r="S962">
        <v>24.75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7" x14ac:dyDescent="0.25">
      <c r="A963" t="s">
        <v>458</v>
      </c>
      <c r="B963" t="s">
        <v>566</v>
      </c>
      <c r="C963" t="s">
        <v>920</v>
      </c>
      <c r="D963" t="s">
        <v>920</v>
      </c>
      <c r="E963" t="s">
        <v>1316</v>
      </c>
      <c r="F963" t="s">
        <v>571</v>
      </c>
      <c r="G963" s="204"/>
      <c r="H963">
        <v>25</v>
      </c>
      <c r="I963">
        <v>994.25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7" x14ac:dyDescent="0.25">
      <c r="A964" t="s">
        <v>458</v>
      </c>
      <c r="B964" t="s">
        <v>566</v>
      </c>
      <c r="C964" t="s">
        <v>920</v>
      </c>
      <c r="D964" t="s">
        <v>920</v>
      </c>
      <c r="E964" t="s">
        <v>1266</v>
      </c>
      <c r="F964" t="s">
        <v>571</v>
      </c>
      <c r="G964" s="204"/>
      <c r="J964">
        <v>122</v>
      </c>
      <c r="K964">
        <v>2403.4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7" x14ac:dyDescent="0.25">
      <c r="A965" t="s">
        <v>458</v>
      </c>
      <c r="B965" t="s">
        <v>566</v>
      </c>
      <c r="C965" t="s">
        <v>920</v>
      </c>
      <c r="D965" t="s">
        <v>920</v>
      </c>
      <c r="E965" t="s">
        <v>1136</v>
      </c>
      <c r="F965" t="s">
        <v>571</v>
      </c>
      <c r="G965" s="204"/>
      <c r="J965">
        <v>100</v>
      </c>
      <c r="K965">
        <v>1265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T965">
        <v>0</v>
      </c>
      <c r="U965">
        <v>0</v>
      </c>
      <c r="V965">
        <v>210</v>
      </c>
      <c r="W965">
        <v>2656.5</v>
      </c>
      <c r="X965">
        <v>210</v>
      </c>
      <c r="Y965">
        <v>210</v>
      </c>
    </row>
    <row r="966" spans="1:27" x14ac:dyDescent="0.25">
      <c r="A966" t="s">
        <v>458</v>
      </c>
      <c r="B966" t="s">
        <v>566</v>
      </c>
      <c r="C966" t="s">
        <v>920</v>
      </c>
      <c r="D966" t="s">
        <v>920</v>
      </c>
      <c r="E966" t="s">
        <v>1212</v>
      </c>
      <c r="F966" t="s">
        <v>571</v>
      </c>
      <c r="G966" s="204"/>
      <c r="J966">
        <v>500</v>
      </c>
      <c r="K966">
        <v>7790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7" x14ac:dyDescent="0.25">
      <c r="A967" t="s">
        <v>99</v>
      </c>
      <c r="B967" t="s">
        <v>1031</v>
      </c>
      <c r="C967" t="s">
        <v>920</v>
      </c>
      <c r="D967" t="s">
        <v>920</v>
      </c>
      <c r="E967" t="s">
        <v>1244</v>
      </c>
      <c r="F967" t="s">
        <v>571</v>
      </c>
      <c r="G967" s="204"/>
      <c r="H967">
        <v>500</v>
      </c>
      <c r="I967">
        <v>6120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7" x14ac:dyDescent="0.25">
      <c r="A968" t="s">
        <v>101</v>
      </c>
      <c r="B968" t="s">
        <v>567</v>
      </c>
      <c r="C968" t="s">
        <v>920</v>
      </c>
      <c r="D968" t="s">
        <v>920</v>
      </c>
      <c r="E968" t="s">
        <v>1217</v>
      </c>
      <c r="F968" t="s">
        <v>571</v>
      </c>
      <c r="G968" s="204"/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T968">
        <v>0</v>
      </c>
      <c r="U968">
        <v>0</v>
      </c>
      <c r="V968">
        <v>15000</v>
      </c>
      <c r="W968">
        <v>333750</v>
      </c>
      <c r="X968">
        <v>15000</v>
      </c>
      <c r="Y968">
        <v>15000</v>
      </c>
      <c r="Z968">
        <v>333750</v>
      </c>
      <c r="AA968">
        <v>22.25</v>
      </c>
    </row>
    <row r="969" spans="1:27" x14ac:dyDescent="0.25">
      <c r="A969" t="s">
        <v>101</v>
      </c>
      <c r="B969" t="s">
        <v>567</v>
      </c>
      <c r="C969" t="s">
        <v>920</v>
      </c>
      <c r="D969" t="s">
        <v>920</v>
      </c>
      <c r="E969" t="s">
        <v>1777</v>
      </c>
      <c r="F969" t="s">
        <v>571</v>
      </c>
      <c r="G969" s="204"/>
      <c r="H969">
        <v>225</v>
      </c>
      <c r="I969">
        <v>6012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7" x14ac:dyDescent="0.25">
      <c r="A970" t="s">
        <v>103</v>
      </c>
      <c r="B970" t="s">
        <v>567</v>
      </c>
      <c r="C970" t="s">
        <v>920</v>
      </c>
      <c r="D970" t="s">
        <v>920</v>
      </c>
      <c r="E970" t="s">
        <v>1300</v>
      </c>
      <c r="F970" t="s">
        <v>571</v>
      </c>
      <c r="G970" s="204"/>
      <c r="L970">
        <v>0</v>
      </c>
      <c r="M970">
        <v>0</v>
      </c>
      <c r="N970">
        <v>70</v>
      </c>
      <c r="O970">
        <v>1423.1</v>
      </c>
      <c r="P970">
        <v>70</v>
      </c>
      <c r="Q970">
        <v>70</v>
      </c>
      <c r="R970">
        <v>1423.1</v>
      </c>
      <c r="S970">
        <v>20.329999999999998</v>
      </c>
      <c r="T970">
        <v>0</v>
      </c>
      <c r="U970">
        <v>0</v>
      </c>
      <c r="V970">
        <v>210</v>
      </c>
      <c r="W970">
        <v>4269.2999999999993</v>
      </c>
      <c r="X970">
        <v>210</v>
      </c>
      <c r="Y970">
        <v>210</v>
      </c>
    </row>
    <row r="971" spans="1:27" x14ac:dyDescent="0.25">
      <c r="A971" t="s">
        <v>105</v>
      </c>
      <c r="B971" t="s">
        <v>567</v>
      </c>
      <c r="C971" t="s">
        <v>920</v>
      </c>
      <c r="D971" t="s">
        <v>920</v>
      </c>
      <c r="E971" t="s">
        <v>1314</v>
      </c>
      <c r="F971" t="s">
        <v>571</v>
      </c>
      <c r="G971" s="204"/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T971">
        <v>0</v>
      </c>
      <c r="U971">
        <v>0</v>
      </c>
      <c r="V971">
        <v>100</v>
      </c>
      <c r="W971">
        <v>2896</v>
      </c>
      <c r="X971">
        <v>100</v>
      </c>
      <c r="Y971">
        <v>100</v>
      </c>
      <c r="Z971">
        <v>2896</v>
      </c>
      <c r="AA971">
        <v>28.96</v>
      </c>
    </row>
    <row r="972" spans="1:27" x14ac:dyDescent="0.25">
      <c r="A972" t="s">
        <v>107</v>
      </c>
      <c r="B972" t="s">
        <v>566</v>
      </c>
      <c r="C972" t="s">
        <v>920</v>
      </c>
      <c r="D972" t="s">
        <v>920</v>
      </c>
      <c r="E972" t="s">
        <v>1217</v>
      </c>
      <c r="F972" t="s">
        <v>571</v>
      </c>
      <c r="G972" s="204"/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T972">
        <v>0</v>
      </c>
      <c r="U972">
        <v>0</v>
      </c>
      <c r="V972">
        <v>500</v>
      </c>
      <c r="W972">
        <v>8730</v>
      </c>
      <c r="X972">
        <v>500</v>
      </c>
      <c r="Y972">
        <v>500</v>
      </c>
      <c r="Z972">
        <v>8730</v>
      </c>
      <c r="AA972">
        <v>17.46</v>
      </c>
    </row>
    <row r="973" spans="1:27" x14ac:dyDescent="0.25">
      <c r="A973" t="s">
        <v>107</v>
      </c>
      <c r="B973" t="s">
        <v>566</v>
      </c>
      <c r="C973" t="s">
        <v>920</v>
      </c>
      <c r="D973" t="s">
        <v>920</v>
      </c>
      <c r="E973" t="s">
        <v>1330</v>
      </c>
      <c r="F973" t="s">
        <v>571</v>
      </c>
      <c r="G973" s="204"/>
      <c r="J973">
        <v>520</v>
      </c>
      <c r="K973">
        <v>9276.7999999999993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7" x14ac:dyDescent="0.25">
      <c r="A974" t="s">
        <v>107</v>
      </c>
      <c r="B974" t="s">
        <v>566</v>
      </c>
      <c r="C974" t="s">
        <v>920</v>
      </c>
      <c r="D974" t="s">
        <v>920</v>
      </c>
      <c r="E974" t="s">
        <v>1315</v>
      </c>
      <c r="F974" t="s">
        <v>571</v>
      </c>
      <c r="G974" s="204"/>
      <c r="H974">
        <v>400</v>
      </c>
      <c r="I974">
        <v>9373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7" x14ac:dyDescent="0.25">
      <c r="A975" t="s">
        <v>107</v>
      </c>
      <c r="B975" t="s">
        <v>566</v>
      </c>
      <c r="C975" t="s">
        <v>920</v>
      </c>
      <c r="D975" t="s">
        <v>920</v>
      </c>
      <c r="E975" t="s">
        <v>1469</v>
      </c>
      <c r="F975" t="s">
        <v>571</v>
      </c>
      <c r="G975" s="204"/>
      <c r="J975">
        <v>120</v>
      </c>
      <c r="K975">
        <v>2704.8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7" x14ac:dyDescent="0.25">
      <c r="A976" t="s">
        <v>109</v>
      </c>
      <c r="B976" t="s">
        <v>566</v>
      </c>
      <c r="C976" t="s">
        <v>920</v>
      </c>
      <c r="D976" t="s">
        <v>920</v>
      </c>
      <c r="E976" t="s">
        <v>1330</v>
      </c>
      <c r="F976" t="s">
        <v>571</v>
      </c>
      <c r="G976" s="204"/>
      <c r="H976">
        <v>1326</v>
      </c>
      <c r="I976">
        <v>12402.44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7" x14ac:dyDescent="0.25">
      <c r="A977" t="s">
        <v>1619</v>
      </c>
      <c r="B977" t="s">
        <v>562</v>
      </c>
      <c r="C977" t="s">
        <v>920</v>
      </c>
      <c r="D977" t="s">
        <v>920</v>
      </c>
      <c r="E977" t="s">
        <v>1400</v>
      </c>
      <c r="F977" t="s">
        <v>571</v>
      </c>
      <c r="G977" s="204"/>
      <c r="J977">
        <v>500</v>
      </c>
      <c r="K977">
        <v>57620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7" x14ac:dyDescent="0.25">
      <c r="A978" t="s">
        <v>111</v>
      </c>
      <c r="B978" t="s">
        <v>566</v>
      </c>
      <c r="C978" t="s">
        <v>920</v>
      </c>
      <c r="D978" t="s">
        <v>920</v>
      </c>
      <c r="E978" t="s">
        <v>1332</v>
      </c>
      <c r="F978" t="s">
        <v>571</v>
      </c>
      <c r="G978" s="204"/>
      <c r="L978">
        <v>4</v>
      </c>
      <c r="M978">
        <v>316.27999999999997</v>
      </c>
      <c r="N978">
        <v>0</v>
      </c>
      <c r="O978">
        <v>0</v>
      </c>
      <c r="P978">
        <v>0</v>
      </c>
      <c r="Q978">
        <v>4</v>
      </c>
      <c r="R978">
        <v>316.27999999999997</v>
      </c>
      <c r="S978">
        <v>79.069999999999993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7" x14ac:dyDescent="0.25">
      <c r="A979" t="s">
        <v>115</v>
      </c>
      <c r="B979" t="s">
        <v>566</v>
      </c>
      <c r="C979" t="s">
        <v>920</v>
      </c>
      <c r="D979" t="s">
        <v>920</v>
      </c>
      <c r="E979" t="s">
        <v>1167</v>
      </c>
      <c r="F979" t="s">
        <v>571</v>
      </c>
      <c r="G979" s="204"/>
      <c r="L979">
        <v>6</v>
      </c>
      <c r="M979">
        <v>1500</v>
      </c>
      <c r="N979">
        <v>0</v>
      </c>
      <c r="O979">
        <v>0</v>
      </c>
      <c r="P979">
        <v>0</v>
      </c>
      <c r="Q979">
        <v>6</v>
      </c>
      <c r="R979">
        <v>1500</v>
      </c>
      <c r="S979">
        <v>250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7" x14ac:dyDescent="0.25">
      <c r="A980" t="s">
        <v>111</v>
      </c>
      <c r="B980" t="s">
        <v>566</v>
      </c>
      <c r="C980" t="s">
        <v>920</v>
      </c>
      <c r="D980" t="s">
        <v>920</v>
      </c>
      <c r="E980" t="s">
        <v>1778</v>
      </c>
      <c r="F980" t="s">
        <v>571</v>
      </c>
      <c r="G980" s="204"/>
      <c r="J980">
        <v>460</v>
      </c>
      <c r="K980">
        <v>18400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7" x14ac:dyDescent="0.25">
      <c r="A981" t="s">
        <v>111</v>
      </c>
      <c r="B981" t="s">
        <v>566</v>
      </c>
      <c r="C981" t="s">
        <v>920</v>
      </c>
      <c r="D981" t="s">
        <v>920</v>
      </c>
      <c r="E981" t="s">
        <v>1779</v>
      </c>
      <c r="F981" t="s">
        <v>571</v>
      </c>
      <c r="G981" s="204"/>
      <c r="J981">
        <v>20</v>
      </c>
      <c r="K981">
        <v>1378.2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7" x14ac:dyDescent="0.25">
      <c r="A982" t="s">
        <v>111</v>
      </c>
      <c r="B982" t="s">
        <v>566</v>
      </c>
      <c r="C982" t="s">
        <v>920</v>
      </c>
      <c r="D982" t="s">
        <v>920</v>
      </c>
      <c r="E982" t="s">
        <v>1519</v>
      </c>
      <c r="F982" t="s">
        <v>571</v>
      </c>
      <c r="G982" s="204"/>
      <c r="L982">
        <v>8</v>
      </c>
      <c r="M982">
        <v>607.76</v>
      </c>
      <c r="N982">
        <v>0</v>
      </c>
      <c r="O982">
        <v>0</v>
      </c>
      <c r="P982">
        <v>0</v>
      </c>
      <c r="Q982">
        <v>8</v>
      </c>
      <c r="R982">
        <v>607.76</v>
      </c>
      <c r="S982">
        <v>75.97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7" x14ac:dyDescent="0.25">
      <c r="A983" t="s">
        <v>111</v>
      </c>
      <c r="B983" t="s">
        <v>566</v>
      </c>
      <c r="C983" t="s">
        <v>920</v>
      </c>
      <c r="D983" t="s">
        <v>920</v>
      </c>
      <c r="E983" t="s">
        <v>1780</v>
      </c>
      <c r="F983" t="s">
        <v>571</v>
      </c>
      <c r="G983" s="204"/>
      <c r="J983">
        <v>4</v>
      </c>
      <c r="K983">
        <v>262.52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7" x14ac:dyDescent="0.25">
      <c r="A984" t="s">
        <v>111</v>
      </c>
      <c r="B984" t="s">
        <v>566</v>
      </c>
      <c r="C984" t="s">
        <v>920</v>
      </c>
      <c r="D984" t="s">
        <v>920</v>
      </c>
      <c r="E984" t="s">
        <v>1242</v>
      </c>
      <c r="F984" t="s">
        <v>571</v>
      </c>
      <c r="G984" s="204"/>
      <c r="L984">
        <v>1600</v>
      </c>
      <c r="M984">
        <v>23344</v>
      </c>
      <c r="N984">
        <v>0</v>
      </c>
      <c r="O984">
        <v>0</v>
      </c>
      <c r="P984">
        <v>0</v>
      </c>
      <c r="Q984">
        <v>1600</v>
      </c>
      <c r="R984">
        <v>23344</v>
      </c>
      <c r="S984">
        <v>14.59</v>
      </c>
      <c r="T984">
        <v>0</v>
      </c>
      <c r="U984">
        <v>0</v>
      </c>
      <c r="V984">
        <v>1600</v>
      </c>
      <c r="W984">
        <v>23344</v>
      </c>
      <c r="X984">
        <v>1600</v>
      </c>
      <c r="Y984">
        <v>1600</v>
      </c>
      <c r="Z984">
        <v>23344</v>
      </c>
      <c r="AA984">
        <v>14.59</v>
      </c>
    </row>
    <row r="985" spans="1:27" x14ac:dyDescent="0.25">
      <c r="A985" t="s">
        <v>111</v>
      </c>
      <c r="B985" t="s">
        <v>566</v>
      </c>
      <c r="C985" t="s">
        <v>920</v>
      </c>
      <c r="D985" t="s">
        <v>920</v>
      </c>
      <c r="E985" t="s">
        <v>1313</v>
      </c>
      <c r="F985" t="s">
        <v>571</v>
      </c>
      <c r="G985" s="204"/>
      <c r="L985">
        <v>0</v>
      </c>
      <c r="M985">
        <v>0</v>
      </c>
      <c r="N985">
        <v>450</v>
      </c>
      <c r="O985">
        <v>8567.5</v>
      </c>
      <c r="P985">
        <v>450</v>
      </c>
      <c r="Q985">
        <v>450</v>
      </c>
      <c r="R985">
        <v>8567.5</v>
      </c>
      <c r="S985">
        <v>19.038888888888888</v>
      </c>
      <c r="T985">
        <v>0</v>
      </c>
      <c r="U985">
        <v>0</v>
      </c>
      <c r="V985">
        <v>600</v>
      </c>
      <c r="W985">
        <v>12030</v>
      </c>
      <c r="X985">
        <v>600</v>
      </c>
      <c r="Y985">
        <v>600</v>
      </c>
    </row>
    <row r="986" spans="1:27" x14ac:dyDescent="0.25">
      <c r="A986" t="s">
        <v>111</v>
      </c>
      <c r="B986" t="s">
        <v>566</v>
      </c>
      <c r="C986" t="s">
        <v>920</v>
      </c>
      <c r="D986" t="s">
        <v>920</v>
      </c>
      <c r="E986" t="s">
        <v>1781</v>
      </c>
      <c r="F986" t="s">
        <v>571</v>
      </c>
      <c r="G986" s="204"/>
      <c r="H986">
        <v>38</v>
      </c>
      <c r="I986">
        <v>2358.66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7" x14ac:dyDescent="0.25">
      <c r="A987" t="s">
        <v>111</v>
      </c>
      <c r="B987" t="s">
        <v>566</v>
      </c>
      <c r="C987" t="s">
        <v>920</v>
      </c>
      <c r="D987" t="s">
        <v>920</v>
      </c>
      <c r="E987" t="s">
        <v>1318</v>
      </c>
      <c r="F987" t="s">
        <v>571</v>
      </c>
      <c r="G987" s="204"/>
      <c r="J987">
        <v>450</v>
      </c>
      <c r="K987">
        <v>6376.5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7" x14ac:dyDescent="0.25">
      <c r="A988" t="s">
        <v>111</v>
      </c>
      <c r="B988" t="s">
        <v>566</v>
      </c>
      <c r="C988" t="s">
        <v>920</v>
      </c>
      <c r="D988" t="s">
        <v>920</v>
      </c>
      <c r="E988" t="s">
        <v>1378</v>
      </c>
      <c r="F988" t="s">
        <v>571</v>
      </c>
      <c r="G988" s="204"/>
      <c r="J988">
        <v>10</v>
      </c>
      <c r="K988">
        <v>689.1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7" x14ac:dyDescent="0.25">
      <c r="A989" t="s">
        <v>111</v>
      </c>
      <c r="B989" t="s">
        <v>566</v>
      </c>
      <c r="C989" t="s">
        <v>920</v>
      </c>
      <c r="D989" t="s">
        <v>920</v>
      </c>
      <c r="E989" t="s">
        <v>1782</v>
      </c>
      <c r="F989" t="s">
        <v>571</v>
      </c>
      <c r="G989" s="204"/>
      <c r="J989">
        <v>30</v>
      </c>
      <c r="K989">
        <v>1800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7" x14ac:dyDescent="0.25">
      <c r="A990" t="s">
        <v>111</v>
      </c>
      <c r="B990" t="s">
        <v>566</v>
      </c>
      <c r="C990" t="s">
        <v>920</v>
      </c>
      <c r="D990" t="s">
        <v>920</v>
      </c>
      <c r="E990" t="s">
        <v>1715</v>
      </c>
      <c r="F990" t="s">
        <v>571</v>
      </c>
      <c r="G990" s="204"/>
      <c r="H990">
        <v>81</v>
      </c>
      <c r="I990">
        <v>5027.67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7" x14ac:dyDescent="0.25">
      <c r="A991" t="s">
        <v>111</v>
      </c>
      <c r="B991" t="s">
        <v>566</v>
      </c>
      <c r="C991" t="s">
        <v>920</v>
      </c>
      <c r="D991" t="s">
        <v>920</v>
      </c>
      <c r="E991" t="s">
        <v>1475</v>
      </c>
      <c r="F991" t="s">
        <v>571</v>
      </c>
      <c r="G991" s="204"/>
      <c r="J991">
        <v>6</v>
      </c>
      <c r="K991">
        <v>405.96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7" x14ac:dyDescent="0.25">
      <c r="A992" t="s">
        <v>111</v>
      </c>
      <c r="B992" t="s">
        <v>566</v>
      </c>
      <c r="C992" t="s">
        <v>920</v>
      </c>
      <c r="D992" t="s">
        <v>920</v>
      </c>
      <c r="E992" t="s">
        <v>1439</v>
      </c>
      <c r="F992" t="s">
        <v>571</v>
      </c>
      <c r="G992" s="204"/>
      <c r="J992">
        <v>1</v>
      </c>
      <c r="K992">
        <v>67.66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7" x14ac:dyDescent="0.25">
      <c r="A993" t="s">
        <v>111</v>
      </c>
      <c r="B993" t="s">
        <v>566</v>
      </c>
      <c r="C993" t="s">
        <v>920</v>
      </c>
      <c r="D993" t="s">
        <v>920</v>
      </c>
      <c r="E993" t="s">
        <v>1761</v>
      </c>
      <c r="F993" t="s">
        <v>571</v>
      </c>
      <c r="G993" s="204"/>
      <c r="J993">
        <v>1</v>
      </c>
      <c r="K993">
        <v>67.66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7" x14ac:dyDescent="0.25">
      <c r="A994" t="s">
        <v>111</v>
      </c>
      <c r="B994" t="s">
        <v>566</v>
      </c>
      <c r="C994" t="s">
        <v>920</v>
      </c>
      <c r="D994" t="s">
        <v>920</v>
      </c>
      <c r="E994" t="s">
        <v>1386</v>
      </c>
      <c r="F994" t="s">
        <v>571</v>
      </c>
      <c r="G994" s="204"/>
      <c r="H994">
        <v>15</v>
      </c>
      <c r="I994">
        <v>931.05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7" x14ac:dyDescent="0.25">
      <c r="A995" t="s">
        <v>111</v>
      </c>
      <c r="B995" t="s">
        <v>566</v>
      </c>
      <c r="C995" t="s">
        <v>920</v>
      </c>
      <c r="D995" t="s">
        <v>920</v>
      </c>
      <c r="E995" t="s">
        <v>1385</v>
      </c>
      <c r="F995" t="s">
        <v>571</v>
      </c>
      <c r="G995" s="204"/>
      <c r="J995">
        <v>65</v>
      </c>
      <c r="K995">
        <v>4397.8999999999996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7" x14ac:dyDescent="0.25">
      <c r="A996" t="s">
        <v>111</v>
      </c>
      <c r="B996" t="s">
        <v>566</v>
      </c>
      <c r="C996" t="s">
        <v>920</v>
      </c>
      <c r="D996" t="s">
        <v>920</v>
      </c>
      <c r="E996" t="s">
        <v>1482</v>
      </c>
      <c r="F996" t="s">
        <v>571</v>
      </c>
      <c r="G996" s="204"/>
      <c r="J996">
        <v>5</v>
      </c>
      <c r="K996">
        <v>338.3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7" x14ac:dyDescent="0.25">
      <c r="A997" t="s">
        <v>111</v>
      </c>
      <c r="B997" t="s">
        <v>566</v>
      </c>
      <c r="C997" t="s">
        <v>920</v>
      </c>
      <c r="D997" t="s">
        <v>920</v>
      </c>
      <c r="E997" t="s">
        <v>1136</v>
      </c>
      <c r="F997" t="s">
        <v>571</v>
      </c>
      <c r="G997" s="204"/>
      <c r="J997">
        <v>75</v>
      </c>
      <c r="K997">
        <v>1089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7" x14ac:dyDescent="0.25">
      <c r="A998" t="s">
        <v>111</v>
      </c>
      <c r="B998" t="s">
        <v>566</v>
      </c>
      <c r="C998" t="s">
        <v>920</v>
      </c>
      <c r="D998" t="s">
        <v>920</v>
      </c>
      <c r="E998" t="s">
        <v>1365</v>
      </c>
      <c r="F998" t="s">
        <v>571</v>
      </c>
      <c r="G998" s="204"/>
      <c r="J998">
        <v>16</v>
      </c>
      <c r="K998">
        <v>568.32000000000005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7" x14ac:dyDescent="0.25">
      <c r="A999" t="s">
        <v>111</v>
      </c>
      <c r="B999" t="s">
        <v>566</v>
      </c>
      <c r="C999" t="s">
        <v>920</v>
      </c>
      <c r="D999" t="s">
        <v>920</v>
      </c>
      <c r="E999" t="s">
        <v>1138</v>
      </c>
      <c r="F999" t="s">
        <v>571</v>
      </c>
      <c r="G999" s="204"/>
      <c r="J999">
        <v>8000</v>
      </c>
      <c r="K999">
        <v>58240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7" x14ac:dyDescent="0.25">
      <c r="A1000" t="s">
        <v>111</v>
      </c>
      <c r="B1000" t="s">
        <v>566</v>
      </c>
      <c r="C1000" t="s">
        <v>920</v>
      </c>
      <c r="D1000" t="s">
        <v>920</v>
      </c>
      <c r="E1000" t="s">
        <v>1719</v>
      </c>
      <c r="F1000" t="s">
        <v>571</v>
      </c>
      <c r="G1000" s="204"/>
      <c r="H1000">
        <v>100</v>
      </c>
      <c r="I1000">
        <v>1452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7" x14ac:dyDescent="0.25">
      <c r="A1001" t="s">
        <v>113</v>
      </c>
      <c r="B1001" t="s">
        <v>1031</v>
      </c>
      <c r="C1001" t="s">
        <v>920</v>
      </c>
      <c r="D1001" t="s">
        <v>920</v>
      </c>
      <c r="E1001" t="s">
        <v>1318</v>
      </c>
      <c r="F1001" t="s">
        <v>571</v>
      </c>
      <c r="G1001" s="204"/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T1001">
        <v>0</v>
      </c>
      <c r="U1001">
        <v>0</v>
      </c>
      <c r="V1001">
        <v>400</v>
      </c>
      <c r="W1001">
        <v>34280</v>
      </c>
      <c r="X1001">
        <v>400</v>
      </c>
      <c r="Y1001">
        <v>400</v>
      </c>
      <c r="Z1001">
        <v>34280</v>
      </c>
      <c r="AA1001">
        <v>85.7</v>
      </c>
    </row>
    <row r="1002" spans="1:27" x14ac:dyDescent="0.25">
      <c r="A1002" t="s">
        <v>113</v>
      </c>
      <c r="B1002" t="s">
        <v>1031</v>
      </c>
      <c r="C1002" t="s">
        <v>920</v>
      </c>
      <c r="D1002" t="s">
        <v>920</v>
      </c>
      <c r="E1002" t="s">
        <v>1266</v>
      </c>
      <c r="F1002" t="s">
        <v>571</v>
      </c>
      <c r="G1002" s="204"/>
      <c r="H1002">
        <v>250</v>
      </c>
      <c r="I1002">
        <v>22565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7" x14ac:dyDescent="0.25">
      <c r="A1003" t="s">
        <v>909</v>
      </c>
      <c r="B1003" t="s">
        <v>565</v>
      </c>
      <c r="C1003" t="s">
        <v>1859</v>
      </c>
      <c r="D1003" t="s">
        <v>581</v>
      </c>
      <c r="E1003" t="s">
        <v>1160</v>
      </c>
      <c r="F1003" t="s">
        <v>571</v>
      </c>
      <c r="G1003" s="204"/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T1003">
        <v>0</v>
      </c>
      <c r="U1003">
        <v>0</v>
      </c>
      <c r="V1003">
        <v>100</v>
      </c>
      <c r="W1003">
        <v>50000</v>
      </c>
      <c r="X1003">
        <v>100</v>
      </c>
      <c r="Y1003">
        <v>100</v>
      </c>
      <c r="Z1003">
        <v>50000</v>
      </c>
      <c r="AA1003">
        <v>500</v>
      </c>
    </row>
    <row r="1004" spans="1:27" x14ac:dyDescent="0.25">
      <c r="A1004" t="s">
        <v>1620</v>
      </c>
      <c r="B1004" t="s">
        <v>554</v>
      </c>
      <c r="C1004" t="s">
        <v>1860</v>
      </c>
      <c r="D1004" t="s">
        <v>1878</v>
      </c>
      <c r="E1004" t="s">
        <v>1280</v>
      </c>
      <c r="F1004" t="s">
        <v>571</v>
      </c>
      <c r="G1004" s="204"/>
      <c r="J1004">
        <v>200</v>
      </c>
      <c r="K1004">
        <v>127446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7" x14ac:dyDescent="0.25">
      <c r="A1005" t="s">
        <v>1620</v>
      </c>
      <c r="B1005" t="s">
        <v>554</v>
      </c>
      <c r="C1005" t="s">
        <v>1860</v>
      </c>
      <c r="D1005" t="s">
        <v>1878</v>
      </c>
      <c r="E1005" t="s">
        <v>1248</v>
      </c>
      <c r="F1005" t="s">
        <v>571</v>
      </c>
      <c r="G1005" s="204"/>
      <c r="J1005">
        <v>10</v>
      </c>
      <c r="K1005">
        <v>12500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7" x14ac:dyDescent="0.25">
      <c r="A1006" t="s">
        <v>115</v>
      </c>
      <c r="B1006" t="s">
        <v>566</v>
      </c>
      <c r="C1006" t="s">
        <v>920</v>
      </c>
      <c r="D1006" t="s">
        <v>920</v>
      </c>
      <c r="E1006" t="s">
        <v>1316</v>
      </c>
      <c r="F1006" t="s">
        <v>571</v>
      </c>
      <c r="G1006" s="204"/>
      <c r="J1006">
        <v>250</v>
      </c>
      <c r="K1006">
        <v>6882.5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7" x14ac:dyDescent="0.25">
      <c r="A1007" t="s">
        <v>115</v>
      </c>
      <c r="B1007" t="s">
        <v>566</v>
      </c>
      <c r="C1007" t="s">
        <v>920</v>
      </c>
      <c r="D1007" t="s">
        <v>920</v>
      </c>
      <c r="E1007" t="s">
        <v>1111</v>
      </c>
      <c r="F1007" t="s">
        <v>571</v>
      </c>
      <c r="G1007" s="204"/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T1007">
        <v>0</v>
      </c>
      <c r="U1007">
        <v>0</v>
      </c>
      <c r="V1007">
        <v>93</v>
      </c>
      <c r="W1007">
        <v>0</v>
      </c>
      <c r="X1007">
        <v>0</v>
      </c>
      <c r="Y1007">
        <v>0</v>
      </c>
      <c r="Z1007">
        <v>0</v>
      </c>
    </row>
    <row r="1008" spans="1:27" x14ac:dyDescent="0.25">
      <c r="A1008" t="s">
        <v>1621</v>
      </c>
      <c r="B1008" t="s">
        <v>567</v>
      </c>
      <c r="C1008" t="s">
        <v>920</v>
      </c>
      <c r="D1008" t="s">
        <v>920</v>
      </c>
      <c r="E1008" t="s">
        <v>1315</v>
      </c>
      <c r="F1008" t="s">
        <v>571</v>
      </c>
      <c r="G1008" s="204"/>
      <c r="J1008">
        <v>1000</v>
      </c>
      <c r="K1008">
        <v>23250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7" x14ac:dyDescent="0.25">
      <c r="A1009" t="s">
        <v>117</v>
      </c>
      <c r="B1009" t="s">
        <v>567</v>
      </c>
      <c r="C1009" t="s">
        <v>920</v>
      </c>
      <c r="D1009" t="s">
        <v>920</v>
      </c>
      <c r="E1009" t="s">
        <v>1280</v>
      </c>
      <c r="F1009" t="s">
        <v>571</v>
      </c>
      <c r="G1009" s="204"/>
      <c r="H1009">
        <v>1000</v>
      </c>
      <c r="I1009">
        <v>21020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7" x14ac:dyDescent="0.25">
      <c r="A1010" t="s">
        <v>117</v>
      </c>
      <c r="B1010" t="s">
        <v>567</v>
      </c>
      <c r="C1010" t="s">
        <v>920</v>
      </c>
      <c r="D1010" t="s">
        <v>920</v>
      </c>
      <c r="E1010" t="s">
        <v>1469</v>
      </c>
      <c r="F1010" t="s">
        <v>571</v>
      </c>
      <c r="G1010" s="204"/>
      <c r="J1010">
        <v>47</v>
      </c>
      <c r="K1010">
        <v>1395.9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7" x14ac:dyDescent="0.25">
      <c r="A1011" t="s">
        <v>117</v>
      </c>
      <c r="B1011" t="s">
        <v>567</v>
      </c>
      <c r="C1011" t="s">
        <v>920</v>
      </c>
      <c r="D1011" t="s">
        <v>920</v>
      </c>
      <c r="E1011" t="s">
        <v>1138</v>
      </c>
      <c r="F1011" t="s">
        <v>571</v>
      </c>
      <c r="G1011" s="204"/>
      <c r="J1011">
        <v>25</v>
      </c>
      <c r="K1011">
        <v>947.5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7" x14ac:dyDescent="0.25">
      <c r="A1012" t="s">
        <v>119</v>
      </c>
      <c r="B1012" t="s">
        <v>566</v>
      </c>
      <c r="C1012" t="s">
        <v>920</v>
      </c>
      <c r="D1012" t="s">
        <v>920</v>
      </c>
      <c r="E1012" t="s">
        <v>1330</v>
      </c>
      <c r="F1012" t="s">
        <v>571</v>
      </c>
      <c r="G1012" s="204"/>
      <c r="J1012">
        <v>1500</v>
      </c>
      <c r="K1012">
        <v>20490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7" x14ac:dyDescent="0.25">
      <c r="A1013" t="s">
        <v>119</v>
      </c>
      <c r="B1013" t="s">
        <v>566</v>
      </c>
      <c r="C1013" t="s">
        <v>920</v>
      </c>
      <c r="D1013" t="s">
        <v>920</v>
      </c>
      <c r="E1013" t="s">
        <v>1216</v>
      </c>
      <c r="F1013" t="s">
        <v>571</v>
      </c>
      <c r="G1013" s="204"/>
      <c r="J1013">
        <v>869</v>
      </c>
      <c r="K1013">
        <v>14164.699999999999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7" x14ac:dyDescent="0.25">
      <c r="A1014" t="s">
        <v>886</v>
      </c>
      <c r="C1014" t="s">
        <v>920</v>
      </c>
      <c r="D1014" t="s">
        <v>920</v>
      </c>
      <c r="E1014" t="s">
        <v>1217</v>
      </c>
      <c r="F1014" t="s">
        <v>571</v>
      </c>
      <c r="G1014" s="204"/>
      <c r="L1014">
        <v>0</v>
      </c>
      <c r="M1014">
        <v>0</v>
      </c>
      <c r="N1014">
        <v>1000</v>
      </c>
      <c r="O1014">
        <v>30380</v>
      </c>
      <c r="P1014">
        <v>1000</v>
      </c>
      <c r="Q1014">
        <v>1000</v>
      </c>
      <c r="R1014">
        <v>30380</v>
      </c>
      <c r="S1014">
        <v>30.38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7" x14ac:dyDescent="0.25">
      <c r="A1015" t="s">
        <v>123</v>
      </c>
      <c r="B1015" t="s">
        <v>1031</v>
      </c>
      <c r="C1015" t="s">
        <v>920</v>
      </c>
      <c r="D1015" t="s">
        <v>920</v>
      </c>
      <c r="E1015" t="s">
        <v>1300</v>
      </c>
      <c r="F1015" t="s">
        <v>571</v>
      </c>
      <c r="G1015" s="204"/>
      <c r="L1015">
        <v>0</v>
      </c>
      <c r="M1015">
        <v>0</v>
      </c>
      <c r="N1015">
        <v>28</v>
      </c>
      <c r="O1015">
        <v>775.04</v>
      </c>
      <c r="P1015">
        <v>28</v>
      </c>
      <c r="Q1015">
        <v>28</v>
      </c>
      <c r="R1015">
        <v>775.04</v>
      </c>
      <c r="S1015">
        <v>27.68</v>
      </c>
      <c r="T1015">
        <v>0</v>
      </c>
      <c r="U1015">
        <v>0</v>
      </c>
      <c r="V1015">
        <v>84</v>
      </c>
      <c r="W1015">
        <v>2325.12</v>
      </c>
      <c r="X1015">
        <v>84</v>
      </c>
      <c r="Y1015">
        <v>84</v>
      </c>
    </row>
    <row r="1016" spans="1:27" x14ac:dyDescent="0.25">
      <c r="A1016" t="s">
        <v>125</v>
      </c>
      <c r="B1016" t="s">
        <v>566</v>
      </c>
      <c r="C1016" t="s">
        <v>920</v>
      </c>
      <c r="D1016" t="s">
        <v>920</v>
      </c>
      <c r="E1016" t="s">
        <v>1330</v>
      </c>
      <c r="F1016" t="s">
        <v>571</v>
      </c>
      <c r="G1016" s="204"/>
      <c r="H1016">
        <v>4000</v>
      </c>
      <c r="I1016">
        <v>60280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7" x14ac:dyDescent="0.25">
      <c r="A1017" t="s">
        <v>125</v>
      </c>
      <c r="B1017" t="s">
        <v>566</v>
      </c>
      <c r="C1017" t="s">
        <v>920</v>
      </c>
      <c r="D1017" t="s">
        <v>920</v>
      </c>
      <c r="E1017" t="s">
        <v>1318</v>
      </c>
      <c r="F1017" t="s">
        <v>571</v>
      </c>
      <c r="G1017" s="204"/>
      <c r="H1017">
        <v>200</v>
      </c>
      <c r="I1017">
        <v>3118</v>
      </c>
      <c r="J1017">
        <v>200</v>
      </c>
      <c r="K1017">
        <v>3118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7" x14ac:dyDescent="0.25">
      <c r="A1018" t="s">
        <v>125</v>
      </c>
      <c r="B1018" t="s">
        <v>566</v>
      </c>
      <c r="C1018" t="s">
        <v>920</v>
      </c>
      <c r="D1018" t="s">
        <v>920</v>
      </c>
      <c r="E1018" t="s">
        <v>1365</v>
      </c>
      <c r="F1018" t="s">
        <v>571</v>
      </c>
      <c r="G1018" s="204"/>
      <c r="H1018">
        <v>10</v>
      </c>
      <c r="I1018">
        <v>382.1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7" x14ac:dyDescent="0.25">
      <c r="A1019" t="s">
        <v>125</v>
      </c>
      <c r="B1019" t="s">
        <v>566</v>
      </c>
      <c r="C1019" t="s">
        <v>920</v>
      </c>
      <c r="D1019" t="s">
        <v>920</v>
      </c>
      <c r="E1019" t="s">
        <v>1212</v>
      </c>
      <c r="F1019" t="s">
        <v>571</v>
      </c>
      <c r="G1019" s="204"/>
      <c r="H1019">
        <v>500</v>
      </c>
      <c r="I1019">
        <v>8670</v>
      </c>
      <c r="L1019">
        <v>0</v>
      </c>
      <c r="M1019">
        <v>0</v>
      </c>
      <c r="N1019">
        <v>1000</v>
      </c>
      <c r="O1019">
        <v>15590</v>
      </c>
      <c r="P1019">
        <v>1000</v>
      </c>
      <c r="Q1019">
        <v>1000</v>
      </c>
      <c r="T1019">
        <v>0</v>
      </c>
      <c r="U1019">
        <v>0</v>
      </c>
      <c r="V1019">
        <v>1000</v>
      </c>
      <c r="W1019">
        <v>15590</v>
      </c>
      <c r="X1019">
        <v>1000</v>
      </c>
      <c r="Y1019">
        <v>1000</v>
      </c>
    </row>
    <row r="1020" spans="1:27" x14ac:dyDescent="0.25">
      <c r="A1020" t="s">
        <v>125</v>
      </c>
      <c r="B1020" t="s">
        <v>566</v>
      </c>
      <c r="C1020" t="s">
        <v>920</v>
      </c>
      <c r="D1020" t="s">
        <v>920</v>
      </c>
      <c r="E1020" t="s">
        <v>1216</v>
      </c>
      <c r="F1020" t="s">
        <v>571</v>
      </c>
      <c r="G1020" s="204"/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T1020">
        <v>0</v>
      </c>
      <c r="U1020">
        <v>0</v>
      </c>
      <c r="V1020">
        <v>170</v>
      </c>
      <c r="W1020">
        <v>3044.7</v>
      </c>
      <c r="X1020">
        <v>170</v>
      </c>
      <c r="Y1020">
        <v>170</v>
      </c>
      <c r="Z1020">
        <v>3044.7</v>
      </c>
      <c r="AA1020">
        <v>17.91</v>
      </c>
    </row>
    <row r="1021" spans="1:27" x14ac:dyDescent="0.25">
      <c r="A1021" t="s">
        <v>546</v>
      </c>
      <c r="B1021" t="s">
        <v>567</v>
      </c>
      <c r="C1021" t="s">
        <v>555</v>
      </c>
      <c r="D1021" t="s">
        <v>615</v>
      </c>
      <c r="E1021" t="s">
        <v>1258</v>
      </c>
      <c r="F1021" t="s">
        <v>571</v>
      </c>
      <c r="G1021" s="204"/>
      <c r="L1021">
        <v>0</v>
      </c>
      <c r="M1021">
        <v>0</v>
      </c>
      <c r="N1021">
        <v>800</v>
      </c>
      <c r="O1021">
        <v>35376</v>
      </c>
      <c r="P1021">
        <v>800</v>
      </c>
      <c r="Q1021">
        <v>800</v>
      </c>
      <c r="R1021">
        <v>35376</v>
      </c>
      <c r="S1021">
        <v>44.22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7" x14ac:dyDescent="0.25">
      <c r="A1022" t="s">
        <v>1622</v>
      </c>
      <c r="B1022" t="s">
        <v>566</v>
      </c>
      <c r="C1022" t="s">
        <v>920</v>
      </c>
      <c r="D1022" t="s">
        <v>920</v>
      </c>
      <c r="E1022" t="s">
        <v>1280</v>
      </c>
      <c r="F1022" t="s">
        <v>571</v>
      </c>
      <c r="G1022" s="204"/>
      <c r="H1022">
        <v>80</v>
      </c>
      <c r="I1022">
        <v>3775.2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7" x14ac:dyDescent="0.25">
      <c r="A1023" t="s">
        <v>1546</v>
      </c>
      <c r="B1023" t="s">
        <v>566</v>
      </c>
      <c r="C1023" t="s">
        <v>920</v>
      </c>
      <c r="D1023" t="s">
        <v>920</v>
      </c>
      <c r="E1023" t="s">
        <v>1783</v>
      </c>
      <c r="F1023" t="s">
        <v>571</v>
      </c>
      <c r="G1023" s="204"/>
      <c r="H1023">
        <v>55</v>
      </c>
      <c r="I1023">
        <v>2856.7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7" x14ac:dyDescent="0.25">
      <c r="A1024" t="s">
        <v>1546</v>
      </c>
      <c r="B1024" t="s">
        <v>566</v>
      </c>
      <c r="C1024" t="s">
        <v>920</v>
      </c>
      <c r="D1024" t="s">
        <v>920</v>
      </c>
      <c r="E1024" t="s">
        <v>1192</v>
      </c>
      <c r="F1024" t="s">
        <v>571</v>
      </c>
      <c r="G1024" s="204"/>
      <c r="J1024">
        <v>55</v>
      </c>
      <c r="K1024">
        <v>2299.5500000000002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7" x14ac:dyDescent="0.25">
      <c r="A1025" t="s">
        <v>945</v>
      </c>
      <c r="B1025" t="s">
        <v>1031</v>
      </c>
      <c r="C1025" t="s">
        <v>920</v>
      </c>
      <c r="D1025" t="s">
        <v>920</v>
      </c>
      <c r="E1025" t="s">
        <v>1316</v>
      </c>
      <c r="F1025" t="s">
        <v>571</v>
      </c>
      <c r="G1025" s="204"/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T1025">
        <v>0</v>
      </c>
      <c r="U1025">
        <v>0</v>
      </c>
      <c r="V1025">
        <v>100</v>
      </c>
      <c r="W1025">
        <v>4887</v>
      </c>
      <c r="X1025">
        <v>100</v>
      </c>
      <c r="Y1025">
        <v>100</v>
      </c>
      <c r="Z1025">
        <v>4887</v>
      </c>
      <c r="AA1025">
        <v>48.87</v>
      </c>
    </row>
    <row r="1026" spans="1:27" x14ac:dyDescent="0.25">
      <c r="A1026" t="s">
        <v>945</v>
      </c>
      <c r="B1026" t="s">
        <v>1031</v>
      </c>
      <c r="C1026" t="s">
        <v>920</v>
      </c>
      <c r="D1026" t="s">
        <v>920</v>
      </c>
      <c r="E1026" t="s">
        <v>1138</v>
      </c>
      <c r="F1026" t="s">
        <v>571</v>
      </c>
      <c r="G1026" s="204"/>
      <c r="H1026">
        <v>100</v>
      </c>
      <c r="I1026">
        <v>3514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7" x14ac:dyDescent="0.25">
      <c r="A1027" t="s">
        <v>127</v>
      </c>
      <c r="B1027" t="s">
        <v>1031</v>
      </c>
      <c r="C1027" t="s">
        <v>920</v>
      </c>
      <c r="D1027" t="s">
        <v>920</v>
      </c>
      <c r="E1027" t="s">
        <v>1488</v>
      </c>
      <c r="F1027" t="s">
        <v>571</v>
      </c>
      <c r="G1027" s="204"/>
      <c r="L1027">
        <v>104</v>
      </c>
      <c r="M1027">
        <v>2800.72</v>
      </c>
      <c r="N1027">
        <v>0</v>
      </c>
      <c r="O1027">
        <v>0</v>
      </c>
      <c r="P1027">
        <v>0</v>
      </c>
      <c r="Q1027">
        <v>104</v>
      </c>
      <c r="R1027">
        <v>2800.72</v>
      </c>
      <c r="S1027">
        <v>26.93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7" x14ac:dyDescent="0.25">
      <c r="A1028" t="s">
        <v>127</v>
      </c>
      <c r="B1028" t="s">
        <v>1031</v>
      </c>
      <c r="C1028" t="s">
        <v>920</v>
      </c>
      <c r="D1028" t="s">
        <v>920</v>
      </c>
      <c r="E1028" t="s">
        <v>1300</v>
      </c>
      <c r="F1028" t="s">
        <v>571</v>
      </c>
      <c r="G1028" s="204"/>
      <c r="L1028">
        <v>0</v>
      </c>
      <c r="M1028">
        <v>0</v>
      </c>
      <c r="N1028">
        <v>28</v>
      </c>
      <c r="O1028">
        <v>754.04</v>
      </c>
      <c r="P1028">
        <v>28</v>
      </c>
      <c r="Q1028">
        <v>28</v>
      </c>
      <c r="R1028">
        <v>754.04</v>
      </c>
      <c r="S1028">
        <v>26.93</v>
      </c>
      <c r="T1028">
        <v>0</v>
      </c>
      <c r="U1028">
        <v>0</v>
      </c>
      <c r="V1028">
        <v>84</v>
      </c>
      <c r="W1028">
        <v>2262.12</v>
      </c>
      <c r="X1028">
        <v>84</v>
      </c>
      <c r="Y1028">
        <v>84</v>
      </c>
    </row>
    <row r="1029" spans="1:27" x14ac:dyDescent="0.25">
      <c r="A1029" t="s">
        <v>129</v>
      </c>
      <c r="B1029" t="s">
        <v>566</v>
      </c>
      <c r="C1029" t="s">
        <v>920</v>
      </c>
      <c r="D1029" t="s">
        <v>920</v>
      </c>
      <c r="E1029" t="s">
        <v>1453</v>
      </c>
      <c r="F1029" t="s">
        <v>571</v>
      </c>
      <c r="G1029" s="204"/>
      <c r="L1029">
        <v>19</v>
      </c>
      <c r="M1029">
        <v>2052.9499999999998</v>
      </c>
      <c r="N1029">
        <v>0</v>
      </c>
      <c r="O1029">
        <v>0</v>
      </c>
      <c r="P1029">
        <v>0</v>
      </c>
      <c r="Q1029">
        <v>19</v>
      </c>
      <c r="R1029">
        <v>2052.9499999999998</v>
      </c>
      <c r="S1029">
        <v>108.05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7" x14ac:dyDescent="0.25">
      <c r="A1030" t="s">
        <v>129</v>
      </c>
      <c r="B1030" t="s">
        <v>566</v>
      </c>
      <c r="C1030" t="s">
        <v>920</v>
      </c>
      <c r="D1030" t="s">
        <v>920</v>
      </c>
      <c r="E1030" t="s">
        <v>1242</v>
      </c>
      <c r="F1030" t="s">
        <v>571</v>
      </c>
      <c r="G1030" s="204"/>
      <c r="L1030">
        <v>1250</v>
      </c>
      <c r="M1030">
        <v>31875</v>
      </c>
      <c r="N1030">
        <v>0</v>
      </c>
      <c r="O1030">
        <v>0</v>
      </c>
      <c r="P1030">
        <v>0</v>
      </c>
      <c r="Q1030">
        <v>1250</v>
      </c>
      <c r="R1030">
        <v>31875</v>
      </c>
      <c r="S1030">
        <v>25.5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7" x14ac:dyDescent="0.25">
      <c r="A1031" t="s">
        <v>129</v>
      </c>
      <c r="B1031" t="s">
        <v>566</v>
      </c>
      <c r="C1031" t="s">
        <v>920</v>
      </c>
      <c r="D1031" t="s">
        <v>920</v>
      </c>
      <c r="E1031" t="s">
        <v>1330</v>
      </c>
      <c r="F1031" t="s">
        <v>571</v>
      </c>
      <c r="G1031" s="204"/>
      <c r="J1031">
        <v>1000</v>
      </c>
      <c r="K1031">
        <v>19040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7" x14ac:dyDescent="0.25">
      <c r="A1032" t="s">
        <v>129</v>
      </c>
      <c r="B1032" t="s">
        <v>566</v>
      </c>
      <c r="C1032" t="s">
        <v>920</v>
      </c>
      <c r="D1032" t="s">
        <v>920</v>
      </c>
      <c r="E1032" t="s">
        <v>1315</v>
      </c>
      <c r="F1032" t="s">
        <v>571</v>
      </c>
      <c r="G1032" s="204"/>
      <c r="H1032">
        <v>100</v>
      </c>
      <c r="I1032">
        <v>2646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7" x14ac:dyDescent="0.25">
      <c r="A1033" t="s">
        <v>129</v>
      </c>
      <c r="B1033" t="s">
        <v>566</v>
      </c>
      <c r="C1033" t="s">
        <v>920</v>
      </c>
      <c r="D1033" t="s">
        <v>920</v>
      </c>
      <c r="E1033" t="s">
        <v>1449</v>
      </c>
      <c r="F1033" t="s">
        <v>571</v>
      </c>
      <c r="G1033" s="204"/>
      <c r="L1033">
        <v>4</v>
      </c>
      <c r="M1033">
        <v>432.2</v>
      </c>
      <c r="N1033">
        <v>0</v>
      </c>
      <c r="O1033">
        <v>0</v>
      </c>
      <c r="P1033">
        <v>0</v>
      </c>
      <c r="Q1033">
        <v>4</v>
      </c>
      <c r="R1033">
        <v>432.2</v>
      </c>
      <c r="S1033">
        <v>108.05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7" x14ac:dyDescent="0.25">
      <c r="A1034" t="s">
        <v>129</v>
      </c>
      <c r="B1034" t="s">
        <v>566</v>
      </c>
      <c r="C1034" t="s">
        <v>920</v>
      </c>
      <c r="D1034" t="s">
        <v>920</v>
      </c>
      <c r="E1034" t="s">
        <v>1782</v>
      </c>
      <c r="F1034" t="s">
        <v>571</v>
      </c>
      <c r="G1034" s="204"/>
      <c r="H1034">
        <v>25</v>
      </c>
      <c r="I1034">
        <v>888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7" x14ac:dyDescent="0.25">
      <c r="A1035" t="s">
        <v>129</v>
      </c>
      <c r="B1035" t="s">
        <v>566</v>
      </c>
      <c r="C1035" t="s">
        <v>920</v>
      </c>
      <c r="D1035" t="s">
        <v>920</v>
      </c>
      <c r="E1035" t="s">
        <v>1406</v>
      </c>
      <c r="F1035" t="s">
        <v>571</v>
      </c>
      <c r="G1035" s="204"/>
      <c r="J1035">
        <v>4</v>
      </c>
      <c r="K1035">
        <v>404.16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7" x14ac:dyDescent="0.25">
      <c r="A1036" t="s">
        <v>129</v>
      </c>
      <c r="B1036" t="s">
        <v>566</v>
      </c>
      <c r="C1036" t="s">
        <v>920</v>
      </c>
      <c r="D1036" t="s">
        <v>920</v>
      </c>
      <c r="E1036" t="s">
        <v>1431</v>
      </c>
      <c r="F1036" t="s">
        <v>571</v>
      </c>
      <c r="G1036" s="204"/>
      <c r="L1036">
        <v>8</v>
      </c>
      <c r="M1036">
        <v>935.68</v>
      </c>
      <c r="N1036">
        <v>0</v>
      </c>
      <c r="O1036">
        <v>0</v>
      </c>
      <c r="P1036">
        <v>0</v>
      </c>
      <c r="Q1036">
        <v>8</v>
      </c>
      <c r="R1036">
        <v>935.68</v>
      </c>
      <c r="S1036">
        <v>116.96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7" x14ac:dyDescent="0.25">
      <c r="A1037" t="s">
        <v>129</v>
      </c>
      <c r="B1037" t="s">
        <v>566</v>
      </c>
      <c r="C1037" t="s">
        <v>920</v>
      </c>
      <c r="D1037" t="s">
        <v>920</v>
      </c>
      <c r="E1037" t="s">
        <v>1394</v>
      </c>
      <c r="F1037" t="s">
        <v>571</v>
      </c>
      <c r="G1037" s="204"/>
      <c r="H1037">
        <v>8</v>
      </c>
      <c r="I1037">
        <v>741.6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7" x14ac:dyDescent="0.25">
      <c r="A1038" t="s">
        <v>129</v>
      </c>
      <c r="B1038" t="s">
        <v>566</v>
      </c>
      <c r="C1038" t="s">
        <v>920</v>
      </c>
      <c r="D1038" t="s">
        <v>920</v>
      </c>
      <c r="E1038" t="s">
        <v>1388</v>
      </c>
      <c r="F1038" t="s">
        <v>571</v>
      </c>
      <c r="G1038" s="204"/>
      <c r="L1038">
        <v>6</v>
      </c>
      <c r="M1038">
        <v>668.34</v>
      </c>
      <c r="N1038">
        <v>0</v>
      </c>
      <c r="O1038">
        <v>0</v>
      </c>
      <c r="P1038">
        <v>0</v>
      </c>
      <c r="Q1038">
        <v>6</v>
      </c>
      <c r="R1038">
        <v>668.34</v>
      </c>
      <c r="S1038">
        <v>111.39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7" x14ac:dyDescent="0.25">
      <c r="A1039" t="s">
        <v>129</v>
      </c>
      <c r="B1039" t="s">
        <v>566</v>
      </c>
      <c r="C1039" t="s">
        <v>920</v>
      </c>
      <c r="D1039" t="s">
        <v>920</v>
      </c>
      <c r="E1039" t="s">
        <v>1784</v>
      </c>
      <c r="F1039" t="s">
        <v>571</v>
      </c>
      <c r="G1039" s="204"/>
      <c r="H1039">
        <v>3</v>
      </c>
      <c r="I1039">
        <v>278.10000000000002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7" x14ac:dyDescent="0.25">
      <c r="A1040" t="s">
        <v>129</v>
      </c>
      <c r="B1040" t="s">
        <v>566</v>
      </c>
      <c r="C1040" t="s">
        <v>920</v>
      </c>
      <c r="D1040" t="s">
        <v>920</v>
      </c>
      <c r="E1040" t="s">
        <v>1266</v>
      </c>
      <c r="F1040" t="s">
        <v>571</v>
      </c>
      <c r="G1040" s="204"/>
      <c r="L1040">
        <v>500</v>
      </c>
      <c r="M1040">
        <v>9040</v>
      </c>
      <c r="N1040">
        <v>500</v>
      </c>
      <c r="O1040">
        <v>9040</v>
      </c>
      <c r="P1040">
        <v>500</v>
      </c>
      <c r="Q1040">
        <v>1000</v>
      </c>
      <c r="T1040">
        <v>0</v>
      </c>
      <c r="U1040">
        <v>0</v>
      </c>
      <c r="V1040">
        <v>500</v>
      </c>
      <c r="W1040">
        <v>9040</v>
      </c>
      <c r="X1040">
        <v>500</v>
      </c>
      <c r="Y1040">
        <v>500</v>
      </c>
      <c r="Z1040">
        <v>9040</v>
      </c>
      <c r="AA1040">
        <v>18.079999999999998</v>
      </c>
    </row>
    <row r="1041" spans="1:25" x14ac:dyDescent="0.25">
      <c r="A1041" t="s">
        <v>129</v>
      </c>
      <c r="B1041" t="s">
        <v>566</v>
      </c>
      <c r="C1041" t="s">
        <v>920</v>
      </c>
      <c r="D1041" t="s">
        <v>920</v>
      </c>
      <c r="E1041" t="s">
        <v>1365</v>
      </c>
      <c r="F1041" t="s">
        <v>571</v>
      </c>
      <c r="G1041" s="204"/>
      <c r="H1041">
        <v>10</v>
      </c>
      <c r="I1041">
        <v>463.5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129</v>
      </c>
      <c r="B1042" t="s">
        <v>566</v>
      </c>
      <c r="C1042" t="s">
        <v>920</v>
      </c>
      <c r="D1042" t="s">
        <v>920</v>
      </c>
      <c r="E1042" t="s">
        <v>1138</v>
      </c>
      <c r="F1042" t="s">
        <v>571</v>
      </c>
      <c r="G1042" s="204"/>
      <c r="H1042">
        <v>400</v>
      </c>
      <c r="I1042">
        <v>4792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129</v>
      </c>
      <c r="B1043" t="s">
        <v>566</v>
      </c>
      <c r="C1043" t="s">
        <v>920</v>
      </c>
      <c r="D1043" t="s">
        <v>920</v>
      </c>
      <c r="E1043" t="s">
        <v>1434</v>
      </c>
      <c r="F1043" t="s">
        <v>571</v>
      </c>
      <c r="G1043" s="204"/>
      <c r="H1043">
        <v>30</v>
      </c>
      <c r="I1043">
        <v>915.6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t="s">
        <v>129</v>
      </c>
      <c r="B1044" t="s">
        <v>566</v>
      </c>
      <c r="C1044" t="s">
        <v>920</v>
      </c>
      <c r="D1044" t="s">
        <v>920</v>
      </c>
      <c r="E1044" t="s">
        <v>1212</v>
      </c>
      <c r="F1044" t="s">
        <v>571</v>
      </c>
      <c r="G1044" s="204"/>
      <c r="H1044">
        <v>1000</v>
      </c>
      <c r="I1044">
        <v>16750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129</v>
      </c>
      <c r="B1045" t="s">
        <v>566</v>
      </c>
      <c r="C1045" t="s">
        <v>920</v>
      </c>
      <c r="D1045" t="s">
        <v>920</v>
      </c>
      <c r="E1045" t="s">
        <v>1216</v>
      </c>
      <c r="F1045" t="s">
        <v>571</v>
      </c>
      <c r="G1045" s="204"/>
      <c r="J1045">
        <v>170</v>
      </c>
      <c r="K1045">
        <v>3619.3</v>
      </c>
      <c r="L1045">
        <v>0</v>
      </c>
      <c r="M1045">
        <v>0</v>
      </c>
      <c r="N1045">
        <v>250</v>
      </c>
      <c r="O1045">
        <v>3970</v>
      </c>
      <c r="P1045">
        <v>250</v>
      </c>
      <c r="Q1045">
        <v>250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1623</v>
      </c>
      <c r="B1046" t="s">
        <v>1031</v>
      </c>
      <c r="C1046" t="s">
        <v>920</v>
      </c>
      <c r="D1046" t="s">
        <v>920</v>
      </c>
      <c r="E1046" t="s">
        <v>1400</v>
      </c>
      <c r="F1046" t="s">
        <v>571</v>
      </c>
      <c r="G1046" s="204"/>
      <c r="J1046">
        <v>500</v>
      </c>
      <c r="K1046">
        <v>75190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t="s">
        <v>544</v>
      </c>
      <c r="B1047" t="s">
        <v>567</v>
      </c>
      <c r="C1047" t="s">
        <v>555</v>
      </c>
      <c r="D1047" t="s">
        <v>666</v>
      </c>
      <c r="E1047" t="s">
        <v>1434</v>
      </c>
      <c r="F1047" t="s">
        <v>571</v>
      </c>
      <c r="G1047" s="204"/>
      <c r="L1047">
        <v>100</v>
      </c>
      <c r="M1047">
        <v>5361</v>
      </c>
      <c r="N1047">
        <v>0</v>
      </c>
      <c r="O1047">
        <v>0</v>
      </c>
      <c r="P1047">
        <v>0</v>
      </c>
      <c r="Q1047">
        <v>100</v>
      </c>
      <c r="R1047">
        <v>5361</v>
      </c>
      <c r="S1047">
        <v>53.61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1624</v>
      </c>
      <c r="B1048" t="s">
        <v>1031</v>
      </c>
      <c r="C1048" t="s">
        <v>920</v>
      </c>
      <c r="D1048" t="s">
        <v>920</v>
      </c>
      <c r="E1048" t="s">
        <v>1266</v>
      </c>
      <c r="F1048" t="s">
        <v>571</v>
      </c>
      <c r="G1048" s="204"/>
      <c r="J1048">
        <v>8</v>
      </c>
      <c r="K1048">
        <v>4212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t="s">
        <v>131</v>
      </c>
      <c r="B1049" t="s">
        <v>1031</v>
      </c>
      <c r="C1049" t="s">
        <v>920</v>
      </c>
      <c r="D1049" t="s">
        <v>920</v>
      </c>
      <c r="E1049" t="s">
        <v>1280</v>
      </c>
      <c r="F1049" t="s">
        <v>571</v>
      </c>
      <c r="G1049" s="204"/>
      <c r="L1049">
        <v>154</v>
      </c>
      <c r="M1049">
        <v>6737.5</v>
      </c>
      <c r="N1049">
        <v>0</v>
      </c>
      <c r="O1049">
        <v>0</v>
      </c>
      <c r="P1049">
        <v>0</v>
      </c>
      <c r="Q1049">
        <v>154</v>
      </c>
      <c r="R1049">
        <v>6737.5</v>
      </c>
      <c r="S1049">
        <v>43.75</v>
      </c>
      <c r="T1049">
        <v>0</v>
      </c>
      <c r="U1049">
        <v>0</v>
      </c>
      <c r="V1049">
        <v>1346</v>
      </c>
      <c r="W1049">
        <v>58887.5</v>
      </c>
      <c r="X1049">
        <v>1346</v>
      </c>
      <c r="Y1049">
        <v>1346</v>
      </c>
    </row>
    <row r="1050" spans="1:25" x14ac:dyDescent="0.25">
      <c r="A1050" t="s">
        <v>131</v>
      </c>
      <c r="B1050" t="s">
        <v>1031</v>
      </c>
      <c r="C1050" t="s">
        <v>920</v>
      </c>
      <c r="D1050" t="s">
        <v>920</v>
      </c>
      <c r="E1050" t="s">
        <v>1316</v>
      </c>
      <c r="F1050" t="s">
        <v>571</v>
      </c>
      <c r="G1050" s="204"/>
      <c r="H1050">
        <v>58</v>
      </c>
      <c r="I1050">
        <v>2727.16</v>
      </c>
      <c r="L1050">
        <v>100</v>
      </c>
      <c r="M1050">
        <v>4867</v>
      </c>
      <c r="N1050">
        <v>0</v>
      </c>
      <c r="O1050">
        <v>0</v>
      </c>
      <c r="P1050">
        <v>0</v>
      </c>
      <c r="Q1050">
        <v>100</v>
      </c>
      <c r="T1050">
        <v>0</v>
      </c>
      <c r="U1050">
        <v>0</v>
      </c>
      <c r="V1050">
        <v>100</v>
      </c>
      <c r="W1050">
        <v>4867</v>
      </c>
      <c r="X1050">
        <v>100</v>
      </c>
      <c r="Y1050">
        <v>100</v>
      </c>
    </row>
    <row r="1051" spans="1:25" x14ac:dyDescent="0.25">
      <c r="A1051" t="s">
        <v>131</v>
      </c>
      <c r="B1051" t="s">
        <v>1031</v>
      </c>
      <c r="C1051" t="s">
        <v>920</v>
      </c>
      <c r="D1051" t="s">
        <v>920</v>
      </c>
      <c r="E1051" t="s">
        <v>1138</v>
      </c>
      <c r="F1051" t="s">
        <v>571</v>
      </c>
      <c r="G1051" s="204"/>
      <c r="L1051">
        <v>112</v>
      </c>
      <c r="M1051">
        <v>4586.3999999999996</v>
      </c>
      <c r="N1051">
        <v>0</v>
      </c>
      <c r="O1051">
        <v>0</v>
      </c>
      <c r="P1051">
        <v>0</v>
      </c>
      <c r="Q1051">
        <v>112</v>
      </c>
      <c r="R1051">
        <v>4586.3999999999996</v>
      </c>
      <c r="S1051">
        <v>40.949999999999996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t="s">
        <v>133</v>
      </c>
      <c r="B1052" t="s">
        <v>1031</v>
      </c>
      <c r="C1052" t="s">
        <v>920</v>
      </c>
      <c r="D1052" t="s">
        <v>920</v>
      </c>
      <c r="E1052" t="s">
        <v>1266</v>
      </c>
      <c r="F1052" t="s">
        <v>571</v>
      </c>
      <c r="G1052" s="204"/>
      <c r="L1052">
        <v>250</v>
      </c>
      <c r="M1052">
        <v>8012.5</v>
      </c>
      <c r="N1052">
        <v>250</v>
      </c>
      <c r="O1052">
        <v>8012.5</v>
      </c>
      <c r="P1052">
        <v>250</v>
      </c>
      <c r="Q1052">
        <v>500</v>
      </c>
      <c r="R1052">
        <v>16025</v>
      </c>
      <c r="S1052">
        <v>32.049999999999997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135</v>
      </c>
      <c r="B1053" t="s">
        <v>566</v>
      </c>
      <c r="C1053" t="s">
        <v>920</v>
      </c>
      <c r="D1053" t="s">
        <v>920</v>
      </c>
      <c r="E1053" t="s">
        <v>1738</v>
      </c>
      <c r="F1053" t="s">
        <v>571</v>
      </c>
      <c r="G1053" s="204"/>
      <c r="H1053">
        <v>50</v>
      </c>
      <c r="I1053">
        <v>5781.5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t="s">
        <v>135</v>
      </c>
      <c r="B1054" t="s">
        <v>566</v>
      </c>
      <c r="C1054" t="s">
        <v>920</v>
      </c>
      <c r="D1054" t="s">
        <v>920</v>
      </c>
      <c r="E1054" t="s">
        <v>1330</v>
      </c>
      <c r="F1054" t="s">
        <v>571</v>
      </c>
      <c r="G1054" s="204"/>
      <c r="J1054">
        <v>800</v>
      </c>
      <c r="K1054">
        <v>20888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t="s">
        <v>135</v>
      </c>
      <c r="B1055" t="s">
        <v>566</v>
      </c>
      <c r="C1055" t="s">
        <v>920</v>
      </c>
      <c r="D1055" t="s">
        <v>920</v>
      </c>
      <c r="E1055" t="s">
        <v>1314</v>
      </c>
      <c r="F1055" t="s">
        <v>571</v>
      </c>
      <c r="G1055" s="204"/>
      <c r="H1055">
        <v>120</v>
      </c>
      <c r="K1055">
        <v>3758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t="s">
        <v>135</v>
      </c>
      <c r="B1056" t="s">
        <v>566</v>
      </c>
      <c r="C1056" t="s">
        <v>920</v>
      </c>
      <c r="D1056" t="s">
        <v>920</v>
      </c>
      <c r="E1056" t="s">
        <v>1449</v>
      </c>
      <c r="F1056" t="s">
        <v>571</v>
      </c>
      <c r="G1056" s="204"/>
      <c r="L1056">
        <v>12</v>
      </c>
      <c r="M1056">
        <v>1540.44</v>
      </c>
      <c r="N1056">
        <v>0</v>
      </c>
      <c r="O1056">
        <v>0</v>
      </c>
      <c r="P1056">
        <v>0</v>
      </c>
      <c r="Q1056">
        <v>12</v>
      </c>
      <c r="R1056">
        <v>1540.44</v>
      </c>
      <c r="S1056">
        <v>128.37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7" x14ac:dyDescent="0.25">
      <c r="A1057" t="s">
        <v>135</v>
      </c>
      <c r="B1057" t="s">
        <v>566</v>
      </c>
      <c r="C1057" t="s">
        <v>920</v>
      </c>
      <c r="D1057" t="s">
        <v>920</v>
      </c>
      <c r="E1057" t="s">
        <v>1316</v>
      </c>
      <c r="F1057" t="s">
        <v>571</v>
      </c>
      <c r="G1057" s="204"/>
      <c r="H1057">
        <v>200</v>
      </c>
      <c r="I1057">
        <v>5382</v>
      </c>
      <c r="L1057">
        <v>200</v>
      </c>
      <c r="M1057">
        <v>5570</v>
      </c>
      <c r="N1057">
        <v>200</v>
      </c>
      <c r="O1057">
        <v>5570</v>
      </c>
      <c r="P1057">
        <v>200</v>
      </c>
      <c r="Q1057">
        <v>400</v>
      </c>
      <c r="T1057">
        <v>0</v>
      </c>
      <c r="U1057">
        <v>0</v>
      </c>
      <c r="V1057">
        <v>200</v>
      </c>
      <c r="W1057">
        <v>5570</v>
      </c>
      <c r="X1057">
        <v>200</v>
      </c>
      <c r="Y1057">
        <v>200</v>
      </c>
      <c r="Z1057">
        <v>5570</v>
      </c>
      <c r="AA1057">
        <v>27.85</v>
      </c>
    </row>
    <row r="1058" spans="1:27" x14ac:dyDescent="0.25">
      <c r="A1058" t="s">
        <v>135</v>
      </c>
      <c r="B1058" t="s">
        <v>566</v>
      </c>
      <c r="C1058" t="s">
        <v>920</v>
      </c>
      <c r="D1058" t="s">
        <v>920</v>
      </c>
      <c r="E1058" t="s">
        <v>1782</v>
      </c>
      <c r="F1058" t="s">
        <v>571</v>
      </c>
      <c r="G1058" s="204"/>
      <c r="H1058">
        <v>37</v>
      </c>
      <c r="I1058">
        <v>1850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7" x14ac:dyDescent="0.25">
      <c r="A1059" t="s">
        <v>135</v>
      </c>
      <c r="B1059" t="s">
        <v>566</v>
      </c>
      <c r="C1059" t="s">
        <v>920</v>
      </c>
      <c r="D1059" t="s">
        <v>920</v>
      </c>
      <c r="E1059" t="s">
        <v>1349</v>
      </c>
      <c r="F1059" t="s">
        <v>571</v>
      </c>
      <c r="G1059" s="204"/>
      <c r="H1059">
        <v>4</v>
      </c>
      <c r="I1059">
        <v>462.52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7" x14ac:dyDescent="0.25">
      <c r="A1060" t="s">
        <v>135</v>
      </c>
      <c r="B1060" t="s">
        <v>566</v>
      </c>
      <c r="C1060" t="s">
        <v>920</v>
      </c>
      <c r="D1060" t="s">
        <v>920</v>
      </c>
      <c r="E1060" t="s">
        <v>1266</v>
      </c>
      <c r="F1060" t="s">
        <v>571</v>
      </c>
      <c r="G1060" s="204"/>
      <c r="J1060">
        <v>350</v>
      </c>
      <c r="K1060">
        <v>9138.5</v>
      </c>
      <c r="L1060">
        <v>616</v>
      </c>
      <c r="M1060">
        <v>16638.16</v>
      </c>
      <c r="N1060">
        <v>0</v>
      </c>
      <c r="O1060">
        <v>0</v>
      </c>
      <c r="P1060">
        <v>0</v>
      </c>
      <c r="Q1060">
        <v>616</v>
      </c>
      <c r="T1060">
        <v>0</v>
      </c>
      <c r="U1060">
        <v>0</v>
      </c>
      <c r="V1060">
        <v>500</v>
      </c>
      <c r="W1060">
        <v>13505</v>
      </c>
      <c r="X1060">
        <v>500</v>
      </c>
      <c r="Y1060">
        <v>500</v>
      </c>
    </row>
    <row r="1061" spans="1:27" x14ac:dyDescent="0.25">
      <c r="A1061" t="s">
        <v>135</v>
      </c>
      <c r="B1061" t="s">
        <v>566</v>
      </c>
      <c r="C1061" t="s">
        <v>920</v>
      </c>
      <c r="D1061" t="s">
        <v>920</v>
      </c>
      <c r="E1061" t="s">
        <v>1255</v>
      </c>
      <c r="F1061" t="s">
        <v>571</v>
      </c>
      <c r="G1061" s="204"/>
      <c r="J1061">
        <v>76</v>
      </c>
      <c r="K1061">
        <v>3475.48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7" x14ac:dyDescent="0.25">
      <c r="A1062" t="s">
        <v>135</v>
      </c>
      <c r="B1062" t="s">
        <v>566</v>
      </c>
      <c r="C1062" t="s">
        <v>920</v>
      </c>
      <c r="D1062" t="s">
        <v>920</v>
      </c>
      <c r="E1062" t="s">
        <v>1138</v>
      </c>
      <c r="F1062" t="s">
        <v>571</v>
      </c>
      <c r="G1062" s="204"/>
      <c r="L1062">
        <v>3050</v>
      </c>
      <c r="M1062">
        <v>53471</v>
      </c>
      <c r="N1062">
        <v>400</v>
      </c>
      <c r="O1062">
        <v>8184</v>
      </c>
      <c r="P1062">
        <v>400</v>
      </c>
      <c r="Q1062">
        <v>3450</v>
      </c>
      <c r="T1062">
        <v>0</v>
      </c>
      <c r="U1062">
        <v>0</v>
      </c>
      <c r="V1062">
        <v>300</v>
      </c>
      <c r="W1062">
        <v>6138</v>
      </c>
      <c r="X1062">
        <v>300</v>
      </c>
      <c r="Y1062">
        <v>300</v>
      </c>
      <c r="Z1062">
        <v>6138</v>
      </c>
      <c r="AA1062">
        <v>20.46</v>
      </c>
    </row>
    <row r="1063" spans="1:27" x14ac:dyDescent="0.25">
      <c r="A1063" t="s">
        <v>135</v>
      </c>
      <c r="B1063" t="s">
        <v>566</v>
      </c>
      <c r="C1063" t="s">
        <v>920</v>
      </c>
      <c r="D1063" t="s">
        <v>920</v>
      </c>
      <c r="E1063" t="s">
        <v>1212</v>
      </c>
      <c r="F1063" t="s">
        <v>571</v>
      </c>
      <c r="G1063" s="204"/>
      <c r="J1063">
        <v>1000</v>
      </c>
      <c r="K1063">
        <v>25800</v>
      </c>
      <c r="L1063">
        <v>2500</v>
      </c>
      <c r="M1063">
        <v>65835</v>
      </c>
      <c r="N1063">
        <v>1000</v>
      </c>
      <c r="O1063">
        <v>26690</v>
      </c>
      <c r="P1063">
        <v>1000</v>
      </c>
      <c r="Q1063">
        <v>3500</v>
      </c>
      <c r="T1063">
        <v>0</v>
      </c>
      <c r="U1063">
        <v>0</v>
      </c>
      <c r="V1063">
        <v>1000</v>
      </c>
      <c r="W1063">
        <v>26690</v>
      </c>
      <c r="X1063">
        <v>1000</v>
      </c>
      <c r="Y1063">
        <v>1000</v>
      </c>
      <c r="Z1063">
        <v>26690</v>
      </c>
      <c r="AA1063">
        <v>26.69</v>
      </c>
    </row>
    <row r="1064" spans="1:27" x14ac:dyDescent="0.25">
      <c r="A1064" t="s">
        <v>135</v>
      </c>
      <c r="B1064" t="s">
        <v>566</v>
      </c>
      <c r="C1064" t="s">
        <v>920</v>
      </c>
      <c r="D1064" t="s">
        <v>920</v>
      </c>
      <c r="E1064" t="s">
        <v>1216</v>
      </c>
      <c r="F1064" t="s">
        <v>571</v>
      </c>
      <c r="G1064" s="204"/>
      <c r="H1064">
        <v>158</v>
      </c>
      <c r="I1064">
        <v>4123.8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7" x14ac:dyDescent="0.25">
      <c r="A1065" t="s">
        <v>529</v>
      </c>
      <c r="B1065" t="s">
        <v>567</v>
      </c>
      <c r="C1065" t="s">
        <v>555</v>
      </c>
      <c r="D1065" t="s">
        <v>624</v>
      </c>
      <c r="E1065" t="s">
        <v>1269</v>
      </c>
      <c r="F1065" t="s">
        <v>571</v>
      </c>
      <c r="G1065" s="204"/>
      <c r="J1065">
        <v>64</v>
      </c>
      <c r="K1065">
        <v>18675.2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7" x14ac:dyDescent="0.25">
      <c r="A1066" t="s">
        <v>529</v>
      </c>
      <c r="B1066" t="s">
        <v>567</v>
      </c>
      <c r="C1066" t="s">
        <v>555</v>
      </c>
      <c r="D1066" t="s">
        <v>624</v>
      </c>
      <c r="E1066" t="s">
        <v>1266</v>
      </c>
      <c r="F1066" t="s">
        <v>571</v>
      </c>
      <c r="G1066" s="204"/>
      <c r="L1066">
        <v>56</v>
      </c>
      <c r="M1066">
        <v>16340.8</v>
      </c>
      <c r="N1066">
        <v>0</v>
      </c>
      <c r="O1066">
        <v>0</v>
      </c>
      <c r="P1066">
        <v>0</v>
      </c>
      <c r="Q1066">
        <v>56</v>
      </c>
      <c r="R1066">
        <v>16340.8</v>
      </c>
      <c r="S1066">
        <v>291.8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7" x14ac:dyDescent="0.25">
      <c r="A1067" t="s">
        <v>1261</v>
      </c>
      <c r="B1067" t="s">
        <v>554</v>
      </c>
      <c r="C1067" t="s">
        <v>555</v>
      </c>
      <c r="D1067" t="s">
        <v>666</v>
      </c>
      <c r="E1067" t="s">
        <v>1258</v>
      </c>
      <c r="F1067" t="s">
        <v>571</v>
      </c>
      <c r="G1067" s="204"/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T1067">
        <v>0</v>
      </c>
      <c r="U1067">
        <v>0</v>
      </c>
      <c r="V1067">
        <v>250</v>
      </c>
      <c r="W1067">
        <v>17852.5</v>
      </c>
      <c r="X1067">
        <v>250</v>
      </c>
      <c r="Y1067">
        <v>250</v>
      </c>
      <c r="Z1067">
        <v>17852.5</v>
      </c>
      <c r="AA1067">
        <v>71.41</v>
      </c>
    </row>
    <row r="1068" spans="1:27" x14ac:dyDescent="0.25">
      <c r="A1068" t="s">
        <v>869</v>
      </c>
      <c r="B1068" t="s">
        <v>562</v>
      </c>
      <c r="C1068" t="s">
        <v>1860</v>
      </c>
      <c r="D1068" t="s">
        <v>611</v>
      </c>
      <c r="E1068" t="s">
        <v>1392</v>
      </c>
      <c r="F1068" t="s">
        <v>571</v>
      </c>
      <c r="G1068" s="204"/>
      <c r="L1068">
        <v>33</v>
      </c>
      <c r="M1068">
        <v>151800</v>
      </c>
      <c r="N1068">
        <v>0</v>
      </c>
      <c r="O1068">
        <v>0</v>
      </c>
      <c r="P1068">
        <v>0</v>
      </c>
      <c r="Q1068">
        <v>33</v>
      </c>
      <c r="R1068">
        <v>151800</v>
      </c>
      <c r="S1068">
        <v>4600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7" x14ac:dyDescent="0.25">
      <c r="A1069" t="s">
        <v>1625</v>
      </c>
      <c r="B1069" t="s">
        <v>562</v>
      </c>
      <c r="C1069" t="s">
        <v>1860</v>
      </c>
      <c r="D1069" t="s">
        <v>1879</v>
      </c>
      <c r="E1069" t="s">
        <v>1266</v>
      </c>
      <c r="F1069" t="s">
        <v>571</v>
      </c>
      <c r="G1069" s="204"/>
      <c r="H1069">
        <v>50</v>
      </c>
      <c r="I1069">
        <v>58500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7" x14ac:dyDescent="0.25">
      <c r="A1070" t="s">
        <v>899</v>
      </c>
      <c r="B1070" t="s">
        <v>567</v>
      </c>
      <c r="C1070" t="s">
        <v>920</v>
      </c>
      <c r="D1070" t="s">
        <v>920</v>
      </c>
      <c r="E1070" t="s">
        <v>1241</v>
      </c>
      <c r="F1070" t="s">
        <v>571</v>
      </c>
      <c r="G1070" s="204"/>
      <c r="H1070">
        <v>68</v>
      </c>
      <c r="I1070">
        <v>4528.7999999999993</v>
      </c>
      <c r="L1070">
        <v>0</v>
      </c>
      <c r="M1070">
        <v>0</v>
      </c>
      <c r="N1070">
        <v>200</v>
      </c>
      <c r="O1070">
        <v>13242</v>
      </c>
      <c r="P1070">
        <v>200</v>
      </c>
      <c r="Q1070">
        <v>200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7" x14ac:dyDescent="0.25">
      <c r="A1071" t="s">
        <v>137</v>
      </c>
      <c r="B1071" t="s">
        <v>566</v>
      </c>
      <c r="C1071" t="s">
        <v>920</v>
      </c>
      <c r="D1071" t="s">
        <v>920</v>
      </c>
      <c r="E1071" t="s">
        <v>1280</v>
      </c>
      <c r="F1071" t="s">
        <v>571</v>
      </c>
      <c r="G1071" s="204"/>
      <c r="H1071">
        <v>1000</v>
      </c>
      <c r="I1071">
        <v>29370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7" x14ac:dyDescent="0.25">
      <c r="A1072" t="s">
        <v>137</v>
      </c>
      <c r="B1072" t="s">
        <v>566</v>
      </c>
      <c r="C1072" t="s">
        <v>920</v>
      </c>
      <c r="D1072" t="s">
        <v>920</v>
      </c>
      <c r="E1072" t="s">
        <v>1332</v>
      </c>
      <c r="F1072" t="s">
        <v>571</v>
      </c>
      <c r="G1072" s="204"/>
      <c r="J1072">
        <v>2</v>
      </c>
      <c r="K1072">
        <v>298.44</v>
      </c>
      <c r="L1072">
        <v>4</v>
      </c>
      <c r="M1072">
        <v>658.04</v>
      </c>
      <c r="N1072">
        <v>0</v>
      </c>
      <c r="O1072">
        <v>0</v>
      </c>
      <c r="P1072">
        <v>0</v>
      </c>
      <c r="Q1072">
        <v>4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7" x14ac:dyDescent="0.25">
      <c r="A1073" t="s">
        <v>137</v>
      </c>
      <c r="B1073" t="s">
        <v>566</v>
      </c>
      <c r="C1073" t="s">
        <v>920</v>
      </c>
      <c r="D1073" t="s">
        <v>920</v>
      </c>
      <c r="E1073" t="s">
        <v>1400</v>
      </c>
      <c r="F1073" t="s">
        <v>571</v>
      </c>
      <c r="G1073" s="204"/>
      <c r="H1073">
        <v>100</v>
      </c>
      <c r="I1073">
        <v>4665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7" x14ac:dyDescent="0.25">
      <c r="A1074" t="s">
        <v>137</v>
      </c>
      <c r="B1074" t="s">
        <v>566</v>
      </c>
      <c r="C1074" t="s">
        <v>920</v>
      </c>
      <c r="D1074" t="s">
        <v>920</v>
      </c>
      <c r="E1074" t="s">
        <v>1330</v>
      </c>
      <c r="F1074" t="s">
        <v>571</v>
      </c>
      <c r="G1074" s="204"/>
      <c r="H1074">
        <v>250</v>
      </c>
      <c r="I1074">
        <v>7272.5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7" x14ac:dyDescent="0.25">
      <c r="A1075" t="s">
        <v>137</v>
      </c>
      <c r="B1075" t="s">
        <v>566</v>
      </c>
      <c r="C1075" t="s">
        <v>920</v>
      </c>
      <c r="D1075" t="s">
        <v>920</v>
      </c>
      <c r="E1075" t="s">
        <v>1315</v>
      </c>
      <c r="F1075" t="s">
        <v>571</v>
      </c>
      <c r="G1075" s="204"/>
      <c r="H1075">
        <v>20</v>
      </c>
      <c r="I1075">
        <v>1527.2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7" x14ac:dyDescent="0.25">
      <c r="A1076" t="s">
        <v>137</v>
      </c>
      <c r="B1076" t="s">
        <v>566</v>
      </c>
      <c r="C1076" t="s">
        <v>920</v>
      </c>
      <c r="D1076" t="s">
        <v>920</v>
      </c>
      <c r="E1076" t="s">
        <v>1772</v>
      </c>
      <c r="F1076" t="s">
        <v>571</v>
      </c>
      <c r="G1076" s="204"/>
      <c r="J1076">
        <v>10</v>
      </c>
      <c r="K1076">
        <v>1478.1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7" x14ac:dyDescent="0.25">
      <c r="A1077" t="s">
        <v>137</v>
      </c>
      <c r="B1077" t="s">
        <v>566</v>
      </c>
      <c r="C1077" t="s">
        <v>920</v>
      </c>
      <c r="D1077" t="s">
        <v>920</v>
      </c>
      <c r="E1077" t="s">
        <v>1394</v>
      </c>
      <c r="F1077" t="s">
        <v>571</v>
      </c>
      <c r="G1077" s="204"/>
      <c r="H1077">
        <v>5</v>
      </c>
      <c r="I1077">
        <v>645.75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7" x14ac:dyDescent="0.25">
      <c r="A1078" t="s">
        <v>137</v>
      </c>
      <c r="B1078" t="s">
        <v>566</v>
      </c>
      <c r="C1078" t="s">
        <v>920</v>
      </c>
      <c r="D1078" t="s">
        <v>920</v>
      </c>
      <c r="E1078" t="s">
        <v>1424</v>
      </c>
      <c r="F1078" t="s">
        <v>571</v>
      </c>
      <c r="G1078" s="204"/>
      <c r="H1078">
        <v>6</v>
      </c>
      <c r="I1078">
        <v>844.62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7" x14ac:dyDescent="0.25">
      <c r="A1079" t="s">
        <v>137</v>
      </c>
      <c r="B1079" t="s">
        <v>566</v>
      </c>
      <c r="C1079" t="s">
        <v>920</v>
      </c>
      <c r="D1079" t="s">
        <v>920</v>
      </c>
      <c r="E1079" t="s">
        <v>1388</v>
      </c>
      <c r="F1079" t="s">
        <v>571</v>
      </c>
      <c r="G1079" s="204"/>
      <c r="L1079">
        <v>6</v>
      </c>
      <c r="M1079">
        <v>931.2</v>
      </c>
      <c r="N1079">
        <v>0</v>
      </c>
      <c r="O1079">
        <v>0</v>
      </c>
      <c r="P1079">
        <v>0</v>
      </c>
      <c r="Q1079">
        <v>6</v>
      </c>
      <c r="R1079">
        <v>931.2</v>
      </c>
      <c r="S1079">
        <v>155.20000000000002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7" x14ac:dyDescent="0.25">
      <c r="A1080" t="s">
        <v>137</v>
      </c>
      <c r="B1080" t="s">
        <v>566</v>
      </c>
      <c r="C1080" t="s">
        <v>920</v>
      </c>
      <c r="D1080" t="s">
        <v>920</v>
      </c>
      <c r="E1080" t="s">
        <v>1364</v>
      </c>
      <c r="F1080" t="s">
        <v>571</v>
      </c>
      <c r="G1080" s="204"/>
      <c r="H1080">
        <v>12</v>
      </c>
      <c r="I1080">
        <v>1689.24</v>
      </c>
      <c r="L1080">
        <v>24</v>
      </c>
      <c r="M1080">
        <v>3547.44</v>
      </c>
      <c r="N1080">
        <v>0</v>
      </c>
      <c r="O1080">
        <v>0</v>
      </c>
      <c r="P1080">
        <v>0</v>
      </c>
      <c r="Q1080">
        <v>24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7" x14ac:dyDescent="0.25">
      <c r="A1081" t="s">
        <v>137</v>
      </c>
      <c r="B1081" t="s">
        <v>566</v>
      </c>
      <c r="C1081" t="s">
        <v>920</v>
      </c>
      <c r="D1081" t="s">
        <v>920</v>
      </c>
      <c r="E1081" t="s">
        <v>1785</v>
      </c>
      <c r="F1081" t="s">
        <v>571</v>
      </c>
      <c r="G1081" s="204"/>
      <c r="J1081">
        <v>25</v>
      </c>
      <c r="K1081">
        <v>3695.25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7" x14ac:dyDescent="0.25">
      <c r="A1082" t="s">
        <v>137</v>
      </c>
      <c r="B1082" t="s">
        <v>566</v>
      </c>
      <c r="C1082" t="s">
        <v>920</v>
      </c>
      <c r="D1082" t="s">
        <v>920</v>
      </c>
      <c r="E1082" t="s">
        <v>1492</v>
      </c>
      <c r="F1082" t="s">
        <v>571</v>
      </c>
      <c r="G1082" s="204"/>
      <c r="L1082">
        <v>4</v>
      </c>
      <c r="M1082">
        <v>620.79999999999995</v>
      </c>
      <c r="N1082">
        <v>0</v>
      </c>
      <c r="O1082">
        <v>0</v>
      </c>
      <c r="P1082">
        <v>0</v>
      </c>
      <c r="Q1082">
        <v>4</v>
      </c>
      <c r="R1082">
        <v>620.79999999999995</v>
      </c>
      <c r="S1082">
        <v>155.19999999999999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7" x14ac:dyDescent="0.25">
      <c r="A1083" t="s">
        <v>137</v>
      </c>
      <c r="B1083" t="s">
        <v>566</v>
      </c>
      <c r="C1083" t="s">
        <v>920</v>
      </c>
      <c r="D1083" t="s">
        <v>920</v>
      </c>
      <c r="E1083" t="s">
        <v>1266</v>
      </c>
      <c r="F1083" t="s">
        <v>571</v>
      </c>
      <c r="G1083" s="204"/>
      <c r="L1083">
        <v>500</v>
      </c>
      <c r="M1083">
        <v>17050</v>
      </c>
      <c r="N1083">
        <v>750</v>
      </c>
      <c r="O1083">
        <v>25575</v>
      </c>
      <c r="P1083">
        <v>750</v>
      </c>
      <c r="Q1083">
        <v>1250</v>
      </c>
      <c r="T1083">
        <v>0</v>
      </c>
      <c r="U1083">
        <v>0</v>
      </c>
      <c r="V1083">
        <v>400</v>
      </c>
      <c r="W1083">
        <v>13640</v>
      </c>
      <c r="X1083">
        <v>400</v>
      </c>
      <c r="Y1083">
        <v>400</v>
      </c>
      <c r="Z1083">
        <v>13640</v>
      </c>
      <c r="AA1083">
        <v>34.1</v>
      </c>
    </row>
    <row r="1084" spans="1:27" x14ac:dyDescent="0.25">
      <c r="A1084" t="s">
        <v>137</v>
      </c>
      <c r="B1084" t="s">
        <v>566</v>
      </c>
      <c r="C1084" t="s">
        <v>920</v>
      </c>
      <c r="D1084" t="s">
        <v>920</v>
      </c>
      <c r="E1084" t="s">
        <v>1786</v>
      </c>
      <c r="F1084" t="s">
        <v>571</v>
      </c>
      <c r="G1084" s="204"/>
      <c r="J1084">
        <v>100</v>
      </c>
      <c r="K1084">
        <v>3694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7" x14ac:dyDescent="0.25">
      <c r="A1085" t="s">
        <v>137</v>
      </c>
      <c r="B1085" t="s">
        <v>566</v>
      </c>
      <c r="C1085" t="s">
        <v>920</v>
      </c>
      <c r="D1085" t="s">
        <v>920</v>
      </c>
      <c r="E1085" t="s">
        <v>1434</v>
      </c>
      <c r="F1085" t="s">
        <v>571</v>
      </c>
      <c r="G1085" s="204"/>
      <c r="L1085">
        <v>100</v>
      </c>
      <c r="M1085">
        <v>3977</v>
      </c>
      <c r="N1085">
        <v>0</v>
      </c>
      <c r="O1085">
        <v>0</v>
      </c>
      <c r="P1085">
        <v>0</v>
      </c>
      <c r="Q1085">
        <v>100</v>
      </c>
      <c r="R1085">
        <v>3977</v>
      </c>
      <c r="S1085">
        <v>39.770000000000003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7" x14ac:dyDescent="0.25">
      <c r="A1086" t="s">
        <v>137</v>
      </c>
      <c r="B1086" t="s">
        <v>566</v>
      </c>
      <c r="C1086" t="s">
        <v>920</v>
      </c>
      <c r="D1086" t="s">
        <v>920</v>
      </c>
      <c r="E1086" t="s">
        <v>1212</v>
      </c>
      <c r="F1086" t="s">
        <v>571</v>
      </c>
      <c r="G1086" s="204"/>
      <c r="H1086">
        <v>500</v>
      </c>
      <c r="I1086">
        <v>13910</v>
      </c>
      <c r="L1086">
        <v>500</v>
      </c>
      <c r="M1086">
        <v>16275</v>
      </c>
      <c r="N1086">
        <v>0</v>
      </c>
      <c r="O1086">
        <v>0</v>
      </c>
      <c r="P1086">
        <v>0</v>
      </c>
      <c r="Q1086">
        <v>500</v>
      </c>
      <c r="R1086">
        <v>16275</v>
      </c>
      <c r="S1086">
        <v>32.549999999999997</v>
      </c>
      <c r="T1086">
        <v>0</v>
      </c>
      <c r="U1086">
        <v>0</v>
      </c>
      <c r="V1086">
        <v>2000</v>
      </c>
      <c r="W1086">
        <v>67340</v>
      </c>
      <c r="X1086">
        <v>2000</v>
      </c>
      <c r="Y1086">
        <v>2000</v>
      </c>
    </row>
    <row r="1087" spans="1:27" x14ac:dyDescent="0.25">
      <c r="A1087" t="s">
        <v>137</v>
      </c>
      <c r="B1087" t="s">
        <v>566</v>
      </c>
      <c r="C1087" t="s">
        <v>920</v>
      </c>
      <c r="D1087" t="s">
        <v>920</v>
      </c>
      <c r="E1087" t="s">
        <v>1216</v>
      </c>
      <c r="F1087" t="s">
        <v>571</v>
      </c>
      <c r="G1087" s="204"/>
      <c r="J1087">
        <v>418</v>
      </c>
      <c r="K1087">
        <v>13042.24</v>
      </c>
      <c r="L1087">
        <v>500</v>
      </c>
      <c r="M1087">
        <v>13320</v>
      </c>
      <c r="N1087">
        <v>0</v>
      </c>
      <c r="O1087">
        <v>0</v>
      </c>
      <c r="P1087">
        <v>0</v>
      </c>
      <c r="Q1087">
        <v>500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7" x14ac:dyDescent="0.25">
      <c r="A1088" t="s">
        <v>1626</v>
      </c>
      <c r="B1088" t="s">
        <v>1031</v>
      </c>
      <c r="C1088" t="s">
        <v>920</v>
      </c>
      <c r="D1088" t="s">
        <v>920</v>
      </c>
      <c r="E1088" t="s">
        <v>1404</v>
      </c>
      <c r="F1088" t="s">
        <v>571</v>
      </c>
      <c r="G1088" s="204"/>
      <c r="H1088">
        <v>390</v>
      </c>
      <c r="I1088">
        <v>87750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7" x14ac:dyDescent="0.25">
      <c r="A1089" t="s">
        <v>1626</v>
      </c>
      <c r="B1089" t="s">
        <v>1031</v>
      </c>
      <c r="C1089" t="s">
        <v>920</v>
      </c>
      <c r="D1089" t="s">
        <v>920</v>
      </c>
      <c r="E1089" t="s">
        <v>1400</v>
      </c>
      <c r="F1089" t="s">
        <v>571</v>
      </c>
      <c r="G1089" s="204"/>
      <c r="H1089">
        <v>500</v>
      </c>
      <c r="I1089">
        <v>126465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7" x14ac:dyDescent="0.25">
      <c r="A1090" t="s">
        <v>1626</v>
      </c>
      <c r="B1090" t="s">
        <v>1031</v>
      </c>
      <c r="C1090" t="s">
        <v>920</v>
      </c>
      <c r="D1090" t="s">
        <v>920</v>
      </c>
      <c r="E1090" t="s">
        <v>1269</v>
      </c>
      <c r="F1090" t="s">
        <v>571</v>
      </c>
      <c r="G1090" s="204"/>
      <c r="H1090">
        <v>20</v>
      </c>
      <c r="I1090">
        <v>5058.6000000000004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7" x14ac:dyDescent="0.25">
      <c r="A1091" t="s">
        <v>890</v>
      </c>
      <c r="C1091" t="s">
        <v>555</v>
      </c>
      <c r="D1091" t="s">
        <v>583</v>
      </c>
      <c r="E1091" t="s">
        <v>1258</v>
      </c>
      <c r="F1091" t="s">
        <v>571</v>
      </c>
      <c r="G1091" s="204"/>
      <c r="L1091">
        <v>0</v>
      </c>
      <c r="M1091">
        <v>0</v>
      </c>
      <c r="N1091">
        <v>250</v>
      </c>
      <c r="O1091">
        <v>22347.5</v>
      </c>
      <c r="P1091">
        <v>250</v>
      </c>
      <c r="Q1091">
        <v>250</v>
      </c>
      <c r="R1091">
        <v>22347.5</v>
      </c>
      <c r="S1091">
        <v>89.39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7" x14ac:dyDescent="0.25">
      <c r="A1092" t="s">
        <v>1627</v>
      </c>
      <c r="B1092" t="s">
        <v>562</v>
      </c>
      <c r="C1092" t="s">
        <v>1860</v>
      </c>
      <c r="D1092" t="s">
        <v>1880</v>
      </c>
      <c r="E1092" t="s">
        <v>1330</v>
      </c>
      <c r="F1092" t="s">
        <v>571</v>
      </c>
      <c r="G1092" s="204"/>
      <c r="J1092">
        <v>10</v>
      </c>
      <c r="K1092">
        <v>6469.2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7" x14ac:dyDescent="0.25">
      <c r="A1093" t="s">
        <v>1530</v>
      </c>
      <c r="B1093" t="s">
        <v>1031</v>
      </c>
      <c r="C1093" t="s">
        <v>920</v>
      </c>
      <c r="D1093" t="s">
        <v>920</v>
      </c>
      <c r="E1093" t="s">
        <v>1787</v>
      </c>
      <c r="F1093" t="s">
        <v>571</v>
      </c>
      <c r="G1093" s="204"/>
      <c r="H1093">
        <v>500</v>
      </c>
      <c r="I1093">
        <v>21075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7" x14ac:dyDescent="0.25">
      <c r="A1094" t="s">
        <v>139</v>
      </c>
      <c r="B1094" t="s">
        <v>567</v>
      </c>
      <c r="C1094" t="s">
        <v>920</v>
      </c>
      <c r="D1094" t="s">
        <v>920</v>
      </c>
      <c r="E1094" t="s">
        <v>1189</v>
      </c>
      <c r="F1094" t="s">
        <v>571</v>
      </c>
      <c r="G1094" s="204"/>
      <c r="L1094">
        <v>0</v>
      </c>
      <c r="M1094">
        <v>0</v>
      </c>
      <c r="N1094">
        <v>250</v>
      </c>
      <c r="O1094">
        <v>35000</v>
      </c>
      <c r="P1094">
        <v>250</v>
      </c>
      <c r="Q1094">
        <v>250</v>
      </c>
      <c r="R1094">
        <v>35000</v>
      </c>
      <c r="S1094">
        <v>140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7" x14ac:dyDescent="0.25">
      <c r="A1095" t="s">
        <v>139</v>
      </c>
      <c r="B1095" t="s">
        <v>567</v>
      </c>
      <c r="C1095" t="s">
        <v>920</v>
      </c>
      <c r="D1095" t="s">
        <v>920</v>
      </c>
      <c r="E1095" t="s">
        <v>1350</v>
      </c>
      <c r="F1095" t="s">
        <v>571</v>
      </c>
      <c r="G1095" s="204"/>
      <c r="L1095">
        <v>215</v>
      </c>
      <c r="M1095">
        <v>30100</v>
      </c>
      <c r="N1095">
        <v>0</v>
      </c>
      <c r="O1095">
        <v>0</v>
      </c>
      <c r="P1095">
        <v>0</v>
      </c>
      <c r="Q1095">
        <v>215</v>
      </c>
      <c r="R1095">
        <v>30100</v>
      </c>
      <c r="S1095">
        <v>140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7" x14ac:dyDescent="0.25">
      <c r="A1096" t="s">
        <v>141</v>
      </c>
      <c r="B1096" t="s">
        <v>1031</v>
      </c>
      <c r="C1096" t="s">
        <v>920</v>
      </c>
      <c r="D1096" t="s">
        <v>920</v>
      </c>
      <c r="E1096" t="s">
        <v>1266</v>
      </c>
      <c r="F1096" t="s">
        <v>571</v>
      </c>
      <c r="G1096" s="204"/>
      <c r="L1096">
        <v>250</v>
      </c>
      <c r="M1096">
        <v>15845</v>
      </c>
      <c r="N1096">
        <v>250</v>
      </c>
      <c r="O1096">
        <v>15845</v>
      </c>
      <c r="P1096">
        <v>250</v>
      </c>
      <c r="Q1096">
        <v>500</v>
      </c>
      <c r="R1096">
        <v>31690</v>
      </c>
      <c r="S1096">
        <v>63.38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7" x14ac:dyDescent="0.25">
      <c r="A1097" t="s">
        <v>1628</v>
      </c>
      <c r="B1097" t="s">
        <v>562</v>
      </c>
      <c r="C1097" t="s">
        <v>1859</v>
      </c>
      <c r="D1097" t="s">
        <v>1881</v>
      </c>
      <c r="E1097" t="s">
        <v>1788</v>
      </c>
      <c r="F1097" t="s">
        <v>571</v>
      </c>
      <c r="G1097" s="204"/>
      <c r="J1097">
        <v>2</v>
      </c>
      <c r="K1097">
        <v>3000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7" x14ac:dyDescent="0.25">
      <c r="A1098" t="s">
        <v>947</v>
      </c>
      <c r="B1098" t="s">
        <v>562</v>
      </c>
      <c r="C1098" t="s">
        <v>1860</v>
      </c>
      <c r="D1098" t="s">
        <v>960</v>
      </c>
      <c r="E1098" t="s">
        <v>1248</v>
      </c>
      <c r="F1098" t="s">
        <v>571</v>
      </c>
      <c r="G1098" s="204"/>
      <c r="H1098">
        <v>50</v>
      </c>
      <c r="I1098">
        <v>53625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T1098">
        <v>0</v>
      </c>
      <c r="U1098">
        <v>0</v>
      </c>
      <c r="V1098">
        <v>50</v>
      </c>
      <c r="W1098">
        <v>75000</v>
      </c>
      <c r="X1098">
        <v>50</v>
      </c>
      <c r="Y1098">
        <v>50</v>
      </c>
      <c r="Z1098">
        <v>75000</v>
      </c>
      <c r="AA1098">
        <v>1500</v>
      </c>
    </row>
    <row r="1099" spans="1:27" x14ac:dyDescent="0.25">
      <c r="A1099" t="s">
        <v>523</v>
      </c>
      <c r="B1099" t="s">
        <v>556</v>
      </c>
      <c r="C1099" t="s">
        <v>1860</v>
      </c>
      <c r="D1099" t="s">
        <v>586</v>
      </c>
      <c r="E1099" t="s">
        <v>1384</v>
      </c>
      <c r="F1099" t="s">
        <v>571</v>
      </c>
      <c r="G1099" s="204"/>
      <c r="L1099">
        <v>4</v>
      </c>
      <c r="M1099">
        <v>5652.44</v>
      </c>
      <c r="N1099">
        <v>0</v>
      </c>
      <c r="O1099">
        <v>0</v>
      </c>
      <c r="P1099">
        <v>0</v>
      </c>
      <c r="Q1099">
        <v>4</v>
      </c>
      <c r="R1099">
        <v>5652.44</v>
      </c>
      <c r="S1099">
        <v>1413.11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7" x14ac:dyDescent="0.25">
      <c r="A1100" t="s">
        <v>523</v>
      </c>
      <c r="B1100" t="s">
        <v>556</v>
      </c>
      <c r="C1100" t="s">
        <v>1860</v>
      </c>
      <c r="D1100" t="s">
        <v>586</v>
      </c>
      <c r="E1100" t="s">
        <v>1336</v>
      </c>
      <c r="F1100" t="s">
        <v>578</v>
      </c>
      <c r="G1100" s="204">
        <v>46477</v>
      </c>
      <c r="H1100">
        <v>60</v>
      </c>
      <c r="I1100">
        <v>59197.799999999996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7" x14ac:dyDescent="0.25">
      <c r="A1101" t="s">
        <v>845</v>
      </c>
      <c r="B1101" t="s">
        <v>562</v>
      </c>
      <c r="C1101" t="s">
        <v>555</v>
      </c>
      <c r="D1101" t="s">
        <v>600</v>
      </c>
      <c r="E1101" t="s">
        <v>1789</v>
      </c>
      <c r="F1101" t="s">
        <v>571</v>
      </c>
      <c r="G1101" s="204"/>
      <c r="J1101">
        <v>30</v>
      </c>
      <c r="K1101">
        <v>300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7" x14ac:dyDescent="0.25">
      <c r="A1102" t="s">
        <v>845</v>
      </c>
      <c r="B1102" t="s">
        <v>562</v>
      </c>
      <c r="C1102" t="s">
        <v>555</v>
      </c>
      <c r="D1102" t="s">
        <v>600</v>
      </c>
      <c r="E1102" t="s">
        <v>1258</v>
      </c>
      <c r="F1102" t="s">
        <v>571</v>
      </c>
      <c r="G1102" s="204"/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T1102">
        <v>0</v>
      </c>
      <c r="U1102">
        <v>0</v>
      </c>
      <c r="V1102">
        <v>60</v>
      </c>
      <c r="W1102">
        <v>92730</v>
      </c>
      <c r="X1102">
        <v>60</v>
      </c>
      <c r="Y1102">
        <v>60</v>
      </c>
      <c r="Z1102">
        <v>92730</v>
      </c>
      <c r="AA1102">
        <v>1545.5</v>
      </c>
    </row>
    <row r="1103" spans="1:27" x14ac:dyDescent="0.25">
      <c r="A1103" t="s">
        <v>845</v>
      </c>
      <c r="B1103" t="s">
        <v>562</v>
      </c>
      <c r="C1103" t="s">
        <v>555</v>
      </c>
      <c r="D1103" t="s">
        <v>600</v>
      </c>
      <c r="E1103" t="s">
        <v>1434</v>
      </c>
      <c r="F1103" t="s">
        <v>571</v>
      </c>
      <c r="G1103" s="204"/>
      <c r="L1103">
        <v>20</v>
      </c>
      <c r="M1103">
        <v>30910</v>
      </c>
      <c r="N1103">
        <v>0</v>
      </c>
      <c r="O1103">
        <v>0</v>
      </c>
      <c r="P1103">
        <v>0</v>
      </c>
      <c r="Q1103">
        <v>20</v>
      </c>
      <c r="R1103">
        <v>30910</v>
      </c>
      <c r="S1103">
        <v>1545.5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7" x14ac:dyDescent="0.25">
      <c r="A1104" t="s">
        <v>488</v>
      </c>
      <c r="B1104" t="s">
        <v>554</v>
      </c>
      <c r="C1104" t="s">
        <v>555</v>
      </c>
      <c r="D1104" t="s">
        <v>600</v>
      </c>
      <c r="E1104" t="s">
        <v>1434</v>
      </c>
      <c r="F1104" t="s">
        <v>571</v>
      </c>
      <c r="G1104" s="204"/>
      <c r="J1104">
        <v>90</v>
      </c>
      <c r="K1104">
        <v>64912.5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t="s">
        <v>460</v>
      </c>
      <c r="B1105" t="s">
        <v>566</v>
      </c>
      <c r="C1105" t="s">
        <v>920</v>
      </c>
      <c r="D1105" t="s">
        <v>920</v>
      </c>
      <c r="E1105" t="s">
        <v>1330</v>
      </c>
      <c r="F1105" t="s">
        <v>571</v>
      </c>
      <c r="G1105" s="204"/>
      <c r="H1105">
        <v>100</v>
      </c>
      <c r="I1105">
        <v>1147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t="s">
        <v>460</v>
      </c>
      <c r="B1106" t="s">
        <v>566</v>
      </c>
      <c r="C1106" t="s">
        <v>920</v>
      </c>
      <c r="D1106" t="s">
        <v>920</v>
      </c>
      <c r="E1106" t="s">
        <v>1315</v>
      </c>
      <c r="F1106" t="s">
        <v>571</v>
      </c>
      <c r="G1106" s="204"/>
      <c r="H1106">
        <v>384</v>
      </c>
      <c r="I1106">
        <v>3959.04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460</v>
      </c>
      <c r="B1107" t="s">
        <v>566</v>
      </c>
      <c r="C1107" t="s">
        <v>920</v>
      </c>
      <c r="D1107" t="s">
        <v>920</v>
      </c>
      <c r="E1107" t="s">
        <v>1316</v>
      </c>
      <c r="F1107" t="s">
        <v>571</v>
      </c>
      <c r="G1107" s="204"/>
      <c r="J1107">
        <v>250</v>
      </c>
      <c r="K1107">
        <v>2640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460</v>
      </c>
      <c r="B1108" t="s">
        <v>566</v>
      </c>
      <c r="C1108" t="s">
        <v>920</v>
      </c>
      <c r="D1108" t="s">
        <v>920</v>
      </c>
      <c r="E1108" t="s">
        <v>1266</v>
      </c>
      <c r="F1108" t="s">
        <v>571</v>
      </c>
      <c r="G1108" s="204"/>
      <c r="J1108">
        <v>400</v>
      </c>
      <c r="K1108">
        <v>3558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T1108">
        <v>0</v>
      </c>
      <c r="U1108">
        <v>0</v>
      </c>
      <c r="V1108">
        <v>2639</v>
      </c>
      <c r="W1108">
        <v>23803.78</v>
      </c>
      <c r="X1108">
        <v>2639</v>
      </c>
      <c r="Y1108">
        <v>2639</v>
      </c>
    </row>
    <row r="1109" spans="1:25" x14ac:dyDescent="0.25">
      <c r="A1109" t="s">
        <v>460</v>
      </c>
      <c r="B1109" t="s">
        <v>566</v>
      </c>
      <c r="C1109" t="s">
        <v>920</v>
      </c>
      <c r="D1109" t="s">
        <v>920</v>
      </c>
      <c r="E1109" t="s">
        <v>1337</v>
      </c>
      <c r="F1109" t="s">
        <v>571</v>
      </c>
      <c r="G1109" s="204"/>
      <c r="H1109">
        <v>22</v>
      </c>
      <c r="I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460</v>
      </c>
      <c r="B1110" t="s">
        <v>566</v>
      </c>
      <c r="C1110" t="s">
        <v>920</v>
      </c>
      <c r="D1110" t="s">
        <v>920</v>
      </c>
      <c r="E1110" t="s">
        <v>1138</v>
      </c>
      <c r="F1110" t="s">
        <v>571</v>
      </c>
      <c r="G1110" s="204"/>
      <c r="H1110">
        <v>1640</v>
      </c>
      <c r="I1110">
        <v>14124.399999999998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460</v>
      </c>
      <c r="B1111" t="s">
        <v>566</v>
      </c>
      <c r="C1111" t="s">
        <v>920</v>
      </c>
      <c r="D1111" t="s">
        <v>920</v>
      </c>
      <c r="E1111" t="s">
        <v>1258</v>
      </c>
      <c r="F1111" t="s">
        <v>571</v>
      </c>
      <c r="G1111" s="204"/>
      <c r="L1111">
        <v>0</v>
      </c>
      <c r="M1111">
        <v>0</v>
      </c>
      <c r="N1111">
        <v>9000</v>
      </c>
      <c r="O1111">
        <v>87120</v>
      </c>
      <c r="P1111">
        <v>9000</v>
      </c>
      <c r="Q1111">
        <v>9000</v>
      </c>
      <c r="R1111">
        <v>87120</v>
      </c>
      <c r="S1111">
        <v>9.68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460</v>
      </c>
      <c r="B1112" t="s">
        <v>566</v>
      </c>
      <c r="C1112" t="s">
        <v>920</v>
      </c>
      <c r="D1112" t="s">
        <v>920</v>
      </c>
      <c r="E1112" t="s">
        <v>1434</v>
      </c>
      <c r="F1112" t="s">
        <v>571</v>
      </c>
      <c r="G1112" s="204"/>
      <c r="L1112">
        <v>7500</v>
      </c>
      <c r="M1112">
        <v>72600</v>
      </c>
      <c r="N1112">
        <v>0</v>
      </c>
      <c r="O1112">
        <v>0</v>
      </c>
      <c r="P1112">
        <v>0</v>
      </c>
      <c r="Q1112">
        <v>7500</v>
      </c>
      <c r="R1112">
        <v>72600</v>
      </c>
      <c r="S1112">
        <v>9.68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t="s">
        <v>460</v>
      </c>
      <c r="B1113" t="s">
        <v>566</v>
      </c>
      <c r="C1113" t="s">
        <v>920</v>
      </c>
      <c r="D1113" t="s">
        <v>920</v>
      </c>
      <c r="E1113" t="s">
        <v>1212</v>
      </c>
      <c r="F1113" t="s">
        <v>571</v>
      </c>
      <c r="G1113" s="204"/>
      <c r="J1113">
        <v>1000</v>
      </c>
      <c r="K1113">
        <v>7280</v>
      </c>
      <c r="L1113">
        <v>0</v>
      </c>
      <c r="M1113">
        <v>0</v>
      </c>
      <c r="N1113">
        <v>1250</v>
      </c>
      <c r="O1113">
        <v>9875</v>
      </c>
      <c r="P1113">
        <v>1250</v>
      </c>
      <c r="Q1113">
        <v>1250</v>
      </c>
      <c r="T1113">
        <v>0</v>
      </c>
      <c r="U1113">
        <v>0</v>
      </c>
      <c r="V1113">
        <v>2000</v>
      </c>
      <c r="W1113">
        <v>15800</v>
      </c>
      <c r="X1113">
        <v>2000</v>
      </c>
      <c r="Y1113">
        <v>2000</v>
      </c>
    </row>
    <row r="1114" spans="1:25" x14ac:dyDescent="0.25">
      <c r="A1114" t="s">
        <v>460</v>
      </c>
      <c r="B1114" t="s">
        <v>566</v>
      </c>
      <c r="C1114" t="s">
        <v>920</v>
      </c>
      <c r="D1114" t="s">
        <v>920</v>
      </c>
      <c r="E1114" t="s">
        <v>1345</v>
      </c>
      <c r="F1114" t="s">
        <v>571</v>
      </c>
      <c r="G1114" s="204"/>
      <c r="L1114">
        <v>18</v>
      </c>
      <c r="M1114">
        <v>0</v>
      </c>
      <c r="N1114">
        <v>0</v>
      </c>
      <c r="O1114">
        <v>0</v>
      </c>
      <c r="P1114">
        <v>0</v>
      </c>
      <c r="Q1114">
        <v>18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t="s">
        <v>1629</v>
      </c>
      <c r="B1115" t="s">
        <v>566</v>
      </c>
      <c r="C1115" t="s">
        <v>920</v>
      </c>
      <c r="D1115" t="s">
        <v>920</v>
      </c>
      <c r="E1115" t="s">
        <v>1216</v>
      </c>
      <c r="F1115" t="s">
        <v>571</v>
      </c>
      <c r="G1115" s="204"/>
      <c r="H1115">
        <v>50</v>
      </c>
      <c r="I1115">
        <v>934.5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1630</v>
      </c>
      <c r="B1116" t="s">
        <v>1031</v>
      </c>
      <c r="C1116" t="s">
        <v>920</v>
      </c>
      <c r="D1116" t="s">
        <v>920</v>
      </c>
      <c r="E1116" t="s">
        <v>1266</v>
      </c>
      <c r="F1116" t="s">
        <v>571</v>
      </c>
      <c r="G1116" s="204"/>
      <c r="J1116">
        <v>125</v>
      </c>
      <c r="K1116">
        <v>3570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t="s">
        <v>1631</v>
      </c>
      <c r="B1117" t="s">
        <v>567</v>
      </c>
      <c r="C1117" t="s">
        <v>920</v>
      </c>
      <c r="D1117" t="s">
        <v>920</v>
      </c>
      <c r="E1117" t="s">
        <v>1266</v>
      </c>
      <c r="F1117" t="s">
        <v>571</v>
      </c>
      <c r="G1117" s="204"/>
      <c r="H1117">
        <v>6</v>
      </c>
      <c r="I1117">
        <v>900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t="s">
        <v>143</v>
      </c>
      <c r="B1118" t="s">
        <v>566</v>
      </c>
      <c r="C1118" t="s">
        <v>920</v>
      </c>
      <c r="D1118" t="s">
        <v>920</v>
      </c>
      <c r="E1118" t="s">
        <v>1280</v>
      </c>
      <c r="F1118" t="s">
        <v>571</v>
      </c>
      <c r="G1118" s="204"/>
      <c r="L1118">
        <v>5000</v>
      </c>
      <c r="M1118">
        <v>43100</v>
      </c>
      <c r="N1118">
        <v>0</v>
      </c>
      <c r="O1118">
        <v>0</v>
      </c>
      <c r="P1118">
        <v>0</v>
      </c>
      <c r="Q1118">
        <v>5000</v>
      </c>
      <c r="R1118">
        <v>43100</v>
      </c>
      <c r="S1118">
        <v>8.6199999999999992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t="s">
        <v>143</v>
      </c>
      <c r="B1119" t="s">
        <v>566</v>
      </c>
      <c r="C1119" t="s">
        <v>920</v>
      </c>
      <c r="D1119" t="s">
        <v>920</v>
      </c>
      <c r="E1119" t="s">
        <v>1400</v>
      </c>
      <c r="F1119" t="s">
        <v>571</v>
      </c>
      <c r="G1119" s="204"/>
      <c r="J1119">
        <v>150</v>
      </c>
      <c r="K1119">
        <v>2229.5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t="s">
        <v>143</v>
      </c>
      <c r="B1120" t="s">
        <v>566</v>
      </c>
      <c r="C1120" t="s">
        <v>920</v>
      </c>
      <c r="D1120" t="s">
        <v>920</v>
      </c>
      <c r="E1120" t="s">
        <v>1790</v>
      </c>
      <c r="F1120" t="s">
        <v>571</v>
      </c>
      <c r="G1120" s="204"/>
      <c r="J1120">
        <v>28</v>
      </c>
      <c r="K1120">
        <v>1360.8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7" x14ac:dyDescent="0.25">
      <c r="A1121" t="s">
        <v>143</v>
      </c>
      <c r="B1121" t="s">
        <v>566</v>
      </c>
      <c r="C1121" t="s">
        <v>920</v>
      </c>
      <c r="D1121" t="s">
        <v>920</v>
      </c>
      <c r="E1121" t="s">
        <v>1269</v>
      </c>
      <c r="F1121" t="s">
        <v>571</v>
      </c>
      <c r="G1121" s="204"/>
      <c r="J1121">
        <v>60</v>
      </c>
      <c r="K1121">
        <v>1135.8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7" x14ac:dyDescent="0.25">
      <c r="A1122" t="s">
        <v>143</v>
      </c>
      <c r="B1122" t="s">
        <v>566</v>
      </c>
      <c r="C1122" t="s">
        <v>920</v>
      </c>
      <c r="D1122" t="s">
        <v>920</v>
      </c>
      <c r="E1122" t="s">
        <v>1217</v>
      </c>
      <c r="F1122" t="s">
        <v>571</v>
      </c>
      <c r="G1122" s="204"/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T1122">
        <v>0</v>
      </c>
      <c r="U1122">
        <v>0</v>
      </c>
      <c r="V1122">
        <v>500</v>
      </c>
      <c r="W1122">
        <v>4795</v>
      </c>
      <c r="X1122">
        <v>500</v>
      </c>
      <c r="Y1122">
        <v>500</v>
      </c>
      <c r="Z1122">
        <v>4795</v>
      </c>
      <c r="AA1122">
        <v>9.59</v>
      </c>
    </row>
    <row r="1123" spans="1:27" x14ac:dyDescent="0.25">
      <c r="A1123" t="s">
        <v>143</v>
      </c>
      <c r="B1123" t="s">
        <v>566</v>
      </c>
      <c r="C1123" t="s">
        <v>920</v>
      </c>
      <c r="D1123" t="s">
        <v>920</v>
      </c>
      <c r="E1123" t="s">
        <v>1330</v>
      </c>
      <c r="F1123" t="s">
        <v>571</v>
      </c>
      <c r="G1123" s="204"/>
      <c r="J1123">
        <v>500</v>
      </c>
      <c r="K1123">
        <v>4015</v>
      </c>
      <c r="L1123">
        <v>850</v>
      </c>
      <c r="M1123">
        <v>6825.5</v>
      </c>
      <c r="N1123">
        <v>0</v>
      </c>
      <c r="O1123">
        <v>0</v>
      </c>
      <c r="P1123">
        <v>0</v>
      </c>
      <c r="Q1123">
        <v>850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7" x14ac:dyDescent="0.25">
      <c r="A1124" t="s">
        <v>143</v>
      </c>
      <c r="B1124" t="s">
        <v>566</v>
      </c>
      <c r="C1124" t="s">
        <v>920</v>
      </c>
      <c r="D1124" t="s">
        <v>920</v>
      </c>
      <c r="E1124" t="s">
        <v>1315</v>
      </c>
      <c r="F1124" t="s">
        <v>571</v>
      </c>
      <c r="G1124" s="204"/>
      <c r="H1124">
        <v>600</v>
      </c>
      <c r="I1124">
        <v>5757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7" x14ac:dyDescent="0.25">
      <c r="A1125" t="s">
        <v>143</v>
      </c>
      <c r="B1125" t="s">
        <v>566</v>
      </c>
      <c r="C1125" t="s">
        <v>920</v>
      </c>
      <c r="D1125" t="s">
        <v>920</v>
      </c>
      <c r="E1125" t="s">
        <v>1318</v>
      </c>
      <c r="F1125" t="s">
        <v>571</v>
      </c>
      <c r="G1125" s="204"/>
      <c r="L1125">
        <v>200</v>
      </c>
      <c r="M1125">
        <v>2090</v>
      </c>
      <c r="N1125">
        <v>0</v>
      </c>
      <c r="O1125">
        <v>0</v>
      </c>
      <c r="P1125">
        <v>0</v>
      </c>
      <c r="Q1125">
        <v>200</v>
      </c>
      <c r="R1125">
        <v>2090</v>
      </c>
      <c r="S1125">
        <v>10.45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7" x14ac:dyDescent="0.25">
      <c r="A1126" t="s">
        <v>143</v>
      </c>
      <c r="B1126" t="s">
        <v>566</v>
      </c>
      <c r="C1126" t="s">
        <v>920</v>
      </c>
      <c r="D1126" t="s">
        <v>920</v>
      </c>
      <c r="E1126" t="s">
        <v>1316</v>
      </c>
      <c r="F1126" t="s">
        <v>571</v>
      </c>
      <c r="G1126" s="204"/>
      <c r="L1126">
        <v>750</v>
      </c>
      <c r="M1126">
        <v>7837.5</v>
      </c>
      <c r="N1126">
        <v>500</v>
      </c>
      <c r="O1126">
        <v>5225</v>
      </c>
      <c r="P1126">
        <v>500</v>
      </c>
      <c r="Q1126">
        <v>1250</v>
      </c>
      <c r="R1126">
        <v>13062.5</v>
      </c>
      <c r="S1126">
        <v>10.45</v>
      </c>
      <c r="T1126">
        <v>0</v>
      </c>
      <c r="U1126">
        <v>0</v>
      </c>
      <c r="V1126">
        <v>1500</v>
      </c>
      <c r="W1126">
        <v>15675</v>
      </c>
      <c r="X1126">
        <v>1500</v>
      </c>
      <c r="Y1126">
        <v>1500</v>
      </c>
    </row>
    <row r="1127" spans="1:27" x14ac:dyDescent="0.25">
      <c r="A1127" t="s">
        <v>143</v>
      </c>
      <c r="B1127" t="s">
        <v>566</v>
      </c>
      <c r="C1127" t="s">
        <v>920</v>
      </c>
      <c r="D1127" t="s">
        <v>920</v>
      </c>
      <c r="E1127" t="s">
        <v>1244</v>
      </c>
      <c r="F1127" t="s">
        <v>571</v>
      </c>
      <c r="G1127" s="204"/>
      <c r="L1127">
        <v>500</v>
      </c>
      <c r="M1127">
        <v>5650</v>
      </c>
      <c r="N1127">
        <v>0</v>
      </c>
      <c r="O1127">
        <v>0</v>
      </c>
      <c r="P1127">
        <v>0</v>
      </c>
      <c r="Q1127">
        <v>500</v>
      </c>
      <c r="R1127">
        <v>5650</v>
      </c>
      <c r="S1127">
        <v>11.3</v>
      </c>
      <c r="T1127">
        <v>0</v>
      </c>
      <c r="U1127">
        <v>0</v>
      </c>
      <c r="V1127">
        <v>500</v>
      </c>
      <c r="W1127">
        <v>5650</v>
      </c>
      <c r="X1127">
        <v>500</v>
      </c>
      <c r="Y1127">
        <v>500</v>
      </c>
      <c r="Z1127">
        <v>5650</v>
      </c>
      <c r="AA1127">
        <v>11.3</v>
      </c>
    </row>
    <row r="1128" spans="1:27" x14ac:dyDescent="0.25">
      <c r="A1128" t="s">
        <v>143</v>
      </c>
      <c r="B1128" t="s">
        <v>566</v>
      </c>
      <c r="C1128" t="s">
        <v>920</v>
      </c>
      <c r="D1128" t="s">
        <v>920</v>
      </c>
      <c r="E1128" t="s">
        <v>1425</v>
      </c>
      <c r="F1128" t="s">
        <v>571</v>
      </c>
      <c r="G1128" s="204"/>
      <c r="J1128">
        <v>75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7" x14ac:dyDescent="0.25">
      <c r="A1129" t="s">
        <v>143</v>
      </c>
      <c r="B1129" t="s">
        <v>566</v>
      </c>
      <c r="C1129" t="s">
        <v>920</v>
      </c>
      <c r="D1129" t="s">
        <v>920</v>
      </c>
      <c r="E1129" t="s">
        <v>1500</v>
      </c>
      <c r="F1129" t="s">
        <v>571</v>
      </c>
      <c r="G1129" s="204"/>
      <c r="L1129">
        <v>3</v>
      </c>
      <c r="M1129">
        <v>160.74</v>
      </c>
      <c r="N1129">
        <v>0</v>
      </c>
      <c r="O1129">
        <v>0</v>
      </c>
      <c r="P1129">
        <v>0</v>
      </c>
      <c r="Q1129">
        <v>3</v>
      </c>
      <c r="R1129">
        <v>160.74</v>
      </c>
      <c r="S1129">
        <v>53.580000000000005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7" x14ac:dyDescent="0.25">
      <c r="A1130" t="s">
        <v>143</v>
      </c>
      <c r="B1130" t="s">
        <v>566</v>
      </c>
      <c r="C1130" t="s">
        <v>920</v>
      </c>
      <c r="D1130" t="s">
        <v>920</v>
      </c>
      <c r="E1130" t="s">
        <v>1266</v>
      </c>
      <c r="F1130" t="s">
        <v>571</v>
      </c>
      <c r="G1130" s="204"/>
      <c r="H1130">
        <v>16000</v>
      </c>
      <c r="I1130">
        <v>117280</v>
      </c>
      <c r="L1130">
        <v>19510</v>
      </c>
      <c r="M1130">
        <v>151008</v>
      </c>
      <c r="N1130">
        <v>5000</v>
      </c>
      <c r="O1130">
        <v>39000</v>
      </c>
      <c r="P1130">
        <v>5000</v>
      </c>
      <c r="Q1130">
        <v>24510</v>
      </c>
      <c r="T1130">
        <v>0</v>
      </c>
      <c r="U1130">
        <v>0</v>
      </c>
      <c r="V1130">
        <v>20000</v>
      </c>
      <c r="W1130">
        <v>156000</v>
      </c>
      <c r="X1130">
        <v>20000</v>
      </c>
      <c r="Y1130">
        <v>20000</v>
      </c>
    </row>
    <row r="1131" spans="1:27" x14ac:dyDescent="0.25">
      <c r="A1131" t="s">
        <v>143</v>
      </c>
      <c r="B1131" t="s">
        <v>566</v>
      </c>
      <c r="C1131" t="s">
        <v>920</v>
      </c>
      <c r="D1131" t="s">
        <v>920</v>
      </c>
      <c r="E1131" t="s">
        <v>1337</v>
      </c>
      <c r="F1131" t="s">
        <v>571</v>
      </c>
      <c r="G1131" s="204"/>
      <c r="H1131">
        <v>20</v>
      </c>
      <c r="I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7" x14ac:dyDescent="0.25">
      <c r="A1132" t="s">
        <v>143</v>
      </c>
      <c r="B1132" t="s">
        <v>566</v>
      </c>
      <c r="C1132" t="s">
        <v>920</v>
      </c>
      <c r="D1132" t="s">
        <v>920</v>
      </c>
      <c r="E1132" t="s">
        <v>1502</v>
      </c>
      <c r="F1132" t="s">
        <v>571</v>
      </c>
      <c r="G1132" s="204"/>
      <c r="L1132">
        <v>1763</v>
      </c>
      <c r="M1132">
        <v>18846.47</v>
      </c>
      <c r="N1132">
        <v>0</v>
      </c>
      <c r="O1132">
        <v>0</v>
      </c>
      <c r="P1132">
        <v>0</v>
      </c>
      <c r="Q1132">
        <v>1763</v>
      </c>
      <c r="R1132">
        <v>18846.47</v>
      </c>
      <c r="S1132">
        <v>10.690000000000001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7" x14ac:dyDescent="0.25">
      <c r="A1133" t="s">
        <v>143</v>
      </c>
      <c r="B1133" t="s">
        <v>566</v>
      </c>
      <c r="C1133" t="s">
        <v>920</v>
      </c>
      <c r="D1133" t="s">
        <v>920</v>
      </c>
      <c r="E1133" t="s">
        <v>1138</v>
      </c>
      <c r="F1133" t="s">
        <v>571</v>
      </c>
      <c r="G1133" s="204"/>
      <c r="L1133">
        <v>140</v>
      </c>
      <c r="M1133">
        <v>1074.4000000000001</v>
      </c>
      <c r="N1133">
        <v>0</v>
      </c>
      <c r="O1133">
        <v>0</v>
      </c>
      <c r="P1133">
        <v>0</v>
      </c>
      <c r="Q1133">
        <v>140</v>
      </c>
      <c r="T1133">
        <v>0</v>
      </c>
      <c r="U1133">
        <v>0</v>
      </c>
      <c r="V1133">
        <v>40</v>
      </c>
      <c r="W1133">
        <v>538.4</v>
      </c>
      <c r="X1133">
        <v>40</v>
      </c>
      <c r="Y1133">
        <v>40</v>
      </c>
      <c r="Z1133">
        <v>538.4</v>
      </c>
      <c r="AA1133">
        <v>13.459999999999999</v>
      </c>
    </row>
    <row r="1134" spans="1:27" x14ac:dyDescent="0.25">
      <c r="A1134" t="s">
        <v>143</v>
      </c>
      <c r="B1134" t="s">
        <v>566</v>
      </c>
      <c r="C1134" t="s">
        <v>920</v>
      </c>
      <c r="D1134" t="s">
        <v>920</v>
      </c>
      <c r="E1134" t="s">
        <v>1212</v>
      </c>
      <c r="F1134" t="s">
        <v>571</v>
      </c>
      <c r="G1134" s="204"/>
      <c r="H1134">
        <v>7500</v>
      </c>
      <c r="I1134">
        <v>56700</v>
      </c>
      <c r="L1134">
        <v>10648</v>
      </c>
      <c r="M1134">
        <v>85187.42</v>
      </c>
      <c r="N1134">
        <v>5977</v>
      </c>
      <c r="O1134">
        <v>48055.08</v>
      </c>
      <c r="P1134">
        <v>5977</v>
      </c>
      <c r="Q1134">
        <v>16625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7" x14ac:dyDescent="0.25">
      <c r="A1135" t="s">
        <v>143</v>
      </c>
      <c r="B1135" t="s">
        <v>566</v>
      </c>
      <c r="C1135" t="s">
        <v>920</v>
      </c>
      <c r="D1135" t="s">
        <v>920</v>
      </c>
      <c r="E1135" t="s">
        <v>1216</v>
      </c>
      <c r="F1135" t="s">
        <v>571</v>
      </c>
      <c r="G1135" s="204"/>
      <c r="H1135">
        <v>2500</v>
      </c>
      <c r="I1135">
        <v>22475</v>
      </c>
      <c r="L1135">
        <v>2500</v>
      </c>
      <c r="M1135">
        <v>23525</v>
      </c>
      <c r="N1135">
        <v>2500</v>
      </c>
      <c r="O1135">
        <v>17900</v>
      </c>
      <c r="P1135">
        <v>2500</v>
      </c>
      <c r="Q1135">
        <v>5000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7" x14ac:dyDescent="0.25">
      <c r="A1136" t="s">
        <v>265</v>
      </c>
      <c r="B1136" t="s">
        <v>562</v>
      </c>
      <c r="C1136" t="s">
        <v>1858</v>
      </c>
      <c r="D1136" t="s">
        <v>642</v>
      </c>
      <c r="E1136" t="s">
        <v>1138</v>
      </c>
      <c r="F1136" t="s">
        <v>571</v>
      </c>
      <c r="G1136" s="204"/>
      <c r="H1136">
        <v>100</v>
      </c>
      <c r="I1136">
        <v>28835</v>
      </c>
      <c r="J1136">
        <v>100</v>
      </c>
      <c r="K1136">
        <v>28835</v>
      </c>
      <c r="L1136">
        <v>171</v>
      </c>
      <c r="M1136">
        <v>56703.6</v>
      </c>
      <c r="N1136">
        <v>38</v>
      </c>
      <c r="O1136">
        <v>12600.8</v>
      </c>
      <c r="P1136">
        <v>38</v>
      </c>
      <c r="Q1136">
        <v>209</v>
      </c>
      <c r="T1136">
        <v>0</v>
      </c>
      <c r="U1136">
        <v>0</v>
      </c>
      <c r="V1136">
        <v>204</v>
      </c>
      <c r="W1136">
        <v>81175.679999999993</v>
      </c>
      <c r="X1136">
        <v>204</v>
      </c>
      <c r="Y1136">
        <v>204</v>
      </c>
    </row>
    <row r="1137" spans="1:27" x14ac:dyDescent="0.25">
      <c r="A1137" t="s">
        <v>938</v>
      </c>
      <c r="B1137" t="s">
        <v>554</v>
      </c>
      <c r="C1137" t="s">
        <v>1858</v>
      </c>
      <c r="D1137" t="s">
        <v>688</v>
      </c>
      <c r="E1137" t="s">
        <v>1321</v>
      </c>
      <c r="F1137" t="s">
        <v>571</v>
      </c>
      <c r="G1137" s="204"/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T1137">
        <v>0</v>
      </c>
      <c r="U1137">
        <v>0</v>
      </c>
      <c r="V1137">
        <v>200</v>
      </c>
      <c r="W1137">
        <v>38500</v>
      </c>
      <c r="X1137">
        <v>200</v>
      </c>
      <c r="Y1137">
        <v>200</v>
      </c>
      <c r="Z1137">
        <v>38500</v>
      </c>
      <c r="AA1137">
        <v>192.5</v>
      </c>
    </row>
    <row r="1138" spans="1:27" x14ac:dyDescent="0.25">
      <c r="A1138" t="s">
        <v>145</v>
      </c>
      <c r="B1138" t="s">
        <v>566</v>
      </c>
      <c r="C1138" t="s">
        <v>920</v>
      </c>
      <c r="D1138" t="s">
        <v>920</v>
      </c>
      <c r="E1138" t="s">
        <v>1330</v>
      </c>
      <c r="F1138" t="s">
        <v>571</v>
      </c>
      <c r="G1138" s="204"/>
      <c r="H1138">
        <v>250</v>
      </c>
      <c r="I1138">
        <v>2202.5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7" x14ac:dyDescent="0.25">
      <c r="A1139" t="s">
        <v>145</v>
      </c>
      <c r="B1139" t="s">
        <v>566</v>
      </c>
      <c r="C1139" t="s">
        <v>920</v>
      </c>
      <c r="D1139" t="s">
        <v>920</v>
      </c>
      <c r="E1139" t="s">
        <v>1299</v>
      </c>
      <c r="F1139" t="s">
        <v>571</v>
      </c>
      <c r="G1139" s="204"/>
      <c r="L1139">
        <v>5840</v>
      </c>
      <c r="M1139">
        <v>63597.600000000006</v>
      </c>
      <c r="N1139">
        <v>990</v>
      </c>
      <c r="O1139">
        <v>10781.1</v>
      </c>
      <c r="P1139">
        <v>990</v>
      </c>
      <c r="Q1139">
        <v>6830</v>
      </c>
      <c r="R1139">
        <v>74378.700000000012</v>
      </c>
      <c r="S1139">
        <v>10.890000000000002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7" x14ac:dyDescent="0.25">
      <c r="A1140" t="s">
        <v>145</v>
      </c>
      <c r="B1140" t="s">
        <v>566</v>
      </c>
      <c r="C1140" t="s">
        <v>920</v>
      </c>
      <c r="D1140" t="s">
        <v>920</v>
      </c>
      <c r="E1140" t="s">
        <v>1266</v>
      </c>
      <c r="F1140" t="s">
        <v>571</v>
      </c>
      <c r="G1140" s="204"/>
      <c r="L1140">
        <v>250</v>
      </c>
      <c r="M1140">
        <v>2485</v>
      </c>
      <c r="N1140">
        <v>0</v>
      </c>
      <c r="O1140">
        <v>0</v>
      </c>
      <c r="P1140">
        <v>0</v>
      </c>
      <c r="Q1140">
        <v>250</v>
      </c>
      <c r="R1140">
        <v>2485</v>
      </c>
      <c r="S1140">
        <v>9.94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</row>
    <row r="1141" spans="1:27" x14ac:dyDescent="0.25">
      <c r="A1141" t="s">
        <v>145</v>
      </c>
      <c r="B1141" t="s">
        <v>566</v>
      </c>
      <c r="C1141" t="s">
        <v>920</v>
      </c>
      <c r="D1141" t="s">
        <v>920</v>
      </c>
      <c r="E1141" t="s">
        <v>1138</v>
      </c>
      <c r="F1141" t="s">
        <v>571</v>
      </c>
      <c r="G1141" s="204"/>
      <c r="H1141">
        <v>4320</v>
      </c>
      <c r="I1141">
        <v>35748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7" x14ac:dyDescent="0.25">
      <c r="A1142" t="s">
        <v>145</v>
      </c>
      <c r="B1142" t="s">
        <v>566</v>
      </c>
      <c r="C1142" t="s">
        <v>920</v>
      </c>
      <c r="D1142" t="s">
        <v>920</v>
      </c>
      <c r="E1142" t="s">
        <v>1212</v>
      </c>
      <c r="F1142" t="s">
        <v>571</v>
      </c>
      <c r="G1142" s="204"/>
      <c r="H1142">
        <v>1000</v>
      </c>
      <c r="I1142">
        <v>7810</v>
      </c>
      <c r="L1142">
        <v>2300</v>
      </c>
      <c r="M1142">
        <v>19504</v>
      </c>
      <c r="N1142">
        <v>500</v>
      </c>
      <c r="O1142">
        <v>4240</v>
      </c>
      <c r="P1142">
        <v>500</v>
      </c>
      <c r="Q1142">
        <v>2800</v>
      </c>
      <c r="T1142">
        <v>0</v>
      </c>
      <c r="U1142">
        <v>0</v>
      </c>
      <c r="V1142">
        <v>3000</v>
      </c>
      <c r="W1142">
        <v>25440</v>
      </c>
      <c r="X1142">
        <v>3000</v>
      </c>
      <c r="Y1142">
        <v>3000</v>
      </c>
    </row>
    <row r="1143" spans="1:27" x14ac:dyDescent="0.25">
      <c r="A1143" t="s">
        <v>147</v>
      </c>
      <c r="B1143" t="s">
        <v>567</v>
      </c>
      <c r="C1143" t="s">
        <v>920</v>
      </c>
      <c r="D1143" t="s">
        <v>920</v>
      </c>
      <c r="E1143" t="s">
        <v>1266</v>
      </c>
      <c r="F1143" t="s">
        <v>571</v>
      </c>
      <c r="G1143" s="204"/>
      <c r="J1143">
        <v>50</v>
      </c>
      <c r="K1143">
        <v>1520.5</v>
      </c>
      <c r="L1143">
        <v>72</v>
      </c>
      <c r="M1143">
        <v>2189.52</v>
      </c>
      <c r="N1143">
        <v>0</v>
      </c>
      <c r="O1143">
        <v>0</v>
      </c>
      <c r="P1143">
        <v>0</v>
      </c>
      <c r="Q1143">
        <v>72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7" x14ac:dyDescent="0.25">
      <c r="A1144" t="s">
        <v>926</v>
      </c>
      <c r="B1144" t="s">
        <v>566</v>
      </c>
      <c r="C1144" t="s">
        <v>920</v>
      </c>
      <c r="D1144" t="s">
        <v>920</v>
      </c>
      <c r="E1144" t="s">
        <v>1278</v>
      </c>
      <c r="F1144" t="s">
        <v>571</v>
      </c>
      <c r="G1144" s="204"/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T1144">
        <v>0</v>
      </c>
      <c r="U1144">
        <v>0</v>
      </c>
      <c r="V1144">
        <v>3550</v>
      </c>
      <c r="W1144">
        <v>60705</v>
      </c>
      <c r="X1144">
        <v>3550</v>
      </c>
      <c r="Y1144">
        <v>3550</v>
      </c>
      <c r="Z1144">
        <v>60705</v>
      </c>
      <c r="AA1144">
        <v>17.100000000000001</v>
      </c>
    </row>
    <row r="1145" spans="1:27" x14ac:dyDescent="0.25">
      <c r="A1145" t="s">
        <v>926</v>
      </c>
      <c r="B1145" t="s">
        <v>566</v>
      </c>
      <c r="C1145" t="s">
        <v>920</v>
      </c>
      <c r="D1145" t="s">
        <v>920</v>
      </c>
      <c r="E1145" t="s">
        <v>1138</v>
      </c>
      <c r="F1145" t="s">
        <v>571</v>
      </c>
      <c r="G1145" s="204"/>
      <c r="J1145">
        <v>100</v>
      </c>
      <c r="K1145">
        <v>2082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7" x14ac:dyDescent="0.25">
      <c r="A1146" t="s">
        <v>926</v>
      </c>
      <c r="B1146" t="s">
        <v>566</v>
      </c>
      <c r="C1146" t="s">
        <v>920</v>
      </c>
      <c r="D1146" t="s">
        <v>920</v>
      </c>
      <c r="E1146" t="s">
        <v>1216</v>
      </c>
      <c r="F1146" t="s">
        <v>571</v>
      </c>
      <c r="G1146" s="204"/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T1146">
        <v>0</v>
      </c>
      <c r="U1146">
        <v>0</v>
      </c>
      <c r="V1146">
        <v>500</v>
      </c>
      <c r="W1146">
        <v>9930</v>
      </c>
      <c r="X1146">
        <v>500</v>
      </c>
      <c r="Y1146">
        <v>500</v>
      </c>
      <c r="Z1146">
        <v>9930</v>
      </c>
      <c r="AA1146">
        <v>19.86</v>
      </c>
    </row>
    <row r="1147" spans="1:27" x14ac:dyDescent="0.25">
      <c r="A1147" t="s">
        <v>1632</v>
      </c>
      <c r="B1147" t="s">
        <v>1031</v>
      </c>
      <c r="C1147" t="s">
        <v>920</v>
      </c>
      <c r="D1147" t="s">
        <v>920</v>
      </c>
      <c r="E1147" t="s">
        <v>1791</v>
      </c>
      <c r="F1147" t="s">
        <v>571</v>
      </c>
      <c r="G1147" s="204"/>
      <c r="H1147">
        <v>50</v>
      </c>
      <c r="I1147">
        <v>1419.5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7" x14ac:dyDescent="0.25">
      <c r="A1148" t="s">
        <v>1632</v>
      </c>
      <c r="B1148" t="s">
        <v>1031</v>
      </c>
      <c r="C1148" t="s">
        <v>920</v>
      </c>
      <c r="D1148" t="s">
        <v>920</v>
      </c>
      <c r="E1148" t="s">
        <v>1315</v>
      </c>
      <c r="F1148" t="s">
        <v>571</v>
      </c>
      <c r="G1148" s="204"/>
      <c r="H1148">
        <v>50</v>
      </c>
      <c r="I1148">
        <v>1419.5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7" x14ac:dyDescent="0.25">
      <c r="A1149" t="s">
        <v>1632</v>
      </c>
      <c r="B1149" t="s">
        <v>1031</v>
      </c>
      <c r="C1149" t="s">
        <v>920</v>
      </c>
      <c r="D1149" t="s">
        <v>920</v>
      </c>
      <c r="E1149" t="s">
        <v>1792</v>
      </c>
      <c r="F1149" t="s">
        <v>571</v>
      </c>
      <c r="G1149" s="204"/>
      <c r="J1149">
        <v>6</v>
      </c>
      <c r="K1149">
        <v>1500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7" x14ac:dyDescent="0.25">
      <c r="A1150" t="s">
        <v>149</v>
      </c>
      <c r="B1150" t="s">
        <v>566</v>
      </c>
      <c r="C1150" t="s">
        <v>920</v>
      </c>
      <c r="D1150" t="s">
        <v>920</v>
      </c>
      <c r="E1150" t="s">
        <v>1280</v>
      </c>
      <c r="F1150" t="s">
        <v>571</v>
      </c>
      <c r="G1150" s="204"/>
      <c r="J1150">
        <v>6900</v>
      </c>
      <c r="K1150">
        <v>65481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7" x14ac:dyDescent="0.25">
      <c r="A1151" t="s">
        <v>149</v>
      </c>
      <c r="B1151" t="s">
        <v>566</v>
      </c>
      <c r="C1151" t="s">
        <v>920</v>
      </c>
      <c r="D1151" t="s">
        <v>920</v>
      </c>
      <c r="E1151" t="s">
        <v>1242</v>
      </c>
      <c r="F1151" t="s">
        <v>571</v>
      </c>
      <c r="G1151" s="204"/>
      <c r="J1151">
        <v>1522</v>
      </c>
      <c r="K1151">
        <v>15600.5</v>
      </c>
      <c r="L1151">
        <v>10978</v>
      </c>
      <c r="M1151">
        <v>112524.5</v>
      </c>
      <c r="N1151">
        <v>0</v>
      </c>
      <c r="O1151">
        <v>0</v>
      </c>
      <c r="P1151">
        <v>0</v>
      </c>
      <c r="Q1151">
        <v>10978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7" x14ac:dyDescent="0.25">
      <c r="A1152" t="s">
        <v>149</v>
      </c>
      <c r="B1152" t="s">
        <v>566</v>
      </c>
      <c r="C1152" t="s">
        <v>920</v>
      </c>
      <c r="D1152" t="s">
        <v>920</v>
      </c>
      <c r="E1152" t="s">
        <v>1269</v>
      </c>
      <c r="F1152" t="s">
        <v>571</v>
      </c>
      <c r="G1152" s="204"/>
      <c r="J1152">
        <v>60</v>
      </c>
      <c r="K1152">
        <v>1390.8</v>
      </c>
      <c r="L1152">
        <v>100</v>
      </c>
      <c r="M1152">
        <v>1500</v>
      </c>
      <c r="N1152">
        <v>0</v>
      </c>
      <c r="O1152">
        <v>0</v>
      </c>
      <c r="P1152">
        <v>0</v>
      </c>
      <c r="Q1152">
        <v>100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7" x14ac:dyDescent="0.25">
      <c r="A1153" t="s">
        <v>149</v>
      </c>
      <c r="B1153" t="s">
        <v>566</v>
      </c>
      <c r="C1153" t="s">
        <v>920</v>
      </c>
      <c r="D1153" t="s">
        <v>920</v>
      </c>
      <c r="E1153" t="s">
        <v>1330</v>
      </c>
      <c r="F1153" t="s">
        <v>571</v>
      </c>
      <c r="G1153" s="204"/>
      <c r="H1153">
        <v>250</v>
      </c>
      <c r="I1153">
        <v>2812.5</v>
      </c>
      <c r="L1153">
        <v>10000</v>
      </c>
      <c r="M1153">
        <v>67000</v>
      </c>
      <c r="N1153">
        <v>0</v>
      </c>
      <c r="O1153">
        <v>0</v>
      </c>
      <c r="P1153">
        <v>0</v>
      </c>
      <c r="Q1153">
        <v>10000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7" x14ac:dyDescent="0.25">
      <c r="A1154" t="s">
        <v>149</v>
      </c>
      <c r="B1154" t="s">
        <v>566</v>
      </c>
      <c r="C1154" t="s">
        <v>920</v>
      </c>
      <c r="D1154" t="s">
        <v>920</v>
      </c>
      <c r="E1154" t="s">
        <v>1485</v>
      </c>
      <c r="F1154" t="s">
        <v>571</v>
      </c>
      <c r="G1154" s="204"/>
      <c r="L1154">
        <v>30</v>
      </c>
      <c r="M1154">
        <v>615.90000000000009</v>
      </c>
      <c r="N1154">
        <v>0</v>
      </c>
      <c r="O1154">
        <v>0</v>
      </c>
      <c r="P1154">
        <v>0</v>
      </c>
      <c r="Q1154">
        <v>30</v>
      </c>
      <c r="R1154">
        <v>615.90000000000009</v>
      </c>
      <c r="S1154">
        <v>20.530000000000005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7" x14ac:dyDescent="0.25">
      <c r="A1155" t="s">
        <v>149</v>
      </c>
      <c r="B1155" t="s">
        <v>566</v>
      </c>
      <c r="C1155" t="s">
        <v>920</v>
      </c>
      <c r="D1155" t="s">
        <v>920</v>
      </c>
      <c r="E1155" t="s">
        <v>1315</v>
      </c>
      <c r="F1155" t="s">
        <v>571</v>
      </c>
      <c r="G1155" s="204"/>
      <c r="H1155">
        <v>50</v>
      </c>
      <c r="I1155">
        <v>700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7" x14ac:dyDescent="0.25">
      <c r="A1156" t="s">
        <v>149</v>
      </c>
      <c r="B1156" t="s">
        <v>566</v>
      </c>
      <c r="C1156" t="s">
        <v>920</v>
      </c>
      <c r="D1156" t="s">
        <v>920</v>
      </c>
      <c r="E1156" t="s">
        <v>1316</v>
      </c>
      <c r="F1156" t="s">
        <v>571</v>
      </c>
      <c r="G1156" s="204"/>
      <c r="L1156">
        <v>250</v>
      </c>
      <c r="M1156">
        <v>2742.5</v>
      </c>
      <c r="N1156">
        <v>750</v>
      </c>
      <c r="O1156">
        <v>8227.5</v>
      </c>
      <c r="P1156">
        <v>750</v>
      </c>
      <c r="Q1156">
        <v>1000</v>
      </c>
      <c r="T1156">
        <v>0</v>
      </c>
      <c r="U1156">
        <v>0</v>
      </c>
      <c r="V1156">
        <v>500</v>
      </c>
      <c r="W1156">
        <v>5485</v>
      </c>
      <c r="X1156">
        <v>500</v>
      </c>
      <c r="Y1156">
        <v>500</v>
      </c>
      <c r="Z1156">
        <v>5485</v>
      </c>
      <c r="AA1156">
        <v>10.97</v>
      </c>
    </row>
    <row r="1157" spans="1:27" x14ac:dyDescent="0.25">
      <c r="A1157" t="s">
        <v>149</v>
      </c>
      <c r="B1157" t="s">
        <v>566</v>
      </c>
      <c r="C1157" t="s">
        <v>920</v>
      </c>
      <c r="D1157" t="s">
        <v>920</v>
      </c>
      <c r="E1157" t="s">
        <v>1221</v>
      </c>
      <c r="F1157" t="s">
        <v>571</v>
      </c>
      <c r="G1157" s="204"/>
      <c r="H1157">
        <v>300</v>
      </c>
      <c r="I1157">
        <v>3105</v>
      </c>
      <c r="L1157">
        <v>500</v>
      </c>
      <c r="M1157">
        <v>5695</v>
      </c>
      <c r="N1157">
        <v>0</v>
      </c>
      <c r="O1157">
        <v>0</v>
      </c>
      <c r="P1157">
        <v>0</v>
      </c>
      <c r="Q1157">
        <v>500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7" x14ac:dyDescent="0.25">
      <c r="A1158" t="s">
        <v>149</v>
      </c>
      <c r="B1158" t="s">
        <v>566</v>
      </c>
      <c r="C1158" t="s">
        <v>920</v>
      </c>
      <c r="D1158" t="s">
        <v>920</v>
      </c>
      <c r="E1158" t="s">
        <v>1266</v>
      </c>
      <c r="F1158" t="s">
        <v>571</v>
      </c>
      <c r="G1158" s="204"/>
      <c r="L1158">
        <v>25000</v>
      </c>
      <c r="M1158">
        <v>201499.99999999997</v>
      </c>
      <c r="N1158">
        <v>10000</v>
      </c>
      <c r="O1158">
        <v>80600</v>
      </c>
      <c r="P1158">
        <v>10000</v>
      </c>
      <c r="Q1158">
        <v>35000</v>
      </c>
      <c r="T1158">
        <v>0</v>
      </c>
      <c r="U1158">
        <v>0</v>
      </c>
      <c r="V1158">
        <v>5000</v>
      </c>
      <c r="W1158">
        <v>40300</v>
      </c>
      <c r="X1158">
        <v>5000</v>
      </c>
      <c r="Y1158">
        <v>5000</v>
      </c>
      <c r="Z1158">
        <v>40300</v>
      </c>
      <c r="AA1158">
        <v>8.06</v>
      </c>
    </row>
    <row r="1159" spans="1:27" x14ac:dyDescent="0.25">
      <c r="A1159" t="s">
        <v>149</v>
      </c>
      <c r="B1159" t="s">
        <v>566</v>
      </c>
      <c r="C1159" t="s">
        <v>920</v>
      </c>
      <c r="D1159" t="s">
        <v>920</v>
      </c>
      <c r="E1159" t="s">
        <v>1295</v>
      </c>
      <c r="F1159" t="s">
        <v>571</v>
      </c>
      <c r="G1159" s="204"/>
      <c r="J1159">
        <v>7000</v>
      </c>
      <c r="K1159">
        <v>61390</v>
      </c>
      <c r="L1159">
        <v>3500</v>
      </c>
      <c r="M1159">
        <v>30695</v>
      </c>
      <c r="N1159">
        <v>3500</v>
      </c>
      <c r="O1159">
        <v>42630</v>
      </c>
      <c r="P1159">
        <v>3500</v>
      </c>
      <c r="Q1159">
        <v>7000</v>
      </c>
      <c r="R1159">
        <v>73325</v>
      </c>
      <c r="S1159">
        <v>10.475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7" x14ac:dyDescent="0.25">
      <c r="A1160" t="s">
        <v>149</v>
      </c>
      <c r="B1160" t="s">
        <v>566</v>
      </c>
      <c r="C1160" t="s">
        <v>920</v>
      </c>
      <c r="D1160" t="s">
        <v>920</v>
      </c>
      <c r="E1160" t="s">
        <v>1365</v>
      </c>
      <c r="F1160" t="s">
        <v>571</v>
      </c>
      <c r="G1160" s="204"/>
      <c r="L1160">
        <v>10</v>
      </c>
      <c r="M1160">
        <v>280.8</v>
      </c>
      <c r="N1160">
        <v>0</v>
      </c>
      <c r="O1160">
        <v>0</v>
      </c>
      <c r="P1160">
        <v>0</v>
      </c>
      <c r="Q1160">
        <v>10</v>
      </c>
      <c r="R1160">
        <v>280.8</v>
      </c>
      <c r="S1160">
        <v>28.080000000000002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7" x14ac:dyDescent="0.25">
      <c r="A1161" t="s">
        <v>149</v>
      </c>
      <c r="B1161" t="s">
        <v>566</v>
      </c>
      <c r="C1161" t="s">
        <v>920</v>
      </c>
      <c r="D1161" t="s">
        <v>920</v>
      </c>
      <c r="E1161" t="s">
        <v>1138</v>
      </c>
      <c r="F1161" t="s">
        <v>571</v>
      </c>
      <c r="G1161" s="204"/>
      <c r="L1161">
        <v>3950</v>
      </c>
      <c r="M1161">
        <v>32024.5</v>
      </c>
      <c r="N1161">
        <v>0</v>
      </c>
      <c r="O1161">
        <v>0</v>
      </c>
      <c r="P1161">
        <v>0</v>
      </c>
      <c r="Q1161">
        <v>3950</v>
      </c>
      <c r="T1161">
        <v>0</v>
      </c>
      <c r="U1161">
        <v>0</v>
      </c>
      <c r="V1161">
        <v>2200</v>
      </c>
      <c r="W1161">
        <v>15686</v>
      </c>
      <c r="X1161">
        <v>2200</v>
      </c>
      <c r="Y1161">
        <v>2200</v>
      </c>
      <c r="Z1161">
        <v>15686</v>
      </c>
      <c r="AA1161">
        <v>7.13</v>
      </c>
    </row>
    <row r="1162" spans="1:27" x14ac:dyDescent="0.25">
      <c r="A1162" t="s">
        <v>149</v>
      </c>
      <c r="B1162" t="s">
        <v>566</v>
      </c>
      <c r="C1162" t="s">
        <v>920</v>
      </c>
      <c r="D1162" t="s">
        <v>920</v>
      </c>
      <c r="E1162" t="s">
        <v>1434</v>
      </c>
      <c r="F1162" t="s">
        <v>571</v>
      </c>
      <c r="G1162" s="204"/>
      <c r="J1162">
        <v>1838</v>
      </c>
      <c r="K1162">
        <v>18122.68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7" x14ac:dyDescent="0.25">
      <c r="A1163" t="s">
        <v>149</v>
      </c>
      <c r="B1163" t="s">
        <v>566</v>
      </c>
      <c r="C1163" t="s">
        <v>920</v>
      </c>
      <c r="D1163" t="s">
        <v>920</v>
      </c>
      <c r="E1163" t="s">
        <v>1273</v>
      </c>
      <c r="F1163" t="s">
        <v>571</v>
      </c>
      <c r="G1163" s="204"/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T1163">
        <v>0</v>
      </c>
      <c r="U1163">
        <v>0</v>
      </c>
      <c r="V1163">
        <v>1889</v>
      </c>
      <c r="W1163">
        <v>18852.22</v>
      </c>
      <c r="X1163">
        <v>1889</v>
      </c>
      <c r="Y1163">
        <v>1889</v>
      </c>
      <c r="Z1163">
        <v>18852.22</v>
      </c>
      <c r="AA1163">
        <v>9.98</v>
      </c>
    </row>
    <row r="1164" spans="1:27" x14ac:dyDescent="0.25">
      <c r="A1164" t="s">
        <v>149</v>
      </c>
      <c r="B1164" t="s">
        <v>566</v>
      </c>
      <c r="C1164" t="s">
        <v>920</v>
      </c>
      <c r="D1164" t="s">
        <v>920</v>
      </c>
      <c r="E1164" t="s">
        <v>1212</v>
      </c>
      <c r="F1164" t="s">
        <v>571</v>
      </c>
      <c r="G1164" s="204"/>
      <c r="H1164">
        <v>7000</v>
      </c>
      <c r="I1164">
        <v>50960</v>
      </c>
      <c r="L1164">
        <v>15000</v>
      </c>
      <c r="M1164">
        <v>117200</v>
      </c>
      <c r="N1164">
        <v>2500</v>
      </c>
      <c r="O1164">
        <v>19750</v>
      </c>
      <c r="P1164">
        <v>2500</v>
      </c>
      <c r="Q1164">
        <v>17500</v>
      </c>
      <c r="T1164">
        <v>0</v>
      </c>
      <c r="U1164">
        <v>0</v>
      </c>
      <c r="V1164">
        <v>7500</v>
      </c>
      <c r="W1164">
        <v>59250</v>
      </c>
      <c r="X1164">
        <v>7500</v>
      </c>
      <c r="Y1164">
        <v>7500</v>
      </c>
    </row>
    <row r="1165" spans="1:27" x14ac:dyDescent="0.25">
      <c r="A1165" t="s">
        <v>149</v>
      </c>
      <c r="B1165" t="s">
        <v>566</v>
      </c>
      <c r="C1165" t="s">
        <v>920</v>
      </c>
      <c r="D1165" t="s">
        <v>920</v>
      </c>
      <c r="E1165" t="s">
        <v>1216</v>
      </c>
      <c r="F1165" t="s">
        <v>571</v>
      </c>
      <c r="G1165" s="204"/>
      <c r="K1165">
        <v>43700</v>
      </c>
      <c r="L1165">
        <v>5100</v>
      </c>
      <c r="M1165">
        <v>35343</v>
      </c>
      <c r="N1165">
        <v>1000</v>
      </c>
      <c r="O1165">
        <v>6930</v>
      </c>
      <c r="P1165">
        <v>1000</v>
      </c>
      <c r="Q1165">
        <v>6100</v>
      </c>
      <c r="T1165">
        <v>0</v>
      </c>
      <c r="U1165">
        <v>0</v>
      </c>
      <c r="V1165">
        <v>6000</v>
      </c>
      <c r="W1165">
        <v>41580</v>
      </c>
      <c r="X1165">
        <v>6000</v>
      </c>
      <c r="Y1165">
        <v>6000</v>
      </c>
    </row>
    <row r="1166" spans="1:27" x14ac:dyDescent="0.25">
      <c r="A1166" t="s">
        <v>149</v>
      </c>
      <c r="B1166" t="s">
        <v>566</v>
      </c>
      <c r="C1166" t="s">
        <v>920</v>
      </c>
      <c r="D1166" t="s">
        <v>920</v>
      </c>
      <c r="E1166" t="s">
        <v>1719</v>
      </c>
      <c r="F1166" t="s">
        <v>571</v>
      </c>
      <c r="G1166" s="204"/>
      <c r="H1166">
        <v>156</v>
      </c>
      <c r="I1166">
        <v>1806.48</v>
      </c>
      <c r="J1166">
        <v>156</v>
      </c>
      <c r="K1166">
        <v>1806.48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7" x14ac:dyDescent="0.25">
      <c r="A1167" t="s">
        <v>1633</v>
      </c>
      <c r="B1167" t="s">
        <v>562</v>
      </c>
      <c r="C1167" t="s">
        <v>920</v>
      </c>
      <c r="D1167" t="s">
        <v>920</v>
      </c>
      <c r="E1167" t="s">
        <v>1338</v>
      </c>
      <c r="F1167" t="s">
        <v>571</v>
      </c>
      <c r="G1167" s="204"/>
      <c r="J1167">
        <v>35</v>
      </c>
      <c r="K1167">
        <v>4375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7" x14ac:dyDescent="0.25">
      <c r="A1168" t="s">
        <v>414</v>
      </c>
      <c r="B1168" t="s">
        <v>567</v>
      </c>
      <c r="C1168" t="s">
        <v>555</v>
      </c>
      <c r="D1168" t="s">
        <v>615</v>
      </c>
      <c r="E1168" t="s">
        <v>1258</v>
      </c>
      <c r="F1168" t="s">
        <v>571</v>
      </c>
      <c r="G1168" s="204"/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T1168">
        <v>0</v>
      </c>
      <c r="U1168">
        <v>0</v>
      </c>
      <c r="V1168">
        <v>27500</v>
      </c>
      <c r="W1168">
        <v>570625</v>
      </c>
      <c r="X1168">
        <v>27500</v>
      </c>
      <c r="Y1168">
        <v>27500</v>
      </c>
      <c r="Z1168">
        <v>570625</v>
      </c>
      <c r="AA1168">
        <v>20.75</v>
      </c>
    </row>
    <row r="1169" spans="1:27" x14ac:dyDescent="0.25">
      <c r="A1169" t="s">
        <v>414</v>
      </c>
      <c r="B1169" t="s">
        <v>567</v>
      </c>
      <c r="C1169" t="s">
        <v>555</v>
      </c>
      <c r="D1169" t="s">
        <v>615</v>
      </c>
      <c r="E1169" t="s">
        <v>1434</v>
      </c>
      <c r="F1169" t="s">
        <v>571</v>
      </c>
      <c r="G1169" s="204"/>
      <c r="J1169">
        <v>1239</v>
      </c>
      <c r="K1169">
        <v>25709.25</v>
      </c>
      <c r="L1169">
        <v>8761</v>
      </c>
      <c r="M1169">
        <v>181790.75</v>
      </c>
      <c r="N1169">
        <v>0</v>
      </c>
      <c r="O1169">
        <v>0</v>
      </c>
      <c r="P1169">
        <v>0</v>
      </c>
      <c r="Q1169">
        <v>8761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7" x14ac:dyDescent="0.25">
      <c r="A1170" t="s">
        <v>1471</v>
      </c>
      <c r="B1170" t="s">
        <v>562</v>
      </c>
      <c r="C1170" t="s">
        <v>1858</v>
      </c>
      <c r="D1170" t="s">
        <v>584</v>
      </c>
      <c r="E1170" t="s">
        <v>1266</v>
      </c>
      <c r="F1170" t="s">
        <v>571</v>
      </c>
      <c r="G1170" s="204"/>
      <c r="L1170">
        <v>144</v>
      </c>
      <c r="M1170">
        <v>27972</v>
      </c>
      <c r="N1170">
        <v>0</v>
      </c>
      <c r="O1170">
        <v>0</v>
      </c>
      <c r="P1170">
        <v>0</v>
      </c>
      <c r="Q1170">
        <v>144</v>
      </c>
      <c r="R1170">
        <v>27972</v>
      </c>
      <c r="S1170">
        <v>194.25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7" x14ac:dyDescent="0.25">
      <c r="A1171" t="s">
        <v>1471</v>
      </c>
      <c r="B1171" t="s">
        <v>562</v>
      </c>
      <c r="C1171" t="s">
        <v>1858</v>
      </c>
      <c r="D1171" t="s">
        <v>584</v>
      </c>
      <c r="E1171" t="s">
        <v>1173</v>
      </c>
      <c r="F1171" t="s">
        <v>571</v>
      </c>
      <c r="G1171" s="204"/>
      <c r="J1171">
        <v>71</v>
      </c>
      <c r="K1171">
        <v>6660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7" x14ac:dyDescent="0.25">
      <c r="A1172" t="s">
        <v>1471</v>
      </c>
      <c r="B1172" t="s">
        <v>562</v>
      </c>
      <c r="C1172" t="s">
        <v>1858</v>
      </c>
      <c r="D1172" t="s">
        <v>584</v>
      </c>
      <c r="E1172" t="s">
        <v>1212</v>
      </c>
      <c r="F1172" t="s">
        <v>571</v>
      </c>
      <c r="G1172" s="204"/>
      <c r="J1172">
        <v>52</v>
      </c>
      <c r="K1172">
        <v>7355.4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7" x14ac:dyDescent="0.25">
      <c r="A1173" t="s">
        <v>130</v>
      </c>
      <c r="B1173" t="s">
        <v>556</v>
      </c>
      <c r="C1173" t="s">
        <v>1859</v>
      </c>
      <c r="D1173" t="s">
        <v>596</v>
      </c>
      <c r="E1173" t="s">
        <v>1149</v>
      </c>
      <c r="F1173" t="s">
        <v>571</v>
      </c>
      <c r="G1173" s="204"/>
      <c r="L1173">
        <v>400</v>
      </c>
      <c r="M1173">
        <v>36924</v>
      </c>
      <c r="N1173">
        <v>200</v>
      </c>
      <c r="O1173">
        <v>18462</v>
      </c>
      <c r="P1173">
        <v>200</v>
      </c>
      <c r="Q1173">
        <v>600</v>
      </c>
      <c r="T1173">
        <v>0</v>
      </c>
      <c r="U1173">
        <v>0</v>
      </c>
      <c r="V1173">
        <v>50</v>
      </c>
      <c r="W1173">
        <v>6275.5</v>
      </c>
      <c r="X1173">
        <v>50</v>
      </c>
      <c r="Y1173">
        <v>50</v>
      </c>
      <c r="Z1173">
        <v>6275.5</v>
      </c>
      <c r="AA1173">
        <v>125.51</v>
      </c>
    </row>
    <row r="1174" spans="1:27" x14ac:dyDescent="0.25">
      <c r="A1174" t="s">
        <v>130</v>
      </c>
      <c r="B1174" t="s">
        <v>556</v>
      </c>
      <c r="C1174" t="s">
        <v>1859</v>
      </c>
      <c r="D1174" t="s">
        <v>596</v>
      </c>
      <c r="E1174" t="s">
        <v>1305</v>
      </c>
      <c r="F1174" t="s">
        <v>571</v>
      </c>
      <c r="G1174" s="204"/>
      <c r="H1174">
        <v>180</v>
      </c>
      <c r="I1174">
        <v>16086.6</v>
      </c>
      <c r="L1174">
        <v>634</v>
      </c>
      <c r="M1174">
        <v>62848.42</v>
      </c>
      <c r="N1174">
        <v>0</v>
      </c>
      <c r="O1174">
        <v>0</v>
      </c>
      <c r="P1174">
        <v>0</v>
      </c>
      <c r="Q1174">
        <v>634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7" x14ac:dyDescent="0.25">
      <c r="A1175" t="s">
        <v>130</v>
      </c>
      <c r="B1175" t="s">
        <v>556</v>
      </c>
      <c r="C1175" t="s">
        <v>1859</v>
      </c>
      <c r="D1175" t="s">
        <v>596</v>
      </c>
      <c r="E1175" t="s">
        <v>1157</v>
      </c>
      <c r="F1175" t="s">
        <v>571</v>
      </c>
      <c r="G1175" s="204"/>
      <c r="H1175">
        <v>650</v>
      </c>
      <c r="I1175">
        <v>52533</v>
      </c>
      <c r="L1175">
        <v>3209</v>
      </c>
      <c r="M1175">
        <v>329673.50999999995</v>
      </c>
      <c r="N1175">
        <v>0</v>
      </c>
      <c r="O1175">
        <v>0</v>
      </c>
      <c r="P1175">
        <v>0</v>
      </c>
      <c r="Q1175">
        <v>3209</v>
      </c>
      <c r="T1175">
        <v>0</v>
      </c>
      <c r="U1175">
        <v>0</v>
      </c>
      <c r="V1175">
        <v>734</v>
      </c>
      <c r="W1175">
        <v>76769.06</v>
      </c>
      <c r="X1175">
        <v>734</v>
      </c>
      <c r="Y1175">
        <v>734</v>
      </c>
    </row>
    <row r="1176" spans="1:27" x14ac:dyDescent="0.25">
      <c r="A1176" t="s">
        <v>130</v>
      </c>
      <c r="B1176" t="s">
        <v>556</v>
      </c>
      <c r="C1176" t="s">
        <v>1859</v>
      </c>
      <c r="D1176" t="s">
        <v>596</v>
      </c>
      <c r="E1176" t="s">
        <v>1150</v>
      </c>
      <c r="F1176" t="s">
        <v>571</v>
      </c>
      <c r="G1176" s="204"/>
      <c r="J1176">
        <v>2250</v>
      </c>
      <c r="K1176">
        <v>174847.5</v>
      </c>
      <c r="L1176">
        <v>1125</v>
      </c>
      <c r="M1176">
        <v>103848.75</v>
      </c>
      <c r="N1176">
        <v>1150</v>
      </c>
      <c r="O1176">
        <v>106156.5</v>
      </c>
      <c r="P1176">
        <v>1150</v>
      </c>
      <c r="Q1176">
        <v>2275</v>
      </c>
      <c r="T1176">
        <v>0</v>
      </c>
      <c r="U1176">
        <v>0</v>
      </c>
      <c r="V1176">
        <v>2800</v>
      </c>
      <c r="W1176">
        <v>258468</v>
      </c>
      <c r="X1176">
        <v>2800</v>
      </c>
      <c r="Y1176">
        <v>2800</v>
      </c>
    </row>
    <row r="1177" spans="1:27" x14ac:dyDescent="0.25">
      <c r="A1177" t="s">
        <v>130</v>
      </c>
      <c r="B1177" t="s">
        <v>556</v>
      </c>
      <c r="C1177" t="s">
        <v>1859</v>
      </c>
      <c r="D1177" t="s">
        <v>596</v>
      </c>
      <c r="E1177" t="s">
        <v>1169</v>
      </c>
      <c r="F1177" t="s">
        <v>578</v>
      </c>
      <c r="G1177" s="204">
        <v>46022</v>
      </c>
      <c r="H1177">
        <v>82</v>
      </c>
      <c r="I1177">
        <v>6372.22</v>
      </c>
      <c r="L1177">
        <v>886</v>
      </c>
      <c r="M1177">
        <v>68851.060000000012</v>
      </c>
      <c r="N1177">
        <v>428</v>
      </c>
      <c r="O1177">
        <v>33259.880000000005</v>
      </c>
      <c r="P1177">
        <v>428</v>
      </c>
      <c r="Q1177">
        <v>1314</v>
      </c>
      <c r="T1177">
        <v>0</v>
      </c>
      <c r="U1177">
        <v>0</v>
      </c>
      <c r="V1177">
        <v>473</v>
      </c>
      <c r="W1177">
        <v>36756.83</v>
      </c>
      <c r="X1177">
        <v>473</v>
      </c>
      <c r="Y1177">
        <v>473</v>
      </c>
    </row>
    <row r="1178" spans="1:27" x14ac:dyDescent="0.25">
      <c r="A1178" t="s">
        <v>151</v>
      </c>
      <c r="B1178" t="s">
        <v>566</v>
      </c>
      <c r="C1178" t="s">
        <v>920</v>
      </c>
      <c r="D1178" t="s">
        <v>920</v>
      </c>
      <c r="E1178" t="s">
        <v>1520</v>
      </c>
      <c r="F1178" t="s">
        <v>571</v>
      </c>
      <c r="G1178" s="204"/>
      <c r="L1178">
        <v>50</v>
      </c>
      <c r="M1178">
        <v>729</v>
      </c>
      <c r="N1178">
        <v>0</v>
      </c>
      <c r="O1178">
        <v>0</v>
      </c>
      <c r="P1178">
        <v>0</v>
      </c>
      <c r="Q1178">
        <v>50</v>
      </c>
      <c r="R1178">
        <v>729</v>
      </c>
      <c r="S1178">
        <v>14.58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7" x14ac:dyDescent="0.25">
      <c r="A1179" t="s">
        <v>151</v>
      </c>
      <c r="B1179" t="s">
        <v>566</v>
      </c>
      <c r="C1179" t="s">
        <v>920</v>
      </c>
      <c r="D1179" t="s">
        <v>920</v>
      </c>
      <c r="E1179" t="s">
        <v>1216</v>
      </c>
      <c r="F1179" t="s">
        <v>571</v>
      </c>
      <c r="G1179" s="204"/>
      <c r="L1179">
        <v>0</v>
      </c>
      <c r="M1179">
        <v>0</v>
      </c>
      <c r="N1179">
        <v>550</v>
      </c>
      <c r="O1179">
        <v>7067.5</v>
      </c>
      <c r="P1179">
        <v>550</v>
      </c>
      <c r="Q1179">
        <v>550</v>
      </c>
      <c r="R1179">
        <v>7067.5</v>
      </c>
      <c r="S1179">
        <v>12.85</v>
      </c>
      <c r="T1179">
        <v>0</v>
      </c>
      <c r="U1179">
        <v>0</v>
      </c>
      <c r="V1179">
        <v>600</v>
      </c>
      <c r="W1179">
        <v>7710</v>
      </c>
      <c r="X1179">
        <v>600</v>
      </c>
      <c r="Y1179">
        <v>600</v>
      </c>
    </row>
    <row r="1180" spans="1:27" x14ac:dyDescent="0.25">
      <c r="A1180" t="s">
        <v>153</v>
      </c>
      <c r="B1180" t="s">
        <v>566</v>
      </c>
      <c r="C1180" t="s">
        <v>920</v>
      </c>
      <c r="D1180" t="s">
        <v>920</v>
      </c>
      <c r="E1180" t="s">
        <v>1280</v>
      </c>
      <c r="F1180" t="s">
        <v>571</v>
      </c>
      <c r="G1180" s="204"/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T1180">
        <v>0</v>
      </c>
      <c r="U1180">
        <v>0</v>
      </c>
      <c r="V1180">
        <v>1500</v>
      </c>
      <c r="W1180">
        <v>29955</v>
      </c>
      <c r="X1180">
        <v>1500</v>
      </c>
      <c r="Y1180">
        <v>1500</v>
      </c>
      <c r="Z1180">
        <v>29955</v>
      </c>
      <c r="AA1180">
        <v>19.97</v>
      </c>
    </row>
    <row r="1181" spans="1:27" x14ac:dyDescent="0.25">
      <c r="A1181" t="s">
        <v>153</v>
      </c>
      <c r="B1181" t="s">
        <v>566</v>
      </c>
      <c r="C1181" t="s">
        <v>920</v>
      </c>
      <c r="D1181" t="s">
        <v>920</v>
      </c>
      <c r="E1181" t="s">
        <v>1330</v>
      </c>
      <c r="F1181" t="s">
        <v>571</v>
      </c>
      <c r="G1181" s="204"/>
      <c r="H1181">
        <v>1000</v>
      </c>
      <c r="I1181">
        <v>17000</v>
      </c>
      <c r="L1181">
        <v>2500</v>
      </c>
      <c r="M1181">
        <v>42500</v>
      </c>
      <c r="N1181">
        <v>0</v>
      </c>
      <c r="O1181">
        <v>0</v>
      </c>
      <c r="P1181">
        <v>0</v>
      </c>
      <c r="Q1181">
        <v>2500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7" x14ac:dyDescent="0.25">
      <c r="A1182" t="s">
        <v>153</v>
      </c>
      <c r="B1182" t="s">
        <v>566</v>
      </c>
      <c r="C1182" t="s">
        <v>920</v>
      </c>
      <c r="D1182" t="s">
        <v>920</v>
      </c>
      <c r="E1182" t="s">
        <v>1216</v>
      </c>
      <c r="F1182" t="s">
        <v>571</v>
      </c>
      <c r="G1182" s="204"/>
      <c r="J1182">
        <v>500</v>
      </c>
      <c r="K1182">
        <v>9205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7" x14ac:dyDescent="0.25">
      <c r="A1183" t="s">
        <v>1634</v>
      </c>
      <c r="B1183" t="s">
        <v>554</v>
      </c>
      <c r="C1183" t="s">
        <v>920</v>
      </c>
      <c r="D1183" t="s">
        <v>920</v>
      </c>
      <c r="E1183" t="s">
        <v>1266</v>
      </c>
      <c r="F1183" t="s">
        <v>571</v>
      </c>
      <c r="G1183" s="204"/>
      <c r="J1183">
        <v>500</v>
      </c>
      <c r="K1183">
        <v>9225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7" x14ac:dyDescent="0.25">
      <c r="A1184" t="s">
        <v>155</v>
      </c>
      <c r="B1184" t="s">
        <v>566</v>
      </c>
      <c r="C1184" t="s">
        <v>920</v>
      </c>
      <c r="D1184" t="s">
        <v>920</v>
      </c>
      <c r="E1184" t="s">
        <v>1280</v>
      </c>
      <c r="F1184" t="s">
        <v>571</v>
      </c>
      <c r="G1184" s="204"/>
      <c r="L1184">
        <v>5000</v>
      </c>
      <c r="M1184">
        <v>49500</v>
      </c>
      <c r="N1184">
        <v>0</v>
      </c>
      <c r="O1184">
        <v>0</v>
      </c>
      <c r="P1184">
        <v>0</v>
      </c>
      <c r="Q1184">
        <v>5000</v>
      </c>
      <c r="R1184">
        <v>49500</v>
      </c>
      <c r="S1184">
        <v>9.9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7" x14ac:dyDescent="0.25">
      <c r="A1185" t="s">
        <v>155</v>
      </c>
      <c r="B1185" t="s">
        <v>566</v>
      </c>
      <c r="C1185" t="s">
        <v>920</v>
      </c>
      <c r="D1185" t="s">
        <v>920</v>
      </c>
      <c r="E1185" t="s">
        <v>1181</v>
      </c>
      <c r="F1185" t="s">
        <v>571</v>
      </c>
      <c r="G1185" s="204"/>
      <c r="J1185">
        <v>2250</v>
      </c>
      <c r="K1185">
        <v>29025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7" x14ac:dyDescent="0.25">
      <c r="A1186" t="s">
        <v>155</v>
      </c>
      <c r="B1186" t="s">
        <v>566</v>
      </c>
      <c r="C1186" t="s">
        <v>920</v>
      </c>
      <c r="D1186" t="s">
        <v>920</v>
      </c>
      <c r="E1186" t="s">
        <v>1217</v>
      </c>
      <c r="F1186" t="s">
        <v>571</v>
      </c>
      <c r="G1186" s="204"/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T1186">
        <v>0</v>
      </c>
      <c r="U1186">
        <v>0</v>
      </c>
      <c r="V1186">
        <v>6000</v>
      </c>
      <c r="W1186">
        <v>56580</v>
      </c>
      <c r="X1186">
        <v>6000</v>
      </c>
      <c r="Y1186">
        <v>6000</v>
      </c>
      <c r="Z1186">
        <v>56580</v>
      </c>
      <c r="AA1186">
        <v>9.43</v>
      </c>
    </row>
    <row r="1187" spans="1:27" x14ac:dyDescent="0.25">
      <c r="A1187" t="s">
        <v>155</v>
      </c>
      <c r="B1187" t="s">
        <v>566</v>
      </c>
      <c r="C1187" t="s">
        <v>920</v>
      </c>
      <c r="D1187" t="s">
        <v>920</v>
      </c>
      <c r="E1187" t="s">
        <v>1330</v>
      </c>
      <c r="F1187" t="s">
        <v>571</v>
      </c>
      <c r="G1187" s="204"/>
      <c r="H1187">
        <v>5000</v>
      </c>
      <c r="I1187">
        <v>43775</v>
      </c>
      <c r="L1187">
        <v>8000</v>
      </c>
      <c r="M1187">
        <v>75440</v>
      </c>
      <c r="N1187">
        <v>0</v>
      </c>
      <c r="O1187">
        <v>0</v>
      </c>
      <c r="P1187">
        <v>0</v>
      </c>
      <c r="Q1187">
        <v>8000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7" x14ac:dyDescent="0.25">
      <c r="A1188" t="s">
        <v>155</v>
      </c>
      <c r="B1188" t="s">
        <v>566</v>
      </c>
      <c r="C1188" t="s">
        <v>920</v>
      </c>
      <c r="D1188" t="s">
        <v>920</v>
      </c>
      <c r="E1188" t="s">
        <v>1485</v>
      </c>
      <c r="F1188" t="s">
        <v>571</v>
      </c>
      <c r="G1188" s="204"/>
      <c r="J1188">
        <v>200</v>
      </c>
      <c r="K1188">
        <v>4024</v>
      </c>
      <c r="L1188">
        <v>260</v>
      </c>
      <c r="M1188">
        <v>5545.8</v>
      </c>
      <c r="N1188">
        <v>0</v>
      </c>
      <c r="O1188">
        <v>0</v>
      </c>
      <c r="P1188">
        <v>0</v>
      </c>
      <c r="Q1188">
        <v>260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7" x14ac:dyDescent="0.25">
      <c r="A1189" t="s">
        <v>155</v>
      </c>
      <c r="B1189" t="s">
        <v>566</v>
      </c>
      <c r="C1189" t="s">
        <v>920</v>
      </c>
      <c r="D1189" t="s">
        <v>920</v>
      </c>
      <c r="E1189" t="s">
        <v>1314</v>
      </c>
      <c r="F1189" t="s">
        <v>571</v>
      </c>
      <c r="G1189" s="204"/>
      <c r="H1189">
        <v>165</v>
      </c>
      <c r="I1189">
        <v>2371.0500000000002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7" x14ac:dyDescent="0.25">
      <c r="A1190" t="s">
        <v>155</v>
      </c>
      <c r="B1190" t="s">
        <v>566</v>
      </c>
      <c r="C1190" t="s">
        <v>920</v>
      </c>
      <c r="D1190" t="s">
        <v>920</v>
      </c>
      <c r="E1190" t="s">
        <v>1316</v>
      </c>
      <c r="F1190" t="s">
        <v>571</v>
      </c>
      <c r="G1190" s="204"/>
      <c r="L1190">
        <v>250</v>
      </c>
      <c r="M1190">
        <v>2595</v>
      </c>
      <c r="N1190">
        <v>250</v>
      </c>
      <c r="O1190">
        <v>2595</v>
      </c>
      <c r="P1190">
        <v>250</v>
      </c>
      <c r="Q1190">
        <v>500</v>
      </c>
      <c r="T1190">
        <v>0</v>
      </c>
      <c r="U1190">
        <v>0</v>
      </c>
      <c r="V1190">
        <v>250</v>
      </c>
      <c r="W1190">
        <v>2595</v>
      </c>
      <c r="X1190">
        <v>250</v>
      </c>
      <c r="Y1190">
        <v>250</v>
      </c>
      <c r="Z1190">
        <v>2595</v>
      </c>
      <c r="AA1190">
        <v>10.38</v>
      </c>
    </row>
    <row r="1191" spans="1:27" x14ac:dyDescent="0.25">
      <c r="A1191" t="s">
        <v>155</v>
      </c>
      <c r="B1191" t="s">
        <v>566</v>
      </c>
      <c r="C1191" t="s">
        <v>920</v>
      </c>
      <c r="D1191" t="s">
        <v>920</v>
      </c>
      <c r="E1191" t="s">
        <v>1221</v>
      </c>
      <c r="F1191" t="s">
        <v>571</v>
      </c>
      <c r="G1191" s="204"/>
      <c r="H1191">
        <v>300</v>
      </c>
      <c r="I1191">
        <v>3549</v>
      </c>
      <c r="L1191">
        <v>500</v>
      </c>
      <c r="M1191">
        <v>5915</v>
      </c>
      <c r="N1191">
        <v>0</v>
      </c>
      <c r="O1191">
        <v>0</v>
      </c>
      <c r="P1191">
        <v>0</v>
      </c>
      <c r="Q1191">
        <v>500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7" x14ac:dyDescent="0.25">
      <c r="A1192" t="s">
        <v>155</v>
      </c>
      <c r="B1192" t="s">
        <v>566</v>
      </c>
      <c r="C1192" t="s">
        <v>920</v>
      </c>
      <c r="D1192" t="s">
        <v>920</v>
      </c>
      <c r="E1192" t="s">
        <v>1191</v>
      </c>
      <c r="F1192" t="s">
        <v>571</v>
      </c>
      <c r="G1192" s="204"/>
      <c r="J1192">
        <v>500</v>
      </c>
      <c r="K1192">
        <v>5495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7" x14ac:dyDescent="0.25">
      <c r="A1193" t="s">
        <v>155</v>
      </c>
      <c r="B1193" t="s">
        <v>566</v>
      </c>
      <c r="C1193" t="s">
        <v>920</v>
      </c>
      <c r="D1193" t="s">
        <v>920</v>
      </c>
      <c r="E1193" t="s">
        <v>1266</v>
      </c>
      <c r="F1193" t="s">
        <v>571</v>
      </c>
      <c r="G1193" s="204"/>
      <c r="H1193">
        <v>7000</v>
      </c>
      <c r="I1193">
        <v>58730</v>
      </c>
      <c r="L1193">
        <v>5500</v>
      </c>
      <c r="M1193">
        <v>49115</v>
      </c>
      <c r="N1193">
        <v>2500</v>
      </c>
      <c r="O1193">
        <v>22325</v>
      </c>
      <c r="P1193">
        <v>2500</v>
      </c>
      <c r="Q1193">
        <v>8000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7" x14ac:dyDescent="0.25">
      <c r="A1194" t="s">
        <v>155</v>
      </c>
      <c r="B1194" t="s">
        <v>566</v>
      </c>
      <c r="C1194" t="s">
        <v>920</v>
      </c>
      <c r="D1194" t="s">
        <v>920</v>
      </c>
      <c r="E1194" t="s">
        <v>1295</v>
      </c>
      <c r="F1194" t="s">
        <v>571</v>
      </c>
      <c r="G1194" s="204"/>
      <c r="L1194">
        <v>100</v>
      </c>
      <c r="M1194">
        <v>1500</v>
      </c>
      <c r="N1194">
        <v>0</v>
      </c>
      <c r="O1194">
        <v>0</v>
      </c>
      <c r="P1194">
        <v>0</v>
      </c>
      <c r="Q1194">
        <v>100</v>
      </c>
      <c r="R1194">
        <v>1500</v>
      </c>
      <c r="S1194">
        <v>15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7" x14ac:dyDescent="0.25">
      <c r="A1195" t="s">
        <v>155</v>
      </c>
      <c r="B1195" t="s">
        <v>566</v>
      </c>
      <c r="C1195" t="s">
        <v>920</v>
      </c>
      <c r="D1195" t="s">
        <v>920</v>
      </c>
      <c r="E1195" t="s">
        <v>1365</v>
      </c>
      <c r="F1195" t="s">
        <v>571</v>
      </c>
      <c r="G1195" s="204"/>
      <c r="J1195">
        <v>4</v>
      </c>
      <c r="K1195">
        <v>116.64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7" x14ac:dyDescent="0.25">
      <c r="A1196" t="s">
        <v>155</v>
      </c>
      <c r="B1196" t="s">
        <v>566</v>
      </c>
      <c r="C1196" t="s">
        <v>920</v>
      </c>
      <c r="D1196" t="s">
        <v>920</v>
      </c>
      <c r="E1196" t="s">
        <v>1138</v>
      </c>
      <c r="F1196" t="s">
        <v>571</v>
      </c>
      <c r="G1196" s="204"/>
      <c r="L1196">
        <v>1400</v>
      </c>
      <c r="M1196">
        <v>8960</v>
      </c>
      <c r="N1196">
        <v>1000</v>
      </c>
      <c r="O1196">
        <v>6930</v>
      </c>
      <c r="P1196">
        <v>1000</v>
      </c>
      <c r="Q1196">
        <v>2400</v>
      </c>
      <c r="T1196">
        <v>0</v>
      </c>
      <c r="U1196">
        <v>0</v>
      </c>
      <c r="V1196">
        <v>1200</v>
      </c>
      <c r="W1196">
        <v>8316</v>
      </c>
      <c r="X1196">
        <v>1200</v>
      </c>
      <c r="Y1196">
        <v>1200</v>
      </c>
      <c r="Z1196">
        <v>8316</v>
      </c>
      <c r="AA1196">
        <v>6.93</v>
      </c>
    </row>
    <row r="1197" spans="1:27" x14ac:dyDescent="0.25">
      <c r="A1197" t="s">
        <v>155</v>
      </c>
      <c r="B1197" t="s">
        <v>566</v>
      </c>
      <c r="C1197" t="s">
        <v>920</v>
      </c>
      <c r="D1197" t="s">
        <v>920</v>
      </c>
      <c r="E1197" t="s">
        <v>1434</v>
      </c>
      <c r="F1197" t="s">
        <v>571</v>
      </c>
      <c r="G1197" s="204"/>
      <c r="L1197">
        <v>80</v>
      </c>
      <c r="M1197">
        <v>1475.2</v>
      </c>
      <c r="N1197">
        <v>0</v>
      </c>
      <c r="O1197">
        <v>0</v>
      </c>
      <c r="P1197">
        <v>0</v>
      </c>
      <c r="Q1197">
        <v>80</v>
      </c>
      <c r="R1197">
        <v>1475.2</v>
      </c>
      <c r="S1197">
        <v>18.440000000000001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7" x14ac:dyDescent="0.25">
      <c r="A1198" t="s">
        <v>155</v>
      </c>
      <c r="B1198" t="s">
        <v>566</v>
      </c>
      <c r="C1198" t="s">
        <v>920</v>
      </c>
      <c r="D1198" t="s">
        <v>920</v>
      </c>
      <c r="E1198" t="s">
        <v>1212</v>
      </c>
      <c r="F1198" t="s">
        <v>571</v>
      </c>
      <c r="G1198" s="204"/>
      <c r="H1198">
        <v>1000</v>
      </c>
      <c r="I1198">
        <v>8540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T1198">
        <v>0</v>
      </c>
      <c r="U1198">
        <v>0</v>
      </c>
      <c r="V1198">
        <v>11000</v>
      </c>
      <c r="W1198">
        <v>100870</v>
      </c>
      <c r="X1198">
        <v>11000</v>
      </c>
      <c r="Y1198">
        <v>11000</v>
      </c>
    </row>
    <row r="1199" spans="1:27" x14ac:dyDescent="0.25">
      <c r="A1199" t="s">
        <v>155</v>
      </c>
      <c r="B1199" t="s">
        <v>566</v>
      </c>
      <c r="C1199" t="s">
        <v>920</v>
      </c>
      <c r="D1199" t="s">
        <v>920</v>
      </c>
      <c r="E1199" t="s">
        <v>1216</v>
      </c>
      <c r="F1199" t="s">
        <v>571</v>
      </c>
      <c r="G1199" s="204"/>
      <c r="K1199">
        <v>23750</v>
      </c>
      <c r="L1199">
        <v>0</v>
      </c>
      <c r="M1199">
        <v>0</v>
      </c>
      <c r="N1199">
        <v>2500</v>
      </c>
      <c r="O1199">
        <v>20275</v>
      </c>
      <c r="P1199">
        <v>2500</v>
      </c>
      <c r="Q1199">
        <v>2500</v>
      </c>
      <c r="R1199">
        <v>20275</v>
      </c>
      <c r="S1199">
        <v>8.11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7" x14ac:dyDescent="0.25">
      <c r="A1200" t="s">
        <v>1379</v>
      </c>
      <c r="B1200" t="s">
        <v>565</v>
      </c>
      <c r="C1200" t="s">
        <v>1858</v>
      </c>
      <c r="D1200" t="s">
        <v>584</v>
      </c>
      <c r="E1200" t="s">
        <v>1343</v>
      </c>
      <c r="F1200" t="s">
        <v>571</v>
      </c>
      <c r="G1200" s="204"/>
      <c r="L1200">
        <v>69</v>
      </c>
      <c r="M1200">
        <v>31235.61</v>
      </c>
      <c r="N1200">
        <v>0</v>
      </c>
      <c r="O1200">
        <v>0</v>
      </c>
      <c r="P1200">
        <v>0</v>
      </c>
      <c r="Q1200">
        <v>69</v>
      </c>
      <c r="R1200">
        <v>31235.61</v>
      </c>
      <c r="S1200">
        <v>452.69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7" x14ac:dyDescent="0.25">
      <c r="A1201" t="s">
        <v>1379</v>
      </c>
      <c r="B1201" t="s">
        <v>565</v>
      </c>
      <c r="C1201" t="s">
        <v>1858</v>
      </c>
      <c r="D1201" t="s">
        <v>584</v>
      </c>
      <c r="E1201" t="s">
        <v>1173</v>
      </c>
      <c r="F1201" t="s">
        <v>571</v>
      </c>
      <c r="G1201" s="204"/>
      <c r="H1201">
        <v>275</v>
      </c>
      <c r="I1201">
        <v>20479.25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7" x14ac:dyDescent="0.25">
      <c r="A1202" t="s">
        <v>1297</v>
      </c>
      <c r="B1202" t="s">
        <v>566</v>
      </c>
      <c r="C1202" t="s">
        <v>920</v>
      </c>
      <c r="D1202" t="s">
        <v>920</v>
      </c>
      <c r="E1202" t="s">
        <v>1296</v>
      </c>
      <c r="F1202" t="s">
        <v>571</v>
      </c>
      <c r="G1202" s="204"/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T1202">
        <v>0</v>
      </c>
      <c r="U1202">
        <v>0</v>
      </c>
      <c r="V1202">
        <v>1220</v>
      </c>
      <c r="W1202">
        <v>22106.400000000001</v>
      </c>
      <c r="X1202">
        <v>1220</v>
      </c>
      <c r="Y1202">
        <v>1220</v>
      </c>
      <c r="Z1202">
        <v>22106.400000000001</v>
      </c>
      <c r="AA1202">
        <v>18.12</v>
      </c>
    </row>
    <row r="1203" spans="1:27" x14ac:dyDescent="0.25">
      <c r="A1203" t="s">
        <v>157</v>
      </c>
      <c r="B1203" t="s">
        <v>567</v>
      </c>
      <c r="C1203" t="s">
        <v>920</v>
      </c>
      <c r="D1203" t="s">
        <v>920</v>
      </c>
      <c r="E1203" t="s">
        <v>1280</v>
      </c>
      <c r="F1203" t="s">
        <v>571</v>
      </c>
      <c r="G1203" s="204"/>
      <c r="J1203">
        <v>500</v>
      </c>
      <c r="K1203">
        <v>6590</v>
      </c>
      <c r="L1203">
        <v>1000</v>
      </c>
      <c r="M1203">
        <v>12900</v>
      </c>
      <c r="N1203">
        <v>0</v>
      </c>
      <c r="O1203">
        <v>0</v>
      </c>
      <c r="P1203">
        <v>0</v>
      </c>
      <c r="Q1203">
        <v>1000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7" x14ac:dyDescent="0.25">
      <c r="A1204" t="s">
        <v>157</v>
      </c>
      <c r="B1204" t="s">
        <v>567</v>
      </c>
      <c r="C1204" t="s">
        <v>920</v>
      </c>
      <c r="D1204" t="s">
        <v>920</v>
      </c>
      <c r="E1204" t="s">
        <v>1266</v>
      </c>
      <c r="F1204" t="s">
        <v>571</v>
      </c>
      <c r="G1204" s="204"/>
      <c r="L1204">
        <v>1168</v>
      </c>
      <c r="M1204">
        <v>15067.2</v>
      </c>
      <c r="N1204">
        <v>0</v>
      </c>
      <c r="O1204">
        <v>0</v>
      </c>
      <c r="P1204">
        <v>0</v>
      </c>
      <c r="Q1204">
        <v>1168</v>
      </c>
      <c r="R1204">
        <v>15067.2</v>
      </c>
      <c r="S1204">
        <v>12.9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7" x14ac:dyDescent="0.25">
      <c r="A1205" t="s">
        <v>159</v>
      </c>
      <c r="B1205" t="s">
        <v>567</v>
      </c>
      <c r="C1205" t="s">
        <v>920</v>
      </c>
      <c r="D1205" t="s">
        <v>920</v>
      </c>
      <c r="E1205" t="s">
        <v>1216</v>
      </c>
      <c r="F1205" t="s">
        <v>571</v>
      </c>
      <c r="G1205" s="204"/>
      <c r="L1205">
        <v>650</v>
      </c>
      <c r="M1205">
        <v>20091.5</v>
      </c>
      <c r="N1205">
        <v>0</v>
      </c>
      <c r="O1205">
        <v>0</v>
      </c>
      <c r="P1205">
        <v>0</v>
      </c>
      <c r="Q1205">
        <v>650</v>
      </c>
      <c r="T1205">
        <v>0</v>
      </c>
      <c r="U1205">
        <v>0</v>
      </c>
      <c r="V1205">
        <v>60</v>
      </c>
      <c r="W1205">
        <v>2452.1999999999998</v>
      </c>
      <c r="X1205">
        <v>60</v>
      </c>
      <c r="Y1205">
        <v>60</v>
      </c>
      <c r="Z1205">
        <v>2452.1999999999998</v>
      </c>
      <c r="AA1205">
        <v>40.869999999999997</v>
      </c>
    </row>
    <row r="1206" spans="1:27" x14ac:dyDescent="0.25">
      <c r="A1206" t="s">
        <v>927</v>
      </c>
      <c r="B1206" t="s">
        <v>1031</v>
      </c>
      <c r="C1206" t="s">
        <v>920</v>
      </c>
      <c r="D1206" t="s">
        <v>920</v>
      </c>
      <c r="E1206" t="s">
        <v>1266</v>
      </c>
      <c r="F1206" t="s">
        <v>571</v>
      </c>
      <c r="G1206" s="204"/>
      <c r="J1206">
        <v>550</v>
      </c>
      <c r="K1206">
        <v>11907.5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T1206">
        <v>0</v>
      </c>
      <c r="U1206">
        <v>0</v>
      </c>
      <c r="V1206">
        <v>1500</v>
      </c>
      <c r="W1206">
        <v>31530</v>
      </c>
      <c r="X1206">
        <v>1500</v>
      </c>
      <c r="Y1206">
        <v>1500</v>
      </c>
    </row>
    <row r="1207" spans="1:27" x14ac:dyDescent="0.25">
      <c r="A1207" t="s">
        <v>927</v>
      </c>
      <c r="B1207" t="s">
        <v>1031</v>
      </c>
      <c r="C1207" t="s">
        <v>920</v>
      </c>
      <c r="D1207" t="s">
        <v>920</v>
      </c>
      <c r="E1207" t="s">
        <v>1138</v>
      </c>
      <c r="F1207" t="s">
        <v>571</v>
      </c>
      <c r="G1207" s="204"/>
      <c r="H1207">
        <v>700</v>
      </c>
      <c r="I1207">
        <v>18508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7" x14ac:dyDescent="0.25">
      <c r="A1208" t="s">
        <v>161</v>
      </c>
      <c r="B1208" t="s">
        <v>567</v>
      </c>
      <c r="C1208" t="s">
        <v>920</v>
      </c>
      <c r="D1208" t="s">
        <v>920</v>
      </c>
      <c r="E1208" t="s">
        <v>1330</v>
      </c>
      <c r="F1208" t="s">
        <v>571</v>
      </c>
      <c r="G1208" s="204"/>
      <c r="H1208">
        <v>500</v>
      </c>
      <c r="I1208">
        <v>9125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7" x14ac:dyDescent="0.25">
      <c r="A1209" t="s">
        <v>161</v>
      </c>
      <c r="B1209" t="s">
        <v>567</v>
      </c>
      <c r="C1209" t="s">
        <v>920</v>
      </c>
      <c r="D1209" t="s">
        <v>920</v>
      </c>
      <c r="E1209" t="s">
        <v>1266</v>
      </c>
      <c r="F1209" t="s">
        <v>571</v>
      </c>
      <c r="G1209" s="204"/>
      <c r="L1209">
        <v>500</v>
      </c>
      <c r="M1209">
        <v>12880</v>
      </c>
      <c r="N1209">
        <v>0</v>
      </c>
      <c r="O1209">
        <v>0</v>
      </c>
      <c r="P1209">
        <v>0</v>
      </c>
      <c r="Q1209">
        <v>500</v>
      </c>
      <c r="R1209">
        <v>12880</v>
      </c>
      <c r="S1209">
        <v>25.76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7" x14ac:dyDescent="0.25">
      <c r="A1210" t="s">
        <v>161</v>
      </c>
      <c r="B1210" t="s">
        <v>567</v>
      </c>
      <c r="C1210" t="s">
        <v>920</v>
      </c>
      <c r="D1210" t="s">
        <v>920</v>
      </c>
      <c r="E1210" t="s">
        <v>1138</v>
      </c>
      <c r="F1210" t="s">
        <v>571</v>
      </c>
      <c r="G1210" s="204"/>
      <c r="H1210">
        <v>131</v>
      </c>
      <c r="I1210">
        <v>6061.37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7" x14ac:dyDescent="0.25">
      <c r="A1211" t="s">
        <v>163</v>
      </c>
      <c r="B1211" t="s">
        <v>566</v>
      </c>
      <c r="C1211" t="s">
        <v>920</v>
      </c>
      <c r="D1211" t="s">
        <v>920</v>
      </c>
      <c r="E1211" t="s">
        <v>1330</v>
      </c>
      <c r="F1211" t="s">
        <v>571</v>
      </c>
      <c r="G1211" s="204"/>
      <c r="J1211">
        <v>200</v>
      </c>
      <c r="K1211">
        <v>2884</v>
      </c>
      <c r="L1211">
        <v>225</v>
      </c>
      <c r="M1211">
        <v>3244.5</v>
      </c>
      <c r="N1211">
        <v>0</v>
      </c>
      <c r="O1211">
        <v>0</v>
      </c>
      <c r="P1211">
        <v>0</v>
      </c>
      <c r="Q1211">
        <v>225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7" x14ac:dyDescent="0.25">
      <c r="A1212" t="s">
        <v>163</v>
      </c>
      <c r="B1212" t="s">
        <v>566</v>
      </c>
      <c r="C1212" t="s">
        <v>920</v>
      </c>
      <c r="D1212" t="s">
        <v>920</v>
      </c>
      <c r="E1212" t="s">
        <v>1263</v>
      </c>
      <c r="F1212" t="s">
        <v>571</v>
      </c>
      <c r="G1212" s="204"/>
      <c r="J1212">
        <v>300</v>
      </c>
      <c r="K1212">
        <v>4047</v>
      </c>
      <c r="L1212">
        <v>330</v>
      </c>
      <c r="M1212">
        <v>4451.7</v>
      </c>
      <c r="N1212">
        <v>0</v>
      </c>
      <c r="O1212">
        <v>0</v>
      </c>
      <c r="P1212">
        <v>0</v>
      </c>
      <c r="Q1212">
        <v>330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7" x14ac:dyDescent="0.25">
      <c r="A1213" t="s">
        <v>163</v>
      </c>
      <c r="B1213" t="s">
        <v>566</v>
      </c>
      <c r="C1213" t="s">
        <v>920</v>
      </c>
      <c r="D1213" t="s">
        <v>920</v>
      </c>
      <c r="E1213" t="s">
        <v>1266</v>
      </c>
      <c r="F1213" t="s">
        <v>578</v>
      </c>
      <c r="G1213" s="204">
        <v>46752</v>
      </c>
      <c r="L1213">
        <v>1000</v>
      </c>
      <c r="M1213">
        <v>9690</v>
      </c>
      <c r="N1213">
        <v>0</v>
      </c>
      <c r="O1213">
        <v>0</v>
      </c>
      <c r="P1213">
        <v>0</v>
      </c>
      <c r="Q1213">
        <v>1000</v>
      </c>
      <c r="T1213">
        <v>0</v>
      </c>
      <c r="U1213">
        <v>0</v>
      </c>
      <c r="V1213">
        <v>500</v>
      </c>
      <c r="W1213">
        <v>4845</v>
      </c>
      <c r="X1213">
        <v>500</v>
      </c>
      <c r="Y1213">
        <v>500</v>
      </c>
      <c r="Z1213">
        <v>4845</v>
      </c>
      <c r="AA1213">
        <v>9.69</v>
      </c>
    </row>
    <row r="1214" spans="1:27" x14ac:dyDescent="0.25">
      <c r="A1214" t="s">
        <v>163</v>
      </c>
      <c r="B1214" t="s">
        <v>566</v>
      </c>
      <c r="C1214" t="s">
        <v>920</v>
      </c>
      <c r="D1214" t="s">
        <v>920</v>
      </c>
      <c r="E1214" t="s">
        <v>1138</v>
      </c>
      <c r="F1214" t="s">
        <v>571</v>
      </c>
      <c r="G1214" s="204"/>
      <c r="H1214">
        <v>2000</v>
      </c>
      <c r="I1214">
        <v>14380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7" x14ac:dyDescent="0.25">
      <c r="A1215" t="s">
        <v>163</v>
      </c>
      <c r="B1215" t="s">
        <v>566</v>
      </c>
      <c r="C1215" t="s">
        <v>920</v>
      </c>
      <c r="D1215" t="s">
        <v>920</v>
      </c>
      <c r="E1215" t="s">
        <v>1212</v>
      </c>
      <c r="F1215" t="s">
        <v>571</v>
      </c>
      <c r="G1215" s="204"/>
      <c r="L1215">
        <v>500</v>
      </c>
      <c r="M1215">
        <v>5245</v>
      </c>
      <c r="N1215">
        <v>0</v>
      </c>
      <c r="O1215">
        <v>0</v>
      </c>
      <c r="P1215">
        <v>0</v>
      </c>
      <c r="Q1215">
        <v>500</v>
      </c>
      <c r="R1215">
        <v>5245</v>
      </c>
      <c r="S1215">
        <v>10.49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7" x14ac:dyDescent="0.25">
      <c r="A1216" t="s">
        <v>163</v>
      </c>
      <c r="B1216" t="s">
        <v>566</v>
      </c>
      <c r="C1216" t="s">
        <v>920</v>
      </c>
      <c r="D1216" t="s">
        <v>920</v>
      </c>
      <c r="E1216" t="s">
        <v>1216</v>
      </c>
      <c r="F1216" t="s">
        <v>571</v>
      </c>
      <c r="G1216" s="204"/>
      <c r="L1216">
        <v>100</v>
      </c>
      <c r="M1216">
        <v>1550</v>
      </c>
      <c r="N1216">
        <v>0</v>
      </c>
      <c r="O1216">
        <v>0</v>
      </c>
      <c r="P1216">
        <v>0</v>
      </c>
      <c r="Q1216">
        <v>100</v>
      </c>
      <c r="R1216">
        <v>1550</v>
      </c>
      <c r="S1216">
        <v>15.5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7" x14ac:dyDescent="0.25">
      <c r="A1217" t="s">
        <v>165</v>
      </c>
      <c r="B1217" t="s">
        <v>567</v>
      </c>
      <c r="C1217" t="s">
        <v>920</v>
      </c>
      <c r="D1217" t="s">
        <v>920</v>
      </c>
      <c r="E1217" t="s">
        <v>1316</v>
      </c>
      <c r="F1217" t="s">
        <v>571</v>
      </c>
      <c r="G1217" s="204"/>
      <c r="H1217">
        <v>6</v>
      </c>
      <c r="I1217">
        <v>186.36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7" x14ac:dyDescent="0.25">
      <c r="A1218" t="s">
        <v>165</v>
      </c>
      <c r="B1218" t="s">
        <v>567</v>
      </c>
      <c r="C1218" t="s">
        <v>920</v>
      </c>
      <c r="D1218" t="s">
        <v>920</v>
      </c>
      <c r="E1218" t="s">
        <v>1266</v>
      </c>
      <c r="F1218" t="s">
        <v>578</v>
      </c>
      <c r="G1218" s="204">
        <v>46752</v>
      </c>
      <c r="H1218">
        <v>245</v>
      </c>
      <c r="I1218">
        <v>3640.7000000000003</v>
      </c>
      <c r="L1218">
        <v>500</v>
      </c>
      <c r="M1218">
        <v>8865</v>
      </c>
      <c r="N1218">
        <v>0</v>
      </c>
      <c r="O1218">
        <v>0</v>
      </c>
      <c r="P1218">
        <v>0</v>
      </c>
      <c r="Q1218">
        <v>500</v>
      </c>
      <c r="T1218">
        <v>0</v>
      </c>
      <c r="U1218">
        <v>0</v>
      </c>
      <c r="V1218">
        <v>250</v>
      </c>
      <c r="W1218">
        <v>4585</v>
      </c>
      <c r="X1218">
        <v>250</v>
      </c>
      <c r="Y1218">
        <v>250</v>
      </c>
    </row>
    <row r="1219" spans="1:27" x14ac:dyDescent="0.25">
      <c r="A1219" t="s">
        <v>165</v>
      </c>
      <c r="B1219" t="s">
        <v>567</v>
      </c>
      <c r="C1219" t="s">
        <v>920</v>
      </c>
      <c r="D1219" t="s">
        <v>920</v>
      </c>
      <c r="E1219" t="s">
        <v>1212</v>
      </c>
      <c r="F1219" t="s">
        <v>571</v>
      </c>
      <c r="G1219" s="204"/>
      <c r="J1219">
        <v>750</v>
      </c>
      <c r="K1219">
        <v>13297.5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7" x14ac:dyDescent="0.25">
      <c r="A1220" t="s">
        <v>165</v>
      </c>
      <c r="B1220" t="s">
        <v>567</v>
      </c>
      <c r="C1220" t="s">
        <v>920</v>
      </c>
      <c r="D1220" t="s">
        <v>920</v>
      </c>
      <c r="E1220" t="s">
        <v>1216</v>
      </c>
      <c r="F1220" t="s">
        <v>571</v>
      </c>
      <c r="G1220" s="204"/>
      <c r="L1220">
        <v>0</v>
      </c>
      <c r="M1220">
        <v>0</v>
      </c>
      <c r="N1220">
        <v>500</v>
      </c>
      <c r="O1220">
        <v>8025</v>
      </c>
      <c r="P1220">
        <v>500</v>
      </c>
      <c r="Q1220">
        <v>500</v>
      </c>
      <c r="R1220">
        <v>8025</v>
      </c>
      <c r="S1220">
        <v>16.05</v>
      </c>
      <c r="T1220">
        <v>0</v>
      </c>
      <c r="U1220">
        <v>0</v>
      </c>
      <c r="V1220">
        <v>500</v>
      </c>
      <c r="W1220">
        <v>8025</v>
      </c>
      <c r="X1220">
        <v>500</v>
      </c>
      <c r="Y1220">
        <v>500</v>
      </c>
      <c r="Z1220">
        <v>8025</v>
      </c>
      <c r="AA1220">
        <v>16.05</v>
      </c>
    </row>
    <row r="1221" spans="1:27" x14ac:dyDescent="0.25">
      <c r="A1221" t="s">
        <v>1635</v>
      </c>
      <c r="B1221" t="s">
        <v>1031</v>
      </c>
      <c r="C1221" t="s">
        <v>920</v>
      </c>
      <c r="D1221" t="s">
        <v>920</v>
      </c>
      <c r="E1221" t="s">
        <v>1316</v>
      </c>
      <c r="F1221" t="s">
        <v>571</v>
      </c>
      <c r="G1221" s="204"/>
      <c r="H1221">
        <v>6</v>
      </c>
      <c r="I1221">
        <v>223.62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7" x14ac:dyDescent="0.25">
      <c r="A1222" t="s">
        <v>918</v>
      </c>
      <c r="B1222" t="s">
        <v>567</v>
      </c>
      <c r="C1222" t="s">
        <v>920</v>
      </c>
      <c r="D1222" t="s">
        <v>920</v>
      </c>
      <c r="E1222" t="s">
        <v>1216</v>
      </c>
      <c r="F1222" t="s">
        <v>571</v>
      </c>
      <c r="G1222" s="204"/>
      <c r="L1222">
        <v>31</v>
      </c>
      <c r="M1222">
        <v>1660.05</v>
      </c>
      <c r="N1222">
        <v>0</v>
      </c>
      <c r="O1222">
        <v>0</v>
      </c>
      <c r="P1222">
        <v>0</v>
      </c>
      <c r="Q1222">
        <v>31</v>
      </c>
      <c r="R1222">
        <v>1660.05</v>
      </c>
      <c r="S1222">
        <v>53.55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7" x14ac:dyDescent="0.25">
      <c r="A1223" t="s">
        <v>1547</v>
      </c>
      <c r="B1223" t="s">
        <v>567</v>
      </c>
      <c r="C1223" t="s">
        <v>920</v>
      </c>
      <c r="D1223" t="s">
        <v>920</v>
      </c>
      <c r="E1223" t="s">
        <v>1400</v>
      </c>
      <c r="F1223" t="s">
        <v>571</v>
      </c>
      <c r="G1223" s="204"/>
      <c r="J1223">
        <v>1100</v>
      </c>
      <c r="K1223">
        <v>126764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7" x14ac:dyDescent="0.25">
      <c r="A1224" t="s">
        <v>1547</v>
      </c>
      <c r="B1224" t="s">
        <v>567</v>
      </c>
      <c r="C1224" t="s">
        <v>920</v>
      </c>
      <c r="D1224" t="s">
        <v>920</v>
      </c>
      <c r="E1224" t="s">
        <v>1212</v>
      </c>
      <c r="F1224" t="s">
        <v>578</v>
      </c>
      <c r="G1224" s="204">
        <v>46752</v>
      </c>
      <c r="J1224">
        <v>600</v>
      </c>
      <c r="K1224">
        <v>82800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7" x14ac:dyDescent="0.25">
      <c r="A1225" t="s">
        <v>1636</v>
      </c>
      <c r="B1225" t="s">
        <v>562</v>
      </c>
      <c r="C1225" t="s">
        <v>1860</v>
      </c>
      <c r="D1225" t="s">
        <v>1882</v>
      </c>
      <c r="E1225" t="s">
        <v>1316</v>
      </c>
      <c r="F1225" t="s">
        <v>571</v>
      </c>
      <c r="G1225" s="204"/>
      <c r="H1225">
        <v>6</v>
      </c>
      <c r="I1225">
        <v>2250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7" x14ac:dyDescent="0.25">
      <c r="A1226" t="s">
        <v>1548</v>
      </c>
      <c r="B1226" t="s">
        <v>554</v>
      </c>
      <c r="C1226" t="s">
        <v>1860</v>
      </c>
      <c r="D1226" t="s">
        <v>612</v>
      </c>
      <c r="E1226" t="s">
        <v>1212</v>
      </c>
      <c r="F1226" t="s">
        <v>578</v>
      </c>
      <c r="G1226" s="204">
        <v>46752</v>
      </c>
      <c r="J1226">
        <v>50</v>
      </c>
      <c r="K1226">
        <v>37250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7" x14ac:dyDescent="0.25">
      <c r="A1227" t="s">
        <v>167</v>
      </c>
      <c r="B1227" t="s">
        <v>566</v>
      </c>
      <c r="C1227" t="s">
        <v>920</v>
      </c>
      <c r="D1227" t="s">
        <v>920</v>
      </c>
      <c r="E1227" t="s">
        <v>1280</v>
      </c>
      <c r="F1227" t="s">
        <v>571</v>
      </c>
      <c r="G1227" s="204"/>
      <c r="H1227">
        <v>1000</v>
      </c>
      <c r="I1227">
        <v>16010</v>
      </c>
      <c r="J1227">
        <v>1000</v>
      </c>
      <c r="K1227">
        <v>16010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7" x14ac:dyDescent="0.25">
      <c r="A1228" t="s">
        <v>167</v>
      </c>
      <c r="B1228" t="s">
        <v>566</v>
      </c>
      <c r="C1228" t="s">
        <v>920</v>
      </c>
      <c r="D1228" t="s">
        <v>920</v>
      </c>
      <c r="E1228" t="s">
        <v>1266</v>
      </c>
      <c r="F1228" t="s">
        <v>578</v>
      </c>
      <c r="G1228" s="204">
        <v>46752</v>
      </c>
      <c r="H1228">
        <v>500</v>
      </c>
      <c r="I1228">
        <v>8365</v>
      </c>
      <c r="L1228">
        <v>700</v>
      </c>
      <c r="M1228">
        <v>12110</v>
      </c>
      <c r="N1228">
        <v>0</v>
      </c>
      <c r="O1228">
        <v>0</v>
      </c>
      <c r="P1228">
        <v>0</v>
      </c>
      <c r="Q1228">
        <v>700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7" x14ac:dyDescent="0.25">
      <c r="A1229" t="s">
        <v>447</v>
      </c>
      <c r="B1229" t="s">
        <v>567</v>
      </c>
      <c r="C1229" t="s">
        <v>920</v>
      </c>
      <c r="D1229" t="s">
        <v>920</v>
      </c>
      <c r="E1229" t="s">
        <v>1138</v>
      </c>
      <c r="F1229" t="s">
        <v>571</v>
      </c>
      <c r="G1229" s="204"/>
      <c r="L1229">
        <v>77</v>
      </c>
      <c r="M1229">
        <v>1188.1099999999999</v>
      </c>
      <c r="N1229">
        <v>0</v>
      </c>
      <c r="O1229">
        <v>0</v>
      </c>
      <c r="P1229">
        <v>0</v>
      </c>
      <c r="Q1229">
        <v>77</v>
      </c>
      <c r="R1229">
        <v>1188.1099999999999</v>
      </c>
      <c r="S1229">
        <v>15.429999999999998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7" x14ac:dyDescent="0.25">
      <c r="A1230" t="s">
        <v>171</v>
      </c>
      <c r="B1230" t="s">
        <v>566</v>
      </c>
      <c r="C1230" t="s">
        <v>920</v>
      </c>
      <c r="D1230" t="s">
        <v>920</v>
      </c>
      <c r="E1230" t="s">
        <v>1280</v>
      </c>
      <c r="F1230" t="s">
        <v>571</v>
      </c>
      <c r="G1230" s="204"/>
      <c r="H1230">
        <v>1250</v>
      </c>
      <c r="I1230">
        <v>15950</v>
      </c>
      <c r="J1230">
        <v>1250</v>
      </c>
      <c r="K1230">
        <v>15950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7" x14ac:dyDescent="0.25">
      <c r="A1231" t="s">
        <v>171</v>
      </c>
      <c r="B1231" t="s">
        <v>566</v>
      </c>
      <c r="C1231" t="s">
        <v>920</v>
      </c>
      <c r="D1231" t="s">
        <v>920</v>
      </c>
      <c r="E1231" t="s">
        <v>1752</v>
      </c>
      <c r="F1231" t="s">
        <v>571</v>
      </c>
      <c r="G1231" s="204"/>
      <c r="H1231">
        <v>2</v>
      </c>
      <c r="I1231">
        <v>141.72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7" x14ac:dyDescent="0.25">
      <c r="A1232" t="s">
        <v>171</v>
      </c>
      <c r="B1232" t="s">
        <v>566</v>
      </c>
      <c r="C1232" t="s">
        <v>920</v>
      </c>
      <c r="D1232" t="s">
        <v>920</v>
      </c>
      <c r="E1232" t="s">
        <v>1332</v>
      </c>
      <c r="F1232" t="s">
        <v>571</v>
      </c>
      <c r="G1232" s="204"/>
      <c r="J1232">
        <v>3</v>
      </c>
      <c r="K1232">
        <v>231.72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7" x14ac:dyDescent="0.25">
      <c r="A1233" t="s">
        <v>171</v>
      </c>
      <c r="B1233" t="s">
        <v>566</v>
      </c>
      <c r="C1233" t="s">
        <v>920</v>
      </c>
      <c r="D1233" t="s">
        <v>920</v>
      </c>
      <c r="E1233" t="s">
        <v>1793</v>
      </c>
      <c r="F1233" t="s">
        <v>571</v>
      </c>
      <c r="G1233" s="204"/>
      <c r="J1233">
        <v>25</v>
      </c>
      <c r="K1233">
        <v>605.25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7" x14ac:dyDescent="0.25">
      <c r="A1234" t="s">
        <v>171</v>
      </c>
      <c r="B1234" t="s">
        <v>566</v>
      </c>
      <c r="C1234" t="s">
        <v>920</v>
      </c>
      <c r="D1234" t="s">
        <v>920</v>
      </c>
      <c r="E1234" t="s">
        <v>1269</v>
      </c>
      <c r="F1234" t="s">
        <v>571</v>
      </c>
      <c r="G1234" s="204"/>
      <c r="H1234">
        <v>5</v>
      </c>
      <c r="I1234">
        <v>500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7" x14ac:dyDescent="0.25">
      <c r="A1235" t="s">
        <v>171</v>
      </c>
      <c r="B1235" t="s">
        <v>566</v>
      </c>
      <c r="C1235" t="s">
        <v>920</v>
      </c>
      <c r="D1235" t="s">
        <v>920</v>
      </c>
      <c r="E1235" t="s">
        <v>1217</v>
      </c>
      <c r="F1235" t="s">
        <v>571</v>
      </c>
      <c r="G1235" s="204"/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T1235">
        <v>0</v>
      </c>
      <c r="U1235">
        <v>0</v>
      </c>
      <c r="V1235">
        <v>250</v>
      </c>
      <c r="W1235">
        <v>3837.5</v>
      </c>
      <c r="X1235">
        <v>250</v>
      </c>
      <c r="Y1235">
        <v>250</v>
      </c>
      <c r="Z1235">
        <v>3837.5</v>
      </c>
      <c r="AA1235">
        <v>15.35</v>
      </c>
    </row>
    <row r="1236" spans="1:27" x14ac:dyDescent="0.25">
      <c r="A1236" t="s">
        <v>171</v>
      </c>
      <c r="B1236" t="s">
        <v>566</v>
      </c>
      <c r="C1236" t="s">
        <v>920</v>
      </c>
      <c r="D1236" t="s">
        <v>920</v>
      </c>
      <c r="E1236" t="s">
        <v>1330</v>
      </c>
      <c r="F1236" t="s">
        <v>571</v>
      </c>
      <c r="G1236" s="204"/>
      <c r="J1236">
        <v>5000</v>
      </c>
      <c r="K1236">
        <v>59250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7" x14ac:dyDescent="0.25">
      <c r="A1237" t="s">
        <v>171</v>
      </c>
      <c r="B1237" t="s">
        <v>566</v>
      </c>
      <c r="C1237" t="s">
        <v>920</v>
      </c>
      <c r="D1237" t="s">
        <v>920</v>
      </c>
      <c r="E1237" t="s">
        <v>1316</v>
      </c>
      <c r="F1237" t="s">
        <v>571</v>
      </c>
      <c r="G1237" s="204"/>
      <c r="H1237">
        <v>125</v>
      </c>
      <c r="I1237">
        <v>1800</v>
      </c>
      <c r="L1237">
        <v>250</v>
      </c>
      <c r="M1237">
        <v>3725</v>
      </c>
      <c r="N1237">
        <v>0</v>
      </c>
      <c r="O1237">
        <v>0</v>
      </c>
      <c r="P1237">
        <v>0</v>
      </c>
      <c r="Q1237">
        <v>250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7" x14ac:dyDescent="0.25">
      <c r="A1238" t="s">
        <v>171</v>
      </c>
      <c r="B1238" t="s">
        <v>566</v>
      </c>
      <c r="C1238" t="s">
        <v>920</v>
      </c>
      <c r="D1238" t="s">
        <v>920</v>
      </c>
      <c r="E1238" t="s">
        <v>1244</v>
      </c>
      <c r="F1238" t="s">
        <v>571</v>
      </c>
      <c r="G1238" s="204"/>
      <c r="J1238">
        <v>1003</v>
      </c>
      <c r="K1238">
        <v>11133.3</v>
      </c>
      <c r="L1238">
        <v>247</v>
      </c>
      <c r="M1238">
        <v>2741.7</v>
      </c>
      <c r="N1238">
        <v>1250</v>
      </c>
      <c r="O1238">
        <v>13875</v>
      </c>
      <c r="P1238">
        <v>1250</v>
      </c>
      <c r="Q1238">
        <v>1497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7" x14ac:dyDescent="0.25">
      <c r="A1239" t="s">
        <v>171</v>
      </c>
      <c r="B1239" t="s">
        <v>566</v>
      </c>
      <c r="C1239" t="s">
        <v>920</v>
      </c>
      <c r="D1239" t="s">
        <v>920</v>
      </c>
      <c r="E1239" t="s">
        <v>1794</v>
      </c>
      <c r="F1239" t="s">
        <v>571</v>
      </c>
      <c r="G1239" s="204"/>
      <c r="J1239">
        <v>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7" x14ac:dyDescent="0.25">
      <c r="A1240" t="s">
        <v>171</v>
      </c>
      <c r="B1240" t="s">
        <v>566</v>
      </c>
      <c r="C1240" t="s">
        <v>920</v>
      </c>
      <c r="D1240" t="s">
        <v>920</v>
      </c>
      <c r="E1240" t="s">
        <v>1795</v>
      </c>
      <c r="F1240" t="s">
        <v>571</v>
      </c>
      <c r="G1240" s="204"/>
      <c r="H1240">
        <v>4</v>
      </c>
      <c r="I1240">
        <v>267.39999999999998</v>
      </c>
      <c r="K1240">
        <v>291.48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7" x14ac:dyDescent="0.25">
      <c r="A1241" t="s">
        <v>171</v>
      </c>
      <c r="B1241" t="s">
        <v>566</v>
      </c>
      <c r="C1241" t="s">
        <v>920</v>
      </c>
      <c r="D1241" t="s">
        <v>920</v>
      </c>
      <c r="E1241" t="s">
        <v>1394</v>
      </c>
      <c r="F1241" t="s">
        <v>571</v>
      </c>
      <c r="G1241" s="204"/>
      <c r="H1241">
        <v>4</v>
      </c>
      <c r="I1241">
        <v>267.39999999999998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7" x14ac:dyDescent="0.25">
      <c r="A1242" t="s">
        <v>171</v>
      </c>
      <c r="B1242" t="s">
        <v>566</v>
      </c>
      <c r="C1242" t="s">
        <v>920</v>
      </c>
      <c r="D1242" t="s">
        <v>920</v>
      </c>
      <c r="E1242" t="s">
        <v>1472</v>
      </c>
      <c r="F1242" t="s">
        <v>571</v>
      </c>
      <c r="G1242" s="204"/>
      <c r="H1242">
        <v>150</v>
      </c>
      <c r="I1242">
        <v>10930.5</v>
      </c>
      <c r="L1242">
        <v>300</v>
      </c>
      <c r="M1242">
        <v>22953</v>
      </c>
      <c r="N1242">
        <v>0</v>
      </c>
      <c r="O1242">
        <v>0</v>
      </c>
      <c r="P1242">
        <v>0</v>
      </c>
      <c r="Q1242">
        <v>300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7" x14ac:dyDescent="0.25">
      <c r="A1243" t="s">
        <v>171</v>
      </c>
      <c r="B1243" t="s">
        <v>566</v>
      </c>
      <c r="C1243" t="s">
        <v>920</v>
      </c>
      <c r="D1243" t="s">
        <v>920</v>
      </c>
      <c r="E1243" t="s">
        <v>1385</v>
      </c>
      <c r="F1243" t="s">
        <v>571</v>
      </c>
      <c r="G1243" s="204"/>
      <c r="L1243">
        <v>10</v>
      </c>
      <c r="M1243">
        <v>765.1</v>
      </c>
      <c r="N1243">
        <v>0</v>
      </c>
      <c r="O1243">
        <v>0</v>
      </c>
      <c r="P1243">
        <v>0</v>
      </c>
      <c r="Q1243">
        <v>10</v>
      </c>
      <c r="R1243">
        <v>765.1</v>
      </c>
      <c r="S1243">
        <v>76.510000000000005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7" x14ac:dyDescent="0.25">
      <c r="A1244" t="s">
        <v>171</v>
      </c>
      <c r="B1244" t="s">
        <v>566</v>
      </c>
      <c r="C1244" t="s">
        <v>920</v>
      </c>
      <c r="D1244" t="s">
        <v>920</v>
      </c>
      <c r="E1244" t="s">
        <v>1492</v>
      </c>
      <c r="F1244" t="s">
        <v>571</v>
      </c>
      <c r="G1244" s="204"/>
      <c r="J1244">
        <v>2</v>
      </c>
      <c r="K1244">
        <v>153.02000000000001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7" x14ac:dyDescent="0.25">
      <c r="A1245" t="s">
        <v>171</v>
      </c>
      <c r="B1245" t="s">
        <v>566</v>
      </c>
      <c r="C1245" t="s">
        <v>920</v>
      </c>
      <c r="D1245" t="s">
        <v>920</v>
      </c>
      <c r="E1245" t="s">
        <v>1266</v>
      </c>
      <c r="F1245" t="s">
        <v>571</v>
      </c>
      <c r="G1245" s="204"/>
      <c r="H1245">
        <v>2500</v>
      </c>
      <c r="I1245">
        <v>27600</v>
      </c>
      <c r="L1245">
        <v>8000</v>
      </c>
      <c r="M1245">
        <v>97200</v>
      </c>
      <c r="N1245">
        <v>0</v>
      </c>
      <c r="O1245">
        <v>0</v>
      </c>
      <c r="P1245">
        <v>0</v>
      </c>
      <c r="Q1245">
        <v>8000</v>
      </c>
      <c r="T1245">
        <v>0</v>
      </c>
      <c r="U1245">
        <v>0</v>
      </c>
      <c r="V1245">
        <v>3000</v>
      </c>
      <c r="W1245">
        <v>36450</v>
      </c>
      <c r="X1245">
        <v>3000</v>
      </c>
      <c r="Y1245">
        <v>3000</v>
      </c>
    </row>
    <row r="1246" spans="1:27" x14ac:dyDescent="0.25">
      <c r="A1246" t="s">
        <v>171</v>
      </c>
      <c r="B1246" t="s">
        <v>566</v>
      </c>
      <c r="C1246" t="s">
        <v>920</v>
      </c>
      <c r="D1246" t="s">
        <v>920</v>
      </c>
      <c r="E1246" t="s">
        <v>1337</v>
      </c>
      <c r="F1246" t="s">
        <v>571</v>
      </c>
      <c r="G1246" s="204"/>
      <c r="H1246">
        <v>2</v>
      </c>
      <c r="I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7" x14ac:dyDescent="0.25">
      <c r="A1247" t="s">
        <v>171</v>
      </c>
      <c r="B1247" t="s">
        <v>566</v>
      </c>
      <c r="C1247" t="s">
        <v>920</v>
      </c>
      <c r="D1247" t="s">
        <v>920</v>
      </c>
      <c r="E1247" t="s">
        <v>1207</v>
      </c>
      <c r="F1247" t="s">
        <v>571</v>
      </c>
      <c r="G1247" s="204"/>
      <c r="L1247">
        <v>1350</v>
      </c>
      <c r="M1247">
        <v>23625</v>
      </c>
      <c r="N1247">
        <v>0</v>
      </c>
      <c r="O1247">
        <v>0</v>
      </c>
      <c r="P1247">
        <v>0</v>
      </c>
      <c r="Q1247">
        <v>1350</v>
      </c>
      <c r="T1247">
        <v>0</v>
      </c>
      <c r="U1247">
        <v>0</v>
      </c>
      <c r="V1247">
        <v>700</v>
      </c>
      <c r="W1247">
        <v>12250</v>
      </c>
      <c r="X1247">
        <v>700</v>
      </c>
      <c r="Y1247">
        <v>700</v>
      </c>
      <c r="Z1247">
        <v>12250</v>
      </c>
      <c r="AA1247">
        <v>17.5</v>
      </c>
    </row>
    <row r="1248" spans="1:27" x14ac:dyDescent="0.25">
      <c r="A1248" t="s">
        <v>171</v>
      </c>
      <c r="B1248" t="s">
        <v>566</v>
      </c>
      <c r="C1248" t="s">
        <v>920</v>
      </c>
      <c r="D1248" t="s">
        <v>920</v>
      </c>
      <c r="E1248" t="s">
        <v>1138</v>
      </c>
      <c r="F1248" t="s">
        <v>571</v>
      </c>
      <c r="G1248" s="204"/>
      <c r="L1248">
        <v>0</v>
      </c>
      <c r="M1248">
        <v>0</v>
      </c>
      <c r="N1248">
        <v>600</v>
      </c>
      <c r="O1248">
        <v>6180</v>
      </c>
      <c r="P1248">
        <v>600</v>
      </c>
      <c r="Q1248">
        <v>600</v>
      </c>
      <c r="R1248">
        <v>6180</v>
      </c>
      <c r="S1248">
        <v>10.3</v>
      </c>
      <c r="T1248">
        <v>0</v>
      </c>
      <c r="U1248">
        <v>0</v>
      </c>
      <c r="V1248">
        <v>2600</v>
      </c>
      <c r="W1248">
        <v>27398</v>
      </c>
      <c r="X1248">
        <v>2600</v>
      </c>
      <c r="Y1248">
        <v>2600</v>
      </c>
    </row>
    <row r="1249" spans="1:27" x14ac:dyDescent="0.25">
      <c r="A1249" t="s">
        <v>171</v>
      </c>
      <c r="B1249" t="s">
        <v>566</v>
      </c>
      <c r="C1249" t="s">
        <v>920</v>
      </c>
      <c r="D1249" t="s">
        <v>920</v>
      </c>
      <c r="E1249" t="s">
        <v>1434</v>
      </c>
      <c r="F1249" t="s">
        <v>571</v>
      </c>
      <c r="G1249" s="204"/>
      <c r="L1249">
        <v>80</v>
      </c>
      <c r="M1249">
        <v>1778.4</v>
      </c>
      <c r="N1249">
        <v>0</v>
      </c>
      <c r="O1249">
        <v>0</v>
      </c>
      <c r="P1249">
        <v>0</v>
      </c>
      <c r="Q1249">
        <v>80</v>
      </c>
      <c r="R1249">
        <v>1778.4</v>
      </c>
      <c r="S1249">
        <v>22.23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7" x14ac:dyDescent="0.25">
      <c r="A1250" t="s">
        <v>171</v>
      </c>
      <c r="B1250" t="s">
        <v>566</v>
      </c>
      <c r="C1250" t="s">
        <v>920</v>
      </c>
      <c r="D1250" t="s">
        <v>920</v>
      </c>
      <c r="E1250" t="s">
        <v>1273</v>
      </c>
      <c r="F1250" t="s">
        <v>571</v>
      </c>
      <c r="G1250" s="204"/>
      <c r="L1250">
        <v>0</v>
      </c>
      <c r="M1250">
        <v>0</v>
      </c>
      <c r="N1250">
        <v>900</v>
      </c>
      <c r="O1250">
        <v>12987</v>
      </c>
      <c r="P1250">
        <v>900</v>
      </c>
      <c r="Q1250">
        <v>900</v>
      </c>
      <c r="R1250">
        <v>12987</v>
      </c>
      <c r="S1250">
        <v>14.43</v>
      </c>
      <c r="T1250">
        <v>0</v>
      </c>
      <c r="U1250">
        <v>0</v>
      </c>
      <c r="V1250">
        <v>1100</v>
      </c>
      <c r="W1250">
        <v>15873</v>
      </c>
      <c r="X1250">
        <v>1100</v>
      </c>
      <c r="Y1250">
        <v>1100</v>
      </c>
    </row>
    <row r="1251" spans="1:27" x14ac:dyDescent="0.25">
      <c r="A1251" t="s">
        <v>171</v>
      </c>
      <c r="B1251" t="s">
        <v>566</v>
      </c>
      <c r="C1251" t="s">
        <v>920</v>
      </c>
      <c r="D1251" t="s">
        <v>920</v>
      </c>
      <c r="E1251" t="s">
        <v>1212</v>
      </c>
      <c r="F1251" t="s">
        <v>571</v>
      </c>
      <c r="G1251" s="204"/>
      <c r="J1251">
        <v>6250</v>
      </c>
      <c r="K1251">
        <v>74300</v>
      </c>
      <c r="L1251">
        <v>1250</v>
      </c>
      <c r="M1251">
        <v>15487.5</v>
      </c>
      <c r="N1251">
        <v>5000</v>
      </c>
      <c r="O1251">
        <v>61950</v>
      </c>
      <c r="P1251">
        <v>5000</v>
      </c>
      <c r="Q1251">
        <v>6250</v>
      </c>
      <c r="R1251">
        <v>77437.5</v>
      </c>
      <c r="S1251">
        <v>12.39</v>
      </c>
      <c r="T1251">
        <v>0</v>
      </c>
      <c r="U1251">
        <v>0</v>
      </c>
      <c r="V1251">
        <v>6250</v>
      </c>
      <c r="W1251">
        <v>77437.5</v>
      </c>
      <c r="X1251">
        <v>6250</v>
      </c>
      <c r="Y1251">
        <v>6250</v>
      </c>
      <c r="Z1251">
        <v>77437.5</v>
      </c>
      <c r="AA1251">
        <v>12.39</v>
      </c>
    </row>
    <row r="1252" spans="1:27" x14ac:dyDescent="0.25">
      <c r="A1252" t="s">
        <v>171</v>
      </c>
      <c r="B1252" t="s">
        <v>566</v>
      </c>
      <c r="C1252" t="s">
        <v>920</v>
      </c>
      <c r="D1252" t="s">
        <v>920</v>
      </c>
      <c r="E1252" t="s">
        <v>1216</v>
      </c>
      <c r="F1252" t="s">
        <v>571</v>
      </c>
      <c r="G1252" s="204"/>
      <c r="J1252">
        <v>2050</v>
      </c>
      <c r="K1252">
        <v>28310.5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7" x14ac:dyDescent="0.25">
      <c r="A1253" t="s">
        <v>1533</v>
      </c>
      <c r="B1253" t="s">
        <v>562</v>
      </c>
      <c r="C1253" t="s">
        <v>920</v>
      </c>
      <c r="D1253" t="s">
        <v>920</v>
      </c>
      <c r="E1253" t="s">
        <v>1190</v>
      </c>
      <c r="F1253" t="s">
        <v>571</v>
      </c>
      <c r="G1253" s="204"/>
      <c r="H1253">
        <v>18</v>
      </c>
      <c r="I1253">
        <v>2396.34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7" x14ac:dyDescent="0.25">
      <c r="A1254" t="s">
        <v>1533</v>
      </c>
      <c r="B1254" t="s">
        <v>562</v>
      </c>
      <c r="C1254" t="s">
        <v>920</v>
      </c>
      <c r="D1254" t="s">
        <v>920</v>
      </c>
      <c r="E1254" t="s">
        <v>1706</v>
      </c>
      <c r="F1254" t="s">
        <v>571</v>
      </c>
      <c r="G1254" s="204"/>
      <c r="J1254">
        <v>350</v>
      </c>
      <c r="K1254">
        <v>46595.5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7" x14ac:dyDescent="0.25">
      <c r="A1255" t="s">
        <v>415</v>
      </c>
      <c r="B1255" t="s">
        <v>567</v>
      </c>
      <c r="C1255" t="s">
        <v>555</v>
      </c>
      <c r="D1255" t="s">
        <v>666</v>
      </c>
      <c r="E1255" t="s">
        <v>1434</v>
      </c>
      <c r="F1255" t="s">
        <v>571</v>
      </c>
      <c r="G1255" s="204"/>
      <c r="L1255">
        <v>187</v>
      </c>
      <c r="M1255">
        <v>7124.7</v>
      </c>
      <c r="N1255">
        <v>0</v>
      </c>
      <c r="O1255">
        <v>0</v>
      </c>
      <c r="P1255">
        <v>0</v>
      </c>
      <c r="Q1255">
        <v>187</v>
      </c>
      <c r="R1255">
        <v>7124.7</v>
      </c>
      <c r="S1255">
        <v>38.1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7" x14ac:dyDescent="0.25">
      <c r="A1256" t="s">
        <v>930</v>
      </c>
      <c r="B1256" t="s">
        <v>556</v>
      </c>
      <c r="C1256" t="s">
        <v>564</v>
      </c>
      <c r="D1256" t="s">
        <v>605</v>
      </c>
      <c r="E1256" t="s">
        <v>1206</v>
      </c>
      <c r="F1256" t="s">
        <v>571</v>
      </c>
      <c r="G1256" s="204"/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T1256">
        <v>0</v>
      </c>
      <c r="U1256">
        <v>0</v>
      </c>
      <c r="V1256">
        <v>1000</v>
      </c>
      <c r="W1256">
        <v>25540</v>
      </c>
      <c r="X1256">
        <v>1000</v>
      </c>
      <c r="Y1256">
        <v>1000</v>
      </c>
      <c r="Z1256">
        <v>25540</v>
      </c>
      <c r="AA1256">
        <v>25.54</v>
      </c>
    </row>
    <row r="1257" spans="1:27" x14ac:dyDescent="0.25">
      <c r="A1257" t="s">
        <v>930</v>
      </c>
      <c r="B1257" t="s">
        <v>556</v>
      </c>
      <c r="C1257" t="s">
        <v>564</v>
      </c>
      <c r="D1257" t="s">
        <v>605</v>
      </c>
      <c r="E1257" t="s">
        <v>1148</v>
      </c>
      <c r="F1257" t="s">
        <v>571</v>
      </c>
      <c r="G1257" s="204"/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T1257">
        <v>0</v>
      </c>
      <c r="U1257">
        <v>0</v>
      </c>
      <c r="V1257">
        <v>500</v>
      </c>
      <c r="W1257">
        <v>15325</v>
      </c>
      <c r="X1257">
        <v>500</v>
      </c>
      <c r="Y1257">
        <v>500</v>
      </c>
      <c r="Z1257">
        <v>15325</v>
      </c>
      <c r="AA1257">
        <v>30.65</v>
      </c>
    </row>
    <row r="1258" spans="1:27" x14ac:dyDescent="0.25">
      <c r="A1258" t="s">
        <v>930</v>
      </c>
      <c r="B1258" t="s">
        <v>556</v>
      </c>
      <c r="C1258" t="s">
        <v>564</v>
      </c>
      <c r="D1258" t="s">
        <v>605</v>
      </c>
      <c r="E1258" t="s">
        <v>1796</v>
      </c>
      <c r="F1258" t="s">
        <v>571</v>
      </c>
      <c r="G1258" s="204"/>
      <c r="H1258">
        <v>507</v>
      </c>
      <c r="I1258">
        <v>12948.779999999999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7" x14ac:dyDescent="0.25">
      <c r="A1259" t="s">
        <v>457</v>
      </c>
      <c r="B1259" t="s">
        <v>567</v>
      </c>
      <c r="C1259" t="s">
        <v>920</v>
      </c>
      <c r="D1259" t="s">
        <v>920</v>
      </c>
      <c r="E1259" t="s">
        <v>1330</v>
      </c>
      <c r="F1259" t="s">
        <v>571</v>
      </c>
      <c r="G1259" s="204"/>
      <c r="J1259">
        <v>500</v>
      </c>
      <c r="K1259">
        <v>7580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7" x14ac:dyDescent="0.25">
      <c r="A1260" t="s">
        <v>457</v>
      </c>
      <c r="B1260" t="s">
        <v>567</v>
      </c>
      <c r="C1260" t="s">
        <v>920</v>
      </c>
      <c r="D1260" t="s">
        <v>920</v>
      </c>
      <c r="E1260" t="s">
        <v>1212</v>
      </c>
      <c r="F1260" t="s">
        <v>571</v>
      </c>
      <c r="G1260" s="204"/>
      <c r="J1260">
        <v>100</v>
      </c>
      <c r="K1260">
        <v>4600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7" x14ac:dyDescent="0.25">
      <c r="A1261" t="s">
        <v>1637</v>
      </c>
      <c r="B1261" t="s">
        <v>566</v>
      </c>
      <c r="C1261" t="s">
        <v>920</v>
      </c>
      <c r="D1261" t="s">
        <v>920</v>
      </c>
      <c r="E1261" t="s">
        <v>1266</v>
      </c>
      <c r="F1261" t="s">
        <v>571</v>
      </c>
      <c r="G1261" s="204"/>
      <c r="J1261">
        <v>100</v>
      </c>
      <c r="K1261">
        <v>1873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7" x14ac:dyDescent="0.25">
      <c r="A1262" t="s">
        <v>173</v>
      </c>
      <c r="B1262" t="s">
        <v>567</v>
      </c>
      <c r="C1262" t="s">
        <v>920</v>
      </c>
      <c r="D1262" t="s">
        <v>920</v>
      </c>
      <c r="E1262" t="s">
        <v>1404</v>
      </c>
      <c r="F1262" t="s">
        <v>571</v>
      </c>
      <c r="G1262" s="204"/>
      <c r="J1262">
        <v>500</v>
      </c>
      <c r="K1262">
        <v>20730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7" x14ac:dyDescent="0.25">
      <c r="A1263" t="s">
        <v>173</v>
      </c>
      <c r="B1263" t="s">
        <v>567</v>
      </c>
      <c r="C1263" t="s">
        <v>920</v>
      </c>
      <c r="D1263" t="s">
        <v>920</v>
      </c>
      <c r="E1263" t="s">
        <v>1428</v>
      </c>
      <c r="F1263" t="s">
        <v>571</v>
      </c>
      <c r="G1263" s="204"/>
      <c r="J1263">
        <v>76</v>
      </c>
      <c r="K1263">
        <v>3150.96</v>
      </c>
      <c r="L1263">
        <v>250</v>
      </c>
      <c r="M1263">
        <v>14950</v>
      </c>
      <c r="N1263">
        <v>0</v>
      </c>
      <c r="O1263">
        <v>0</v>
      </c>
      <c r="P1263">
        <v>0</v>
      </c>
      <c r="Q1263">
        <v>250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7" x14ac:dyDescent="0.25">
      <c r="A1264" t="s">
        <v>173</v>
      </c>
      <c r="B1264" t="s">
        <v>567</v>
      </c>
      <c r="C1264" t="s">
        <v>920</v>
      </c>
      <c r="D1264" t="s">
        <v>920</v>
      </c>
      <c r="E1264" t="s">
        <v>1138</v>
      </c>
      <c r="F1264" t="s">
        <v>571</v>
      </c>
      <c r="G1264" s="204"/>
      <c r="H1264">
        <v>109</v>
      </c>
      <c r="I1264">
        <v>3122.85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7" x14ac:dyDescent="0.25">
      <c r="A1265" t="s">
        <v>454</v>
      </c>
      <c r="B1265" t="s">
        <v>566</v>
      </c>
      <c r="C1265" t="s">
        <v>920</v>
      </c>
      <c r="D1265" t="s">
        <v>920</v>
      </c>
      <c r="E1265" t="s">
        <v>1330</v>
      </c>
      <c r="F1265" t="s">
        <v>571</v>
      </c>
      <c r="G1265" s="204"/>
      <c r="H1265">
        <v>500</v>
      </c>
      <c r="I1265">
        <v>7760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7" x14ac:dyDescent="0.25">
      <c r="A1266" t="s">
        <v>454</v>
      </c>
      <c r="B1266" t="s">
        <v>566</v>
      </c>
      <c r="C1266" t="s">
        <v>920</v>
      </c>
      <c r="D1266" t="s">
        <v>920</v>
      </c>
      <c r="E1266" t="s">
        <v>1771</v>
      </c>
      <c r="F1266" t="s">
        <v>571</v>
      </c>
      <c r="G1266" s="204"/>
      <c r="H1266">
        <v>100</v>
      </c>
      <c r="I1266">
        <v>5151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7" x14ac:dyDescent="0.25">
      <c r="A1267" t="s">
        <v>454</v>
      </c>
      <c r="B1267" t="s">
        <v>566</v>
      </c>
      <c r="C1267" t="s">
        <v>920</v>
      </c>
      <c r="D1267" t="s">
        <v>920</v>
      </c>
      <c r="E1267" t="s">
        <v>1349</v>
      </c>
      <c r="F1267" t="s">
        <v>571</v>
      </c>
      <c r="G1267" s="204"/>
      <c r="J1267">
        <v>12</v>
      </c>
      <c r="K1267">
        <v>1163.04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7" x14ac:dyDescent="0.25">
      <c r="A1268" t="s">
        <v>454</v>
      </c>
      <c r="B1268" t="s">
        <v>566</v>
      </c>
      <c r="C1268" t="s">
        <v>920</v>
      </c>
      <c r="D1268" t="s">
        <v>920</v>
      </c>
      <c r="E1268" t="s">
        <v>1266</v>
      </c>
      <c r="F1268" t="s">
        <v>571</v>
      </c>
      <c r="G1268" s="204"/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T1268">
        <v>0</v>
      </c>
      <c r="U1268">
        <v>0</v>
      </c>
      <c r="V1268">
        <v>250</v>
      </c>
      <c r="W1268">
        <v>3867.5</v>
      </c>
      <c r="X1268">
        <v>250</v>
      </c>
      <c r="Y1268">
        <v>250</v>
      </c>
      <c r="Z1268">
        <v>3867.5</v>
      </c>
      <c r="AA1268">
        <v>15.47</v>
      </c>
    </row>
    <row r="1269" spans="1:27" x14ac:dyDescent="0.25">
      <c r="A1269" t="s">
        <v>454</v>
      </c>
      <c r="B1269" t="s">
        <v>566</v>
      </c>
      <c r="C1269" t="s">
        <v>920</v>
      </c>
      <c r="D1269" t="s">
        <v>920</v>
      </c>
      <c r="E1269" t="s">
        <v>1365</v>
      </c>
      <c r="F1269" t="s">
        <v>571</v>
      </c>
      <c r="G1269" s="204"/>
      <c r="J1269">
        <v>10</v>
      </c>
      <c r="K1269">
        <v>461.5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7" x14ac:dyDescent="0.25">
      <c r="A1270" t="s">
        <v>454</v>
      </c>
      <c r="B1270" t="s">
        <v>566</v>
      </c>
      <c r="C1270" t="s">
        <v>920</v>
      </c>
      <c r="D1270" t="s">
        <v>920</v>
      </c>
      <c r="E1270" t="s">
        <v>1138</v>
      </c>
      <c r="F1270" t="s">
        <v>571</v>
      </c>
      <c r="G1270" s="204"/>
      <c r="L1270">
        <v>377</v>
      </c>
      <c r="M1270">
        <v>4286.49</v>
      </c>
      <c r="N1270">
        <v>0</v>
      </c>
      <c r="O1270">
        <v>0</v>
      </c>
      <c r="P1270">
        <v>0</v>
      </c>
      <c r="Q1270">
        <v>377</v>
      </c>
      <c r="R1270">
        <v>4286.49</v>
      </c>
      <c r="S1270">
        <v>11.37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7" x14ac:dyDescent="0.25">
      <c r="A1271" t="s">
        <v>454</v>
      </c>
      <c r="B1271" t="s">
        <v>566</v>
      </c>
      <c r="C1271" t="s">
        <v>920</v>
      </c>
      <c r="D1271" t="s">
        <v>920</v>
      </c>
      <c r="E1271" t="s">
        <v>1273</v>
      </c>
      <c r="F1271" t="s">
        <v>571</v>
      </c>
      <c r="G1271" s="204"/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T1271">
        <v>0</v>
      </c>
      <c r="U1271">
        <v>0</v>
      </c>
      <c r="V1271">
        <v>100</v>
      </c>
      <c r="W1271">
        <v>1763</v>
      </c>
      <c r="X1271">
        <v>100</v>
      </c>
      <c r="Y1271">
        <v>100</v>
      </c>
      <c r="Z1271">
        <v>1763</v>
      </c>
      <c r="AA1271">
        <v>17.63</v>
      </c>
    </row>
    <row r="1272" spans="1:27" x14ac:dyDescent="0.25">
      <c r="A1272" t="s">
        <v>454</v>
      </c>
      <c r="B1272" t="s">
        <v>566</v>
      </c>
      <c r="C1272" t="s">
        <v>920</v>
      </c>
      <c r="D1272" t="s">
        <v>920</v>
      </c>
      <c r="E1272" t="s">
        <v>1212</v>
      </c>
      <c r="F1272" t="s">
        <v>571</v>
      </c>
      <c r="G1272" s="204"/>
      <c r="H1272">
        <v>1000</v>
      </c>
      <c r="I1272">
        <v>13190</v>
      </c>
      <c r="L1272">
        <v>1500</v>
      </c>
      <c r="M1272">
        <v>21075</v>
      </c>
      <c r="N1272">
        <v>0</v>
      </c>
      <c r="O1272">
        <v>0</v>
      </c>
      <c r="P1272">
        <v>0</v>
      </c>
      <c r="Q1272">
        <v>1500</v>
      </c>
      <c r="T1272">
        <v>0</v>
      </c>
      <c r="U1272">
        <v>0</v>
      </c>
      <c r="V1272">
        <v>1500</v>
      </c>
      <c r="W1272">
        <v>21060</v>
      </c>
      <c r="X1272">
        <v>1500</v>
      </c>
      <c r="Y1272">
        <v>1500</v>
      </c>
    </row>
    <row r="1273" spans="1:27" x14ac:dyDescent="0.25">
      <c r="A1273" t="s">
        <v>454</v>
      </c>
      <c r="B1273" t="s">
        <v>566</v>
      </c>
      <c r="C1273" t="s">
        <v>920</v>
      </c>
      <c r="D1273" t="s">
        <v>920</v>
      </c>
      <c r="E1273" t="s">
        <v>1216</v>
      </c>
      <c r="F1273" t="s">
        <v>571</v>
      </c>
      <c r="G1273" s="204"/>
      <c r="J1273">
        <v>500</v>
      </c>
      <c r="K1273">
        <v>8920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7" x14ac:dyDescent="0.25">
      <c r="A1274" t="s">
        <v>928</v>
      </c>
      <c r="B1274" t="s">
        <v>554</v>
      </c>
      <c r="C1274" t="s">
        <v>920</v>
      </c>
      <c r="D1274" t="s">
        <v>920</v>
      </c>
      <c r="E1274" t="s">
        <v>1139</v>
      </c>
      <c r="F1274" t="s">
        <v>571</v>
      </c>
      <c r="G1274" s="204"/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T1274">
        <v>0</v>
      </c>
      <c r="U1274">
        <v>0</v>
      </c>
      <c r="V1274">
        <v>1100</v>
      </c>
      <c r="W1274">
        <v>169510</v>
      </c>
      <c r="X1274">
        <v>1100</v>
      </c>
      <c r="Y1274">
        <v>1100</v>
      </c>
      <c r="Z1274">
        <v>169510</v>
      </c>
      <c r="AA1274">
        <v>154.1</v>
      </c>
    </row>
    <row r="1275" spans="1:27" x14ac:dyDescent="0.25">
      <c r="A1275" t="s">
        <v>928</v>
      </c>
      <c r="B1275" t="s">
        <v>554</v>
      </c>
      <c r="C1275" t="s">
        <v>920</v>
      </c>
      <c r="D1275" t="s">
        <v>920</v>
      </c>
      <c r="E1275" t="s">
        <v>1400</v>
      </c>
      <c r="F1275" t="s">
        <v>571</v>
      </c>
      <c r="G1275" s="204"/>
      <c r="J1275">
        <v>1100</v>
      </c>
      <c r="K1275">
        <v>147400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7" x14ac:dyDescent="0.25">
      <c r="A1276" t="s">
        <v>928</v>
      </c>
      <c r="B1276" t="s">
        <v>554</v>
      </c>
      <c r="C1276" t="s">
        <v>920</v>
      </c>
      <c r="D1276" t="s">
        <v>920</v>
      </c>
      <c r="E1276" t="s">
        <v>1212</v>
      </c>
      <c r="F1276" t="s">
        <v>578</v>
      </c>
      <c r="G1276" s="204">
        <v>46752</v>
      </c>
      <c r="J1276">
        <v>391</v>
      </c>
      <c r="K1276">
        <v>62169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7" x14ac:dyDescent="0.25">
      <c r="A1277" t="s">
        <v>175</v>
      </c>
      <c r="B1277" t="s">
        <v>567</v>
      </c>
      <c r="C1277" t="s">
        <v>920</v>
      </c>
      <c r="D1277" t="s">
        <v>920</v>
      </c>
      <c r="E1277" t="s">
        <v>1216</v>
      </c>
      <c r="F1277" t="s">
        <v>571</v>
      </c>
      <c r="G1277" s="204"/>
      <c r="L1277">
        <v>631</v>
      </c>
      <c r="M1277">
        <v>21454</v>
      </c>
      <c r="N1277">
        <v>0</v>
      </c>
      <c r="O1277">
        <v>0</v>
      </c>
      <c r="P1277">
        <v>0</v>
      </c>
      <c r="Q1277">
        <v>631</v>
      </c>
      <c r="R1277">
        <v>21454</v>
      </c>
      <c r="S1277">
        <v>34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7" x14ac:dyDescent="0.25">
      <c r="A1278" t="s">
        <v>177</v>
      </c>
      <c r="B1278" t="s">
        <v>566</v>
      </c>
      <c r="C1278" t="s">
        <v>920</v>
      </c>
      <c r="D1278" t="s">
        <v>920</v>
      </c>
      <c r="E1278" t="s">
        <v>1280</v>
      </c>
      <c r="F1278" t="s">
        <v>571</v>
      </c>
      <c r="G1278" s="204"/>
      <c r="L1278">
        <v>3000</v>
      </c>
      <c r="M1278">
        <v>51090.000000000007</v>
      </c>
      <c r="N1278">
        <v>0</v>
      </c>
      <c r="O1278">
        <v>0</v>
      </c>
      <c r="P1278">
        <v>0</v>
      </c>
      <c r="Q1278">
        <v>3000</v>
      </c>
      <c r="R1278">
        <v>51090.000000000007</v>
      </c>
      <c r="S1278">
        <v>17.03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7" x14ac:dyDescent="0.25">
      <c r="A1279" t="s">
        <v>177</v>
      </c>
      <c r="B1279" t="s">
        <v>566</v>
      </c>
      <c r="C1279" t="s">
        <v>920</v>
      </c>
      <c r="D1279" t="s">
        <v>920</v>
      </c>
      <c r="E1279" t="s">
        <v>1332</v>
      </c>
      <c r="F1279" t="s">
        <v>571</v>
      </c>
      <c r="G1279" s="204"/>
      <c r="H1279">
        <v>32</v>
      </c>
      <c r="K1279">
        <v>3106.54</v>
      </c>
      <c r="L1279">
        <v>56</v>
      </c>
      <c r="M1279">
        <v>6041.28</v>
      </c>
      <c r="N1279">
        <v>0</v>
      </c>
      <c r="O1279">
        <v>0</v>
      </c>
      <c r="P1279">
        <v>0</v>
      </c>
      <c r="Q1279">
        <v>56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7" x14ac:dyDescent="0.25">
      <c r="A1280" t="s">
        <v>177</v>
      </c>
      <c r="B1280" t="s">
        <v>566</v>
      </c>
      <c r="C1280" t="s">
        <v>920</v>
      </c>
      <c r="D1280" t="s">
        <v>920</v>
      </c>
      <c r="E1280" t="s">
        <v>1269</v>
      </c>
      <c r="F1280" t="s">
        <v>571</v>
      </c>
      <c r="G1280" s="204"/>
      <c r="H1280">
        <v>45</v>
      </c>
      <c r="I1280">
        <v>1988.1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7" x14ac:dyDescent="0.25">
      <c r="A1281" t="s">
        <v>177</v>
      </c>
      <c r="B1281" t="s">
        <v>566</v>
      </c>
      <c r="C1281" t="s">
        <v>920</v>
      </c>
      <c r="D1281" t="s">
        <v>920</v>
      </c>
      <c r="E1281" t="s">
        <v>1217</v>
      </c>
      <c r="F1281" t="s">
        <v>571</v>
      </c>
      <c r="G1281" s="204"/>
      <c r="L1281">
        <v>0</v>
      </c>
      <c r="M1281">
        <v>0</v>
      </c>
      <c r="N1281">
        <v>500</v>
      </c>
      <c r="O1281">
        <v>7885</v>
      </c>
      <c r="P1281">
        <v>500</v>
      </c>
      <c r="Q1281">
        <v>500</v>
      </c>
      <c r="R1281">
        <v>7885</v>
      </c>
      <c r="S1281">
        <v>15.77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7" x14ac:dyDescent="0.25">
      <c r="A1282" t="s">
        <v>177</v>
      </c>
      <c r="B1282" t="s">
        <v>566</v>
      </c>
      <c r="C1282" t="s">
        <v>920</v>
      </c>
      <c r="D1282" t="s">
        <v>920</v>
      </c>
      <c r="E1282" t="s">
        <v>1330</v>
      </c>
      <c r="F1282" t="s">
        <v>571</v>
      </c>
      <c r="G1282" s="204"/>
      <c r="J1282">
        <v>100</v>
      </c>
      <c r="K1282">
        <v>1988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7" x14ac:dyDescent="0.25">
      <c r="A1283" t="s">
        <v>177</v>
      </c>
      <c r="B1283" t="s">
        <v>566</v>
      </c>
      <c r="C1283" t="s">
        <v>920</v>
      </c>
      <c r="D1283" t="s">
        <v>920</v>
      </c>
      <c r="E1283" t="s">
        <v>1386</v>
      </c>
      <c r="F1283" t="s">
        <v>571</v>
      </c>
      <c r="G1283" s="204"/>
      <c r="J1283">
        <v>2</v>
      </c>
      <c r="K1283">
        <v>184.6</v>
      </c>
      <c r="L1283">
        <v>8</v>
      </c>
      <c r="M1283">
        <v>814.16</v>
      </c>
      <c r="N1283">
        <v>0</v>
      </c>
      <c r="O1283">
        <v>0</v>
      </c>
      <c r="P1283">
        <v>0</v>
      </c>
      <c r="Q1283">
        <v>8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7" x14ac:dyDescent="0.25">
      <c r="A1284" t="s">
        <v>177</v>
      </c>
      <c r="B1284" t="s">
        <v>566</v>
      </c>
      <c r="C1284" t="s">
        <v>920</v>
      </c>
      <c r="D1284" t="s">
        <v>920</v>
      </c>
      <c r="E1284" t="s">
        <v>1349</v>
      </c>
      <c r="F1284" t="s">
        <v>571</v>
      </c>
      <c r="G1284" s="204"/>
      <c r="H1284">
        <v>2</v>
      </c>
      <c r="I1284">
        <v>169.36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7" x14ac:dyDescent="0.25">
      <c r="A1285" t="s">
        <v>177</v>
      </c>
      <c r="B1285" t="s">
        <v>566</v>
      </c>
      <c r="C1285" t="s">
        <v>920</v>
      </c>
      <c r="D1285" t="s">
        <v>920</v>
      </c>
      <c r="E1285" t="s">
        <v>1506</v>
      </c>
      <c r="F1285" t="s">
        <v>571</v>
      </c>
      <c r="G1285" s="204"/>
      <c r="L1285">
        <v>20</v>
      </c>
      <c r="M1285">
        <v>2035.4</v>
      </c>
      <c r="N1285">
        <v>0</v>
      </c>
      <c r="O1285">
        <v>0</v>
      </c>
      <c r="P1285">
        <v>0</v>
      </c>
      <c r="Q1285">
        <v>20</v>
      </c>
      <c r="R1285">
        <v>2035.4</v>
      </c>
      <c r="S1285">
        <v>101.77000000000001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7" x14ac:dyDescent="0.25">
      <c r="A1286" t="s">
        <v>177</v>
      </c>
      <c r="B1286" t="s">
        <v>566</v>
      </c>
      <c r="C1286" t="s">
        <v>920</v>
      </c>
      <c r="D1286" t="s">
        <v>920</v>
      </c>
      <c r="E1286" t="s">
        <v>1797</v>
      </c>
      <c r="F1286" t="s">
        <v>571</v>
      </c>
      <c r="G1286" s="204"/>
      <c r="H1286">
        <v>2</v>
      </c>
      <c r="I1286">
        <v>169.36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7" x14ac:dyDescent="0.25">
      <c r="A1287" t="s">
        <v>177</v>
      </c>
      <c r="B1287" t="s">
        <v>566</v>
      </c>
      <c r="C1287" t="s">
        <v>920</v>
      </c>
      <c r="D1287" t="s">
        <v>920</v>
      </c>
      <c r="E1287" t="s">
        <v>1756</v>
      </c>
      <c r="F1287" t="s">
        <v>571</v>
      </c>
      <c r="G1287" s="204"/>
      <c r="H1287">
        <v>2</v>
      </c>
      <c r="I1287">
        <v>169.36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7" x14ac:dyDescent="0.25">
      <c r="A1288" t="s">
        <v>177</v>
      </c>
      <c r="B1288" t="s">
        <v>566</v>
      </c>
      <c r="C1288" t="s">
        <v>920</v>
      </c>
      <c r="D1288" t="s">
        <v>920</v>
      </c>
      <c r="E1288" t="s">
        <v>1266</v>
      </c>
      <c r="F1288" t="s">
        <v>571</v>
      </c>
      <c r="G1288" s="204"/>
      <c r="J1288">
        <v>4600</v>
      </c>
      <c r="L1288">
        <v>11000</v>
      </c>
      <c r="M1288">
        <v>179090</v>
      </c>
      <c r="N1288">
        <v>500</v>
      </c>
      <c r="O1288">
        <v>8160</v>
      </c>
      <c r="P1288">
        <v>500</v>
      </c>
      <c r="Q1288">
        <v>11500</v>
      </c>
      <c r="T1288">
        <v>0</v>
      </c>
      <c r="U1288">
        <v>0</v>
      </c>
      <c r="V1288">
        <v>4500</v>
      </c>
      <c r="W1288">
        <v>73440</v>
      </c>
      <c r="X1288">
        <v>4500</v>
      </c>
      <c r="Y1288">
        <v>4500</v>
      </c>
      <c r="Z1288">
        <v>73440</v>
      </c>
      <c r="AA1288">
        <v>16.32</v>
      </c>
    </row>
    <row r="1289" spans="1:27" x14ac:dyDescent="0.25">
      <c r="A1289" t="s">
        <v>177</v>
      </c>
      <c r="B1289" t="s">
        <v>566</v>
      </c>
      <c r="C1289" t="s">
        <v>920</v>
      </c>
      <c r="D1289" t="s">
        <v>920</v>
      </c>
      <c r="E1289" t="s">
        <v>1368</v>
      </c>
      <c r="F1289" t="s">
        <v>571</v>
      </c>
      <c r="G1289" s="204"/>
      <c r="L1289">
        <v>320</v>
      </c>
      <c r="M1289">
        <v>7472</v>
      </c>
      <c r="N1289">
        <v>0</v>
      </c>
      <c r="O1289">
        <v>0</v>
      </c>
      <c r="P1289">
        <v>0</v>
      </c>
      <c r="Q1289">
        <v>320</v>
      </c>
      <c r="R1289">
        <v>7472</v>
      </c>
      <c r="S1289">
        <v>23.35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7" x14ac:dyDescent="0.25">
      <c r="A1290" t="s">
        <v>177</v>
      </c>
      <c r="B1290" t="s">
        <v>566</v>
      </c>
      <c r="C1290" t="s">
        <v>920</v>
      </c>
      <c r="D1290" t="s">
        <v>920</v>
      </c>
      <c r="E1290" t="s">
        <v>1373</v>
      </c>
      <c r="F1290" t="s">
        <v>571</v>
      </c>
      <c r="G1290" s="204"/>
      <c r="J1290">
        <v>125</v>
      </c>
      <c r="K1290">
        <v>2982.5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7" x14ac:dyDescent="0.25">
      <c r="A1291" t="s">
        <v>177</v>
      </c>
      <c r="B1291" t="s">
        <v>566</v>
      </c>
      <c r="C1291" t="s">
        <v>920</v>
      </c>
      <c r="D1291" t="s">
        <v>920</v>
      </c>
      <c r="E1291" t="s">
        <v>1138</v>
      </c>
      <c r="F1291" t="s">
        <v>571</v>
      </c>
      <c r="G1291" s="204"/>
      <c r="H1291">
        <v>1200</v>
      </c>
      <c r="I1291">
        <v>12888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7" x14ac:dyDescent="0.25">
      <c r="A1292" t="s">
        <v>177</v>
      </c>
      <c r="B1292" t="s">
        <v>566</v>
      </c>
      <c r="C1292" t="s">
        <v>920</v>
      </c>
      <c r="D1292" t="s">
        <v>920</v>
      </c>
      <c r="E1292" t="s">
        <v>1212</v>
      </c>
      <c r="F1292" t="s">
        <v>571</v>
      </c>
      <c r="G1292" s="204"/>
      <c r="H1292">
        <v>3750</v>
      </c>
      <c r="I1292">
        <v>54900</v>
      </c>
      <c r="L1292">
        <v>165</v>
      </c>
      <c r="M1292">
        <v>2547.6</v>
      </c>
      <c r="N1292">
        <v>3835</v>
      </c>
      <c r="O1292">
        <v>59212.4</v>
      </c>
      <c r="P1292">
        <v>3835</v>
      </c>
      <c r="Q1292">
        <v>4000</v>
      </c>
      <c r="T1292">
        <v>0</v>
      </c>
      <c r="U1292">
        <v>0</v>
      </c>
      <c r="V1292">
        <v>5000</v>
      </c>
      <c r="W1292">
        <v>77200</v>
      </c>
      <c r="X1292">
        <v>5000</v>
      </c>
      <c r="Y1292">
        <v>5000</v>
      </c>
    </row>
    <row r="1293" spans="1:27" x14ac:dyDescent="0.25">
      <c r="A1293" t="s">
        <v>177</v>
      </c>
      <c r="B1293" t="s">
        <v>566</v>
      </c>
      <c r="C1293" t="s">
        <v>920</v>
      </c>
      <c r="D1293" t="s">
        <v>920</v>
      </c>
      <c r="E1293" t="s">
        <v>1216</v>
      </c>
      <c r="F1293" t="s">
        <v>571</v>
      </c>
      <c r="G1293" s="204"/>
      <c r="H1293">
        <v>467</v>
      </c>
      <c r="I1293">
        <v>8209.86</v>
      </c>
      <c r="L1293">
        <v>1100</v>
      </c>
      <c r="M1293">
        <v>15290</v>
      </c>
      <c r="N1293">
        <v>0</v>
      </c>
      <c r="O1293">
        <v>0</v>
      </c>
      <c r="P1293">
        <v>0</v>
      </c>
      <c r="Q1293">
        <v>1100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7" x14ac:dyDescent="0.25">
      <c r="A1294" t="s">
        <v>1549</v>
      </c>
      <c r="B1294" t="s">
        <v>562</v>
      </c>
      <c r="C1294" t="s">
        <v>920</v>
      </c>
      <c r="D1294" t="s">
        <v>920</v>
      </c>
      <c r="E1294" t="s">
        <v>1212</v>
      </c>
      <c r="F1294" t="s">
        <v>578</v>
      </c>
      <c r="G1294" s="204">
        <v>46752</v>
      </c>
      <c r="J1294">
        <v>350</v>
      </c>
      <c r="K1294">
        <v>59500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7" x14ac:dyDescent="0.25">
      <c r="A1295" t="s">
        <v>179</v>
      </c>
      <c r="B1295" t="s">
        <v>566</v>
      </c>
      <c r="C1295" t="s">
        <v>920</v>
      </c>
      <c r="D1295" t="s">
        <v>920</v>
      </c>
      <c r="E1295" t="s">
        <v>1338</v>
      </c>
      <c r="F1295" t="s">
        <v>571</v>
      </c>
      <c r="G1295" s="204"/>
      <c r="J1295">
        <v>169</v>
      </c>
      <c r="K1295">
        <v>33025.980000000003</v>
      </c>
      <c r="L1295">
        <v>331</v>
      </c>
      <c r="M1295">
        <v>64684.020000000004</v>
      </c>
      <c r="N1295">
        <v>0</v>
      </c>
      <c r="O1295">
        <v>0</v>
      </c>
      <c r="P1295">
        <v>0</v>
      </c>
      <c r="Q1295">
        <v>331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7" x14ac:dyDescent="0.25">
      <c r="A1296" t="s">
        <v>1638</v>
      </c>
      <c r="B1296" t="s">
        <v>554</v>
      </c>
      <c r="C1296" t="s">
        <v>555</v>
      </c>
      <c r="D1296" t="s">
        <v>583</v>
      </c>
      <c r="E1296" t="s">
        <v>1434</v>
      </c>
      <c r="F1296" t="s">
        <v>571</v>
      </c>
      <c r="G1296" s="204"/>
      <c r="J1296">
        <v>250</v>
      </c>
      <c r="K1296">
        <v>12805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7" x14ac:dyDescent="0.25">
      <c r="A1297" t="s">
        <v>929</v>
      </c>
      <c r="B1297" t="s">
        <v>556</v>
      </c>
      <c r="C1297" t="s">
        <v>564</v>
      </c>
      <c r="D1297" t="s">
        <v>664</v>
      </c>
      <c r="E1297" t="s">
        <v>1293</v>
      </c>
      <c r="F1297" t="s">
        <v>571</v>
      </c>
      <c r="G1297" s="204"/>
      <c r="J1297">
        <v>277</v>
      </c>
      <c r="K1297">
        <v>12465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7" x14ac:dyDescent="0.25">
      <c r="A1298" t="s">
        <v>929</v>
      </c>
      <c r="B1298" t="s">
        <v>556</v>
      </c>
      <c r="C1298" t="s">
        <v>564</v>
      </c>
      <c r="D1298" t="s">
        <v>664</v>
      </c>
      <c r="E1298" t="s">
        <v>1206</v>
      </c>
      <c r="F1298" t="s">
        <v>571</v>
      </c>
      <c r="G1298" s="204"/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T1298">
        <v>0</v>
      </c>
      <c r="U1298">
        <v>0</v>
      </c>
      <c r="V1298">
        <v>1000</v>
      </c>
      <c r="W1298">
        <v>35020</v>
      </c>
      <c r="X1298">
        <v>1000</v>
      </c>
      <c r="Y1298">
        <v>1000</v>
      </c>
      <c r="Z1298">
        <v>35020</v>
      </c>
      <c r="AA1298">
        <v>35.020000000000003</v>
      </c>
    </row>
    <row r="1299" spans="1:27" x14ac:dyDescent="0.25">
      <c r="A1299" t="s">
        <v>929</v>
      </c>
      <c r="B1299" t="s">
        <v>556</v>
      </c>
      <c r="C1299" t="s">
        <v>564</v>
      </c>
      <c r="D1299" t="s">
        <v>664</v>
      </c>
      <c r="E1299" t="s">
        <v>1796</v>
      </c>
      <c r="F1299" t="s">
        <v>571</v>
      </c>
      <c r="G1299" s="204"/>
      <c r="H1299">
        <v>1979</v>
      </c>
      <c r="I1299">
        <v>69304.58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7" x14ac:dyDescent="0.25">
      <c r="A1300" t="s">
        <v>266</v>
      </c>
      <c r="B1300" t="s">
        <v>562</v>
      </c>
      <c r="C1300" t="s">
        <v>1858</v>
      </c>
      <c r="D1300" t="s">
        <v>652</v>
      </c>
      <c r="E1300" t="s">
        <v>1287</v>
      </c>
      <c r="F1300" t="s">
        <v>578</v>
      </c>
      <c r="G1300" s="204">
        <v>46022</v>
      </c>
      <c r="J1300">
        <v>6</v>
      </c>
      <c r="K1300">
        <v>2525.46</v>
      </c>
      <c r="L1300">
        <v>100</v>
      </c>
      <c r="M1300">
        <v>29835</v>
      </c>
      <c r="N1300">
        <v>0</v>
      </c>
      <c r="O1300">
        <v>0</v>
      </c>
      <c r="P1300">
        <v>0</v>
      </c>
      <c r="Q1300">
        <v>100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7" x14ac:dyDescent="0.25">
      <c r="A1301" t="s">
        <v>870</v>
      </c>
      <c r="B1301" t="s">
        <v>1031</v>
      </c>
      <c r="C1301" t="s">
        <v>920</v>
      </c>
      <c r="D1301" t="s">
        <v>920</v>
      </c>
      <c r="E1301" t="s">
        <v>1280</v>
      </c>
      <c r="F1301" t="s">
        <v>571</v>
      </c>
      <c r="G1301" s="204"/>
      <c r="H1301">
        <v>500</v>
      </c>
      <c r="I1301">
        <v>10680</v>
      </c>
      <c r="L1301">
        <v>4000</v>
      </c>
      <c r="M1301">
        <v>80330</v>
      </c>
      <c r="N1301">
        <v>0</v>
      </c>
      <c r="O1301">
        <v>0</v>
      </c>
      <c r="P1301">
        <v>0</v>
      </c>
      <c r="Q1301">
        <v>4000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7" x14ac:dyDescent="0.25">
      <c r="A1302" t="s">
        <v>870</v>
      </c>
      <c r="B1302" t="s">
        <v>1031</v>
      </c>
      <c r="C1302" t="s">
        <v>920</v>
      </c>
      <c r="D1302" t="s">
        <v>920</v>
      </c>
      <c r="E1302" t="s">
        <v>1469</v>
      </c>
      <c r="F1302" t="s">
        <v>571</v>
      </c>
      <c r="G1302" s="204"/>
      <c r="J1302">
        <v>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7" x14ac:dyDescent="0.25">
      <c r="A1303" t="s">
        <v>181</v>
      </c>
      <c r="B1303" t="s">
        <v>567</v>
      </c>
      <c r="C1303" t="s">
        <v>920</v>
      </c>
      <c r="D1303" t="s">
        <v>920</v>
      </c>
      <c r="E1303" t="s">
        <v>1237</v>
      </c>
      <c r="F1303" t="s">
        <v>571</v>
      </c>
      <c r="G1303" s="204"/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T1303">
        <v>0</v>
      </c>
      <c r="U1303">
        <v>0</v>
      </c>
      <c r="V1303">
        <v>330</v>
      </c>
      <c r="W1303">
        <v>21288.3</v>
      </c>
      <c r="X1303">
        <v>330</v>
      </c>
      <c r="Y1303">
        <v>330</v>
      </c>
      <c r="Z1303">
        <v>21288.3</v>
      </c>
      <c r="AA1303">
        <v>64.509999999999991</v>
      </c>
    </row>
    <row r="1304" spans="1:27" x14ac:dyDescent="0.25">
      <c r="A1304" t="s">
        <v>181</v>
      </c>
      <c r="B1304" t="s">
        <v>567</v>
      </c>
      <c r="C1304" t="s">
        <v>920</v>
      </c>
      <c r="D1304" t="s">
        <v>920</v>
      </c>
      <c r="E1304" t="s">
        <v>1404</v>
      </c>
      <c r="F1304" t="s">
        <v>571</v>
      </c>
      <c r="G1304" s="204"/>
      <c r="J1304">
        <v>700</v>
      </c>
      <c r="K1304">
        <v>35224</v>
      </c>
      <c r="L1304">
        <v>850</v>
      </c>
      <c r="M1304">
        <v>42772</v>
      </c>
      <c r="N1304">
        <v>0</v>
      </c>
      <c r="O1304">
        <v>0</v>
      </c>
      <c r="P1304">
        <v>0</v>
      </c>
      <c r="Q1304">
        <v>850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7" x14ac:dyDescent="0.25">
      <c r="A1305" t="s">
        <v>181</v>
      </c>
      <c r="B1305" t="s">
        <v>567</v>
      </c>
      <c r="C1305" t="s">
        <v>920</v>
      </c>
      <c r="D1305" t="s">
        <v>920</v>
      </c>
      <c r="E1305" t="s">
        <v>1330</v>
      </c>
      <c r="F1305" t="s">
        <v>571</v>
      </c>
      <c r="G1305" s="204"/>
      <c r="H1305">
        <v>392</v>
      </c>
      <c r="I1305">
        <v>13708.24</v>
      </c>
      <c r="L1305">
        <v>500</v>
      </c>
      <c r="M1305">
        <v>18940</v>
      </c>
      <c r="N1305">
        <v>0</v>
      </c>
      <c r="O1305">
        <v>0</v>
      </c>
      <c r="P1305">
        <v>0</v>
      </c>
      <c r="Q1305">
        <v>500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7" x14ac:dyDescent="0.25">
      <c r="A1306" t="s">
        <v>181</v>
      </c>
      <c r="B1306" t="s">
        <v>567</v>
      </c>
      <c r="C1306" t="s">
        <v>920</v>
      </c>
      <c r="D1306" t="s">
        <v>920</v>
      </c>
      <c r="E1306" t="s">
        <v>1216</v>
      </c>
      <c r="F1306" t="s">
        <v>571</v>
      </c>
      <c r="G1306" s="204"/>
      <c r="L1306">
        <v>300</v>
      </c>
      <c r="M1306">
        <v>11364</v>
      </c>
      <c r="N1306">
        <v>230</v>
      </c>
      <c r="O1306">
        <v>8712.4</v>
      </c>
      <c r="P1306">
        <v>230</v>
      </c>
      <c r="Q1306">
        <v>530</v>
      </c>
      <c r="R1306">
        <v>20076.400000000001</v>
      </c>
      <c r="S1306">
        <v>37.880000000000003</v>
      </c>
      <c r="T1306">
        <v>0</v>
      </c>
      <c r="U1306">
        <v>0</v>
      </c>
      <c r="V1306">
        <v>2150</v>
      </c>
      <c r="W1306">
        <v>82305.5</v>
      </c>
      <c r="X1306">
        <v>2150</v>
      </c>
      <c r="Y1306">
        <v>2150</v>
      </c>
    </row>
    <row r="1307" spans="1:27" x14ac:dyDescent="0.25">
      <c r="A1307" t="s">
        <v>183</v>
      </c>
      <c r="B1307" t="s">
        <v>566</v>
      </c>
      <c r="C1307" t="s">
        <v>920</v>
      </c>
      <c r="D1307" t="s">
        <v>920</v>
      </c>
      <c r="E1307" t="s">
        <v>1280</v>
      </c>
      <c r="F1307" t="s">
        <v>571</v>
      </c>
      <c r="G1307" s="204"/>
      <c r="J1307">
        <v>1000</v>
      </c>
      <c r="K1307">
        <v>20330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7" x14ac:dyDescent="0.25">
      <c r="A1308" t="s">
        <v>183</v>
      </c>
      <c r="B1308" t="s">
        <v>566</v>
      </c>
      <c r="C1308" t="s">
        <v>920</v>
      </c>
      <c r="D1308" t="s">
        <v>920</v>
      </c>
      <c r="E1308" t="s">
        <v>1330</v>
      </c>
      <c r="F1308" t="s">
        <v>571</v>
      </c>
      <c r="G1308" s="204"/>
      <c r="J1308">
        <v>250</v>
      </c>
      <c r="K1308">
        <v>5577.5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7" x14ac:dyDescent="0.25">
      <c r="A1309" t="s">
        <v>183</v>
      </c>
      <c r="B1309" t="s">
        <v>566</v>
      </c>
      <c r="C1309" t="s">
        <v>920</v>
      </c>
      <c r="D1309" t="s">
        <v>920</v>
      </c>
      <c r="E1309" t="s">
        <v>1407</v>
      </c>
      <c r="F1309" t="s">
        <v>571</v>
      </c>
      <c r="G1309" s="204"/>
      <c r="L1309">
        <v>2</v>
      </c>
      <c r="M1309">
        <v>0</v>
      </c>
      <c r="N1309">
        <v>0</v>
      </c>
      <c r="O1309">
        <v>0</v>
      </c>
      <c r="P1309">
        <v>0</v>
      </c>
      <c r="Q1309">
        <v>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7" x14ac:dyDescent="0.25">
      <c r="A1310" t="s">
        <v>183</v>
      </c>
      <c r="B1310" t="s">
        <v>566</v>
      </c>
      <c r="C1310" t="s">
        <v>920</v>
      </c>
      <c r="D1310" t="s">
        <v>920</v>
      </c>
      <c r="E1310" t="s">
        <v>1477</v>
      </c>
      <c r="F1310" t="s">
        <v>571</v>
      </c>
      <c r="G1310" s="204"/>
      <c r="J1310">
        <v>5</v>
      </c>
      <c r="K1310">
        <v>353.7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7" x14ac:dyDescent="0.25">
      <c r="A1311" t="s">
        <v>183</v>
      </c>
      <c r="B1311" t="s">
        <v>566</v>
      </c>
      <c r="C1311" t="s">
        <v>920</v>
      </c>
      <c r="D1311" t="s">
        <v>920</v>
      </c>
      <c r="E1311" t="s">
        <v>1771</v>
      </c>
      <c r="F1311" t="s">
        <v>571</v>
      </c>
      <c r="G1311" s="204"/>
      <c r="H1311">
        <v>100</v>
      </c>
      <c r="I1311">
        <v>2879</v>
      </c>
      <c r="J1311">
        <v>100</v>
      </c>
      <c r="K1311">
        <v>2879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7" x14ac:dyDescent="0.25">
      <c r="A1312" t="s">
        <v>183</v>
      </c>
      <c r="B1312" t="s">
        <v>566</v>
      </c>
      <c r="C1312" t="s">
        <v>920</v>
      </c>
      <c r="D1312" t="s">
        <v>920</v>
      </c>
      <c r="E1312" t="s">
        <v>1491</v>
      </c>
      <c r="F1312" t="s">
        <v>571</v>
      </c>
      <c r="G1312" s="204"/>
      <c r="L1312">
        <v>2</v>
      </c>
      <c r="M1312">
        <v>0</v>
      </c>
      <c r="N1312">
        <v>0</v>
      </c>
      <c r="O1312">
        <v>0</v>
      </c>
      <c r="P1312">
        <v>0</v>
      </c>
      <c r="Q1312">
        <v>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7" x14ac:dyDescent="0.25">
      <c r="A1313" t="s">
        <v>183</v>
      </c>
      <c r="B1313" t="s">
        <v>566</v>
      </c>
      <c r="C1313" t="s">
        <v>920</v>
      </c>
      <c r="D1313" t="s">
        <v>920</v>
      </c>
      <c r="E1313" t="s">
        <v>1406</v>
      </c>
      <c r="F1313" t="s">
        <v>571</v>
      </c>
      <c r="G1313" s="204"/>
      <c r="J1313">
        <v>32</v>
      </c>
      <c r="K1313">
        <v>3482.56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7" x14ac:dyDescent="0.25">
      <c r="A1314" t="s">
        <v>183</v>
      </c>
      <c r="B1314" t="s">
        <v>566</v>
      </c>
      <c r="C1314" t="s">
        <v>920</v>
      </c>
      <c r="D1314" t="s">
        <v>920</v>
      </c>
      <c r="E1314" t="s">
        <v>1386</v>
      </c>
      <c r="F1314" t="s">
        <v>571</v>
      </c>
      <c r="G1314" s="204"/>
      <c r="J1314">
        <v>7</v>
      </c>
      <c r="K1314">
        <v>761.81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7" x14ac:dyDescent="0.25">
      <c r="A1315" t="s">
        <v>183</v>
      </c>
      <c r="B1315" t="s">
        <v>566</v>
      </c>
      <c r="C1315" t="s">
        <v>920</v>
      </c>
      <c r="D1315" t="s">
        <v>920</v>
      </c>
      <c r="E1315" t="s">
        <v>1798</v>
      </c>
      <c r="F1315" t="s">
        <v>571</v>
      </c>
      <c r="G1315" s="204"/>
      <c r="J1315">
        <v>4</v>
      </c>
      <c r="K1315">
        <v>435.32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7" x14ac:dyDescent="0.25">
      <c r="A1316" t="s">
        <v>183</v>
      </c>
      <c r="B1316" t="s">
        <v>566</v>
      </c>
      <c r="C1316" t="s">
        <v>920</v>
      </c>
      <c r="D1316" t="s">
        <v>920</v>
      </c>
      <c r="E1316" t="s">
        <v>1374</v>
      </c>
      <c r="F1316" t="s">
        <v>571</v>
      </c>
      <c r="G1316" s="204"/>
      <c r="L1316">
        <v>33</v>
      </c>
      <c r="M1316">
        <v>3959.34</v>
      </c>
      <c r="N1316">
        <v>0</v>
      </c>
      <c r="O1316">
        <v>0</v>
      </c>
      <c r="P1316">
        <v>0</v>
      </c>
      <c r="Q1316">
        <v>33</v>
      </c>
      <c r="R1316">
        <v>3959.34</v>
      </c>
      <c r="S1316">
        <v>119.98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7" x14ac:dyDescent="0.25">
      <c r="A1317" t="s">
        <v>183</v>
      </c>
      <c r="B1317" t="s">
        <v>566</v>
      </c>
      <c r="C1317" t="s">
        <v>920</v>
      </c>
      <c r="D1317" t="s">
        <v>920</v>
      </c>
      <c r="E1317" t="s">
        <v>1476</v>
      </c>
      <c r="F1317" t="s">
        <v>571</v>
      </c>
      <c r="G1317" s="204"/>
      <c r="L1317">
        <v>29</v>
      </c>
      <c r="M1317">
        <v>3479.42</v>
      </c>
      <c r="N1317">
        <v>0</v>
      </c>
      <c r="O1317">
        <v>0</v>
      </c>
      <c r="P1317">
        <v>0</v>
      </c>
      <c r="Q1317">
        <v>29</v>
      </c>
      <c r="R1317">
        <v>3479.42</v>
      </c>
      <c r="S1317">
        <v>119.98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7" x14ac:dyDescent="0.25">
      <c r="A1318" t="s">
        <v>183</v>
      </c>
      <c r="B1318" t="s">
        <v>566</v>
      </c>
      <c r="C1318" t="s">
        <v>920</v>
      </c>
      <c r="D1318" t="s">
        <v>920</v>
      </c>
      <c r="E1318" t="s">
        <v>1422</v>
      </c>
      <c r="F1318" t="s">
        <v>571</v>
      </c>
      <c r="G1318" s="204"/>
      <c r="J1318">
        <v>2</v>
      </c>
      <c r="K1318">
        <v>228.54</v>
      </c>
      <c r="L1318">
        <v>7</v>
      </c>
      <c r="M1318">
        <v>828.43999999999994</v>
      </c>
      <c r="N1318">
        <v>0</v>
      </c>
      <c r="O1318">
        <v>0</v>
      </c>
      <c r="P1318">
        <v>0</v>
      </c>
      <c r="Q1318">
        <v>7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7" x14ac:dyDescent="0.25">
      <c r="A1319" t="s">
        <v>183</v>
      </c>
      <c r="B1319" t="s">
        <v>566</v>
      </c>
      <c r="C1319" t="s">
        <v>920</v>
      </c>
      <c r="D1319" t="s">
        <v>920</v>
      </c>
      <c r="E1319" t="s">
        <v>1799</v>
      </c>
      <c r="F1319" t="s">
        <v>571</v>
      </c>
      <c r="G1319" s="204"/>
      <c r="J1319">
        <v>4</v>
      </c>
      <c r="K1319">
        <v>625.24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7" x14ac:dyDescent="0.25">
      <c r="A1320" t="s">
        <v>183</v>
      </c>
      <c r="B1320" t="s">
        <v>566</v>
      </c>
      <c r="C1320" t="s">
        <v>920</v>
      </c>
      <c r="D1320" t="s">
        <v>920</v>
      </c>
      <c r="E1320" t="s">
        <v>1266</v>
      </c>
      <c r="F1320" t="s">
        <v>571</v>
      </c>
      <c r="G1320" s="204"/>
      <c r="H1320">
        <v>500</v>
      </c>
      <c r="I1320">
        <v>9265</v>
      </c>
      <c r="L1320">
        <v>2750</v>
      </c>
      <c r="M1320">
        <v>53362.5</v>
      </c>
      <c r="N1320">
        <v>0</v>
      </c>
      <c r="O1320">
        <v>0</v>
      </c>
      <c r="P1320">
        <v>0</v>
      </c>
      <c r="Q1320">
        <v>2750</v>
      </c>
      <c r="T1320">
        <v>0</v>
      </c>
      <c r="U1320">
        <v>0</v>
      </c>
      <c r="V1320">
        <v>1500</v>
      </c>
      <c r="W1320">
        <v>29550</v>
      </c>
      <c r="X1320">
        <v>1500</v>
      </c>
      <c r="Y1320">
        <v>1500</v>
      </c>
    </row>
    <row r="1321" spans="1:27" x14ac:dyDescent="0.25">
      <c r="A1321" t="s">
        <v>183</v>
      </c>
      <c r="B1321" t="s">
        <v>566</v>
      </c>
      <c r="C1321" t="s">
        <v>920</v>
      </c>
      <c r="D1321" t="s">
        <v>920</v>
      </c>
      <c r="E1321" t="s">
        <v>1744</v>
      </c>
      <c r="F1321" t="s">
        <v>571</v>
      </c>
      <c r="G1321" s="204"/>
      <c r="H1321">
        <v>4</v>
      </c>
      <c r="I1321">
        <v>199.44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7" x14ac:dyDescent="0.25">
      <c r="A1322" t="s">
        <v>183</v>
      </c>
      <c r="B1322" t="s">
        <v>566</v>
      </c>
      <c r="C1322" t="s">
        <v>920</v>
      </c>
      <c r="D1322" t="s">
        <v>920</v>
      </c>
      <c r="E1322" t="s">
        <v>1365</v>
      </c>
      <c r="F1322" t="s">
        <v>571</v>
      </c>
      <c r="G1322" s="204"/>
      <c r="J1322">
        <v>4</v>
      </c>
      <c r="K1322">
        <v>228.56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7" x14ac:dyDescent="0.25">
      <c r="A1323" t="s">
        <v>183</v>
      </c>
      <c r="B1323" t="s">
        <v>566</v>
      </c>
      <c r="C1323" t="s">
        <v>920</v>
      </c>
      <c r="D1323" t="s">
        <v>920</v>
      </c>
      <c r="E1323" t="s">
        <v>1138</v>
      </c>
      <c r="F1323" t="s">
        <v>571</v>
      </c>
      <c r="G1323" s="204"/>
      <c r="H1323">
        <v>1050</v>
      </c>
      <c r="I1323">
        <v>13356</v>
      </c>
      <c r="L1323">
        <v>1500</v>
      </c>
      <c r="M1323">
        <v>19080</v>
      </c>
      <c r="N1323">
        <v>0</v>
      </c>
      <c r="O1323">
        <v>0</v>
      </c>
      <c r="P1323">
        <v>0</v>
      </c>
      <c r="Q1323">
        <v>1500</v>
      </c>
      <c r="T1323">
        <v>0</v>
      </c>
      <c r="U1323">
        <v>0</v>
      </c>
      <c r="V1323">
        <v>1600</v>
      </c>
      <c r="W1323">
        <v>26112</v>
      </c>
      <c r="X1323">
        <v>1600</v>
      </c>
      <c r="Y1323">
        <v>1600</v>
      </c>
    </row>
    <row r="1324" spans="1:27" x14ac:dyDescent="0.25">
      <c r="A1324" t="s">
        <v>183</v>
      </c>
      <c r="B1324" t="s">
        <v>566</v>
      </c>
      <c r="C1324" t="s">
        <v>920</v>
      </c>
      <c r="D1324" t="s">
        <v>920</v>
      </c>
      <c r="E1324" t="s">
        <v>1434</v>
      </c>
      <c r="F1324" t="s">
        <v>571</v>
      </c>
      <c r="G1324" s="204"/>
      <c r="L1324">
        <v>300</v>
      </c>
      <c r="M1324">
        <v>8691</v>
      </c>
      <c r="N1324">
        <v>0</v>
      </c>
      <c r="O1324">
        <v>0</v>
      </c>
      <c r="P1324">
        <v>0</v>
      </c>
      <c r="Q1324">
        <v>300</v>
      </c>
      <c r="R1324">
        <v>8691</v>
      </c>
      <c r="S1324">
        <v>28.97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7" x14ac:dyDescent="0.25">
      <c r="A1325" t="s">
        <v>183</v>
      </c>
      <c r="B1325" t="s">
        <v>566</v>
      </c>
      <c r="C1325" t="s">
        <v>920</v>
      </c>
      <c r="D1325" t="s">
        <v>920</v>
      </c>
      <c r="E1325" t="s">
        <v>1212</v>
      </c>
      <c r="F1325" t="s">
        <v>571</v>
      </c>
      <c r="G1325" s="204"/>
      <c r="H1325">
        <v>1250</v>
      </c>
      <c r="I1325">
        <v>23037.5</v>
      </c>
      <c r="L1325">
        <v>2000</v>
      </c>
      <c r="M1325">
        <v>38500</v>
      </c>
      <c r="N1325">
        <v>0</v>
      </c>
      <c r="O1325">
        <v>0</v>
      </c>
      <c r="P1325">
        <v>0</v>
      </c>
      <c r="Q1325">
        <v>2000</v>
      </c>
      <c r="T1325">
        <v>0</v>
      </c>
      <c r="U1325">
        <v>0</v>
      </c>
      <c r="V1325">
        <v>2000</v>
      </c>
      <c r="W1325">
        <v>38500</v>
      </c>
      <c r="X1325">
        <v>2000</v>
      </c>
      <c r="Y1325">
        <v>2000</v>
      </c>
    </row>
    <row r="1326" spans="1:27" x14ac:dyDescent="0.25">
      <c r="A1326" t="s">
        <v>183</v>
      </c>
      <c r="B1326" t="s">
        <v>566</v>
      </c>
      <c r="C1326" t="s">
        <v>920</v>
      </c>
      <c r="D1326" t="s">
        <v>920</v>
      </c>
      <c r="E1326" t="s">
        <v>1216</v>
      </c>
      <c r="F1326" t="s">
        <v>571</v>
      </c>
      <c r="G1326" s="204"/>
      <c r="J1326">
        <v>300</v>
      </c>
      <c r="K1326">
        <v>4278</v>
      </c>
      <c r="L1326">
        <v>0</v>
      </c>
      <c r="M1326">
        <v>0</v>
      </c>
      <c r="N1326">
        <v>540</v>
      </c>
      <c r="O1326">
        <v>11205</v>
      </c>
      <c r="P1326">
        <v>540</v>
      </c>
      <c r="Q1326">
        <v>540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7" x14ac:dyDescent="0.25">
      <c r="A1327" t="s">
        <v>185</v>
      </c>
      <c r="B1327" t="s">
        <v>1031</v>
      </c>
      <c r="C1327" t="s">
        <v>920</v>
      </c>
      <c r="D1327" t="s">
        <v>920</v>
      </c>
      <c r="E1327" t="s">
        <v>1139</v>
      </c>
      <c r="F1327" t="s">
        <v>571</v>
      </c>
      <c r="G1327" s="204"/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T1327">
        <v>0</v>
      </c>
      <c r="U1327">
        <v>0</v>
      </c>
      <c r="V1327">
        <v>50</v>
      </c>
      <c r="W1327">
        <v>9549</v>
      </c>
      <c r="X1327">
        <v>50</v>
      </c>
      <c r="Y1327">
        <v>50</v>
      </c>
      <c r="Z1327">
        <v>9549</v>
      </c>
      <c r="AA1327">
        <v>190.98</v>
      </c>
    </row>
    <row r="1328" spans="1:27" x14ac:dyDescent="0.25">
      <c r="A1328" t="s">
        <v>185</v>
      </c>
      <c r="B1328" t="s">
        <v>1031</v>
      </c>
      <c r="C1328" t="s">
        <v>920</v>
      </c>
      <c r="D1328" t="s">
        <v>920</v>
      </c>
      <c r="E1328" t="s">
        <v>1266</v>
      </c>
      <c r="F1328" t="s">
        <v>571</v>
      </c>
      <c r="G1328" s="204"/>
      <c r="L1328">
        <v>500</v>
      </c>
      <c r="M1328">
        <v>78270</v>
      </c>
      <c r="N1328">
        <v>250</v>
      </c>
      <c r="O1328">
        <v>39135</v>
      </c>
      <c r="P1328">
        <v>250</v>
      </c>
      <c r="Q1328">
        <v>750</v>
      </c>
      <c r="T1328">
        <v>0</v>
      </c>
      <c r="U1328">
        <v>0</v>
      </c>
      <c r="V1328">
        <v>428</v>
      </c>
      <c r="W1328">
        <v>66999.12</v>
      </c>
      <c r="X1328">
        <v>428</v>
      </c>
      <c r="Y1328">
        <v>428</v>
      </c>
      <c r="Z1328">
        <v>66999.12</v>
      </c>
      <c r="AA1328">
        <v>156.54</v>
      </c>
    </row>
    <row r="1329" spans="1:27" x14ac:dyDescent="0.25">
      <c r="A1329" t="s">
        <v>847</v>
      </c>
      <c r="B1329" t="s">
        <v>567</v>
      </c>
      <c r="C1329" t="s">
        <v>555</v>
      </c>
      <c r="D1329" t="s">
        <v>666</v>
      </c>
      <c r="E1329" t="s">
        <v>1111</v>
      </c>
      <c r="F1329" t="s">
        <v>571</v>
      </c>
      <c r="G1329" s="204"/>
      <c r="L1329">
        <v>0</v>
      </c>
      <c r="M1329">
        <v>0</v>
      </c>
      <c r="N1329">
        <v>698</v>
      </c>
      <c r="O1329">
        <v>0</v>
      </c>
      <c r="P1329">
        <v>0</v>
      </c>
      <c r="Q1329">
        <v>0</v>
      </c>
      <c r="R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7" x14ac:dyDescent="0.25">
      <c r="A1330" t="s">
        <v>847</v>
      </c>
      <c r="B1330" t="s">
        <v>567</v>
      </c>
      <c r="C1330" t="s">
        <v>555</v>
      </c>
      <c r="D1330" t="s">
        <v>666</v>
      </c>
      <c r="E1330" t="s">
        <v>1434</v>
      </c>
      <c r="F1330" t="s">
        <v>571</v>
      </c>
      <c r="G1330" s="204"/>
      <c r="H1330">
        <v>31</v>
      </c>
      <c r="I1330">
        <v>1690.74</v>
      </c>
      <c r="L1330">
        <v>300</v>
      </c>
      <c r="M1330">
        <v>18594</v>
      </c>
      <c r="N1330">
        <v>0</v>
      </c>
      <c r="O1330">
        <v>0</v>
      </c>
      <c r="P1330">
        <v>0</v>
      </c>
      <c r="Q1330">
        <v>300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7" x14ac:dyDescent="0.25">
      <c r="A1331" t="s">
        <v>132</v>
      </c>
      <c r="B1331" t="s">
        <v>565</v>
      </c>
      <c r="C1331" t="s">
        <v>1859</v>
      </c>
      <c r="D1331" t="s">
        <v>609</v>
      </c>
      <c r="E1331" t="s">
        <v>1238</v>
      </c>
      <c r="F1331" t="s">
        <v>578</v>
      </c>
      <c r="G1331" s="204">
        <v>46296</v>
      </c>
      <c r="L1331">
        <v>300</v>
      </c>
      <c r="M1331">
        <v>56364</v>
      </c>
      <c r="N1331">
        <v>100</v>
      </c>
      <c r="O1331">
        <v>18788</v>
      </c>
      <c r="P1331">
        <v>100</v>
      </c>
      <c r="Q1331">
        <v>400</v>
      </c>
      <c r="R1331">
        <v>75152</v>
      </c>
      <c r="S1331">
        <v>187.88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7" x14ac:dyDescent="0.25">
      <c r="A1332" t="s">
        <v>1550</v>
      </c>
      <c r="B1332" t="s">
        <v>554</v>
      </c>
      <c r="C1332" t="s">
        <v>1860</v>
      </c>
      <c r="D1332" t="s">
        <v>612</v>
      </c>
      <c r="E1332" t="s">
        <v>1212</v>
      </c>
      <c r="F1332" t="s">
        <v>578</v>
      </c>
      <c r="G1332" s="204">
        <v>46752</v>
      </c>
      <c r="J1332">
        <v>48</v>
      </c>
      <c r="K1332">
        <v>38352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7" x14ac:dyDescent="0.25">
      <c r="A1333" t="s">
        <v>187</v>
      </c>
      <c r="B1333" t="s">
        <v>567</v>
      </c>
      <c r="C1333" t="s">
        <v>920</v>
      </c>
      <c r="D1333" t="s">
        <v>920</v>
      </c>
      <c r="E1333" t="s">
        <v>1138</v>
      </c>
      <c r="F1333" t="s">
        <v>571</v>
      </c>
      <c r="G1333" s="204"/>
      <c r="J1333">
        <v>1932</v>
      </c>
      <c r="K1333">
        <v>52724.28</v>
      </c>
      <c r="L1333">
        <v>2168</v>
      </c>
      <c r="M1333">
        <v>58540.640000000007</v>
      </c>
      <c r="N1333">
        <v>1200</v>
      </c>
      <c r="O1333">
        <v>31356</v>
      </c>
      <c r="P1333">
        <v>1200</v>
      </c>
      <c r="Q1333">
        <v>3368</v>
      </c>
      <c r="T1333">
        <v>0</v>
      </c>
      <c r="U1333">
        <v>0</v>
      </c>
      <c r="V1333">
        <v>3500</v>
      </c>
      <c r="W1333">
        <v>91455</v>
      </c>
      <c r="X1333">
        <v>3500</v>
      </c>
      <c r="Y1333">
        <v>3500</v>
      </c>
    </row>
    <row r="1334" spans="1:27" x14ac:dyDescent="0.25">
      <c r="A1334" t="s">
        <v>187</v>
      </c>
      <c r="B1334" t="s">
        <v>567</v>
      </c>
      <c r="C1334" t="s">
        <v>920</v>
      </c>
      <c r="D1334" t="s">
        <v>920</v>
      </c>
      <c r="E1334" t="s">
        <v>1216</v>
      </c>
      <c r="F1334" t="s">
        <v>571</v>
      </c>
      <c r="G1334" s="204"/>
      <c r="L1334">
        <v>632</v>
      </c>
      <c r="M1334">
        <v>28869.759999999998</v>
      </c>
      <c r="N1334">
        <v>0</v>
      </c>
      <c r="O1334">
        <v>0</v>
      </c>
      <c r="P1334">
        <v>0</v>
      </c>
      <c r="Q1334">
        <v>632</v>
      </c>
      <c r="R1334">
        <v>28869.759999999998</v>
      </c>
      <c r="S1334">
        <v>45.68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7" x14ac:dyDescent="0.25">
      <c r="A1335" t="s">
        <v>456</v>
      </c>
      <c r="B1335" t="s">
        <v>566</v>
      </c>
      <c r="C1335" t="s">
        <v>920</v>
      </c>
      <c r="D1335" t="s">
        <v>920</v>
      </c>
      <c r="E1335" t="s">
        <v>1280</v>
      </c>
      <c r="F1335" t="s">
        <v>571</v>
      </c>
      <c r="G1335" s="204"/>
      <c r="H1335">
        <v>1000</v>
      </c>
      <c r="I1335">
        <v>23660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7" x14ac:dyDescent="0.25">
      <c r="A1336" t="s">
        <v>456</v>
      </c>
      <c r="B1336" t="s">
        <v>566</v>
      </c>
      <c r="C1336" t="s">
        <v>920</v>
      </c>
      <c r="D1336" t="s">
        <v>920</v>
      </c>
      <c r="E1336" t="s">
        <v>1451</v>
      </c>
      <c r="F1336" t="s">
        <v>571</v>
      </c>
      <c r="G1336" s="204"/>
      <c r="L1336">
        <v>1</v>
      </c>
      <c r="M1336">
        <v>51.83</v>
      </c>
      <c r="N1336">
        <v>0</v>
      </c>
      <c r="O1336">
        <v>0</v>
      </c>
      <c r="P1336">
        <v>0</v>
      </c>
      <c r="Q1336">
        <v>1</v>
      </c>
      <c r="R1336">
        <v>51.83</v>
      </c>
      <c r="S1336">
        <v>51.83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7" x14ac:dyDescent="0.25">
      <c r="A1337" t="s">
        <v>456</v>
      </c>
      <c r="B1337" t="s">
        <v>566</v>
      </c>
      <c r="C1337" t="s">
        <v>920</v>
      </c>
      <c r="D1337" t="s">
        <v>920</v>
      </c>
      <c r="E1337" t="s">
        <v>1332</v>
      </c>
      <c r="F1337" t="s">
        <v>571</v>
      </c>
      <c r="G1337" s="204"/>
      <c r="H1337">
        <v>2</v>
      </c>
      <c r="I1337">
        <v>263.98</v>
      </c>
      <c r="L1337">
        <v>12</v>
      </c>
      <c r="M1337">
        <v>1903.56</v>
      </c>
      <c r="N1337">
        <v>0</v>
      </c>
      <c r="O1337">
        <v>0</v>
      </c>
      <c r="P1337">
        <v>0</v>
      </c>
      <c r="Q1337">
        <v>12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7" x14ac:dyDescent="0.25">
      <c r="A1338" t="s">
        <v>456</v>
      </c>
      <c r="B1338" t="s">
        <v>566</v>
      </c>
      <c r="C1338" t="s">
        <v>920</v>
      </c>
      <c r="D1338" t="s">
        <v>920</v>
      </c>
      <c r="E1338" t="s">
        <v>1349</v>
      </c>
      <c r="F1338" t="s">
        <v>571</v>
      </c>
      <c r="G1338" s="204"/>
      <c r="H1338">
        <v>3</v>
      </c>
      <c r="I1338">
        <v>373.56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7" x14ac:dyDescent="0.25">
      <c r="A1339" t="s">
        <v>456</v>
      </c>
      <c r="B1339" t="s">
        <v>566</v>
      </c>
      <c r="C1339" t="s">
        <v>920</v>
      </c>
      <c r="D1339" t="s">
        <v>920</v>
      </c>
      <c r="E1339" t="s">
        <v>1266</v>
      </c>
      <c r="F1339" t="s">
        <v>571</v>
      </c>
      <c r="G1339" s="204"/>
      <c r="H1339">
        <v>100</v>
      </c>
      <c r="I1339">
        <v>2568</v>
      </c>
      <c r="L1339">
        <v>205</v>
      </c>
      <c r="M1339">
        <v>5795.35</v>
      </c>
      <c r="N1339">
        <v>100</v>
      </c>
      <c r="O1339">
        <v>2827</v>
      </c>
      <c r="P1339">
        <v>100</v>
      </c>
      <c r="Q1339">
        <v>305</v>
      </c>
      <c r="T1339">
        <v>0</v>
      </c>
      <c r="U1339">
        <v>0</v>
      </c>
      <c r="V1339">
        <v>100</v>
      </c>
      <c r="W1339">
        <v>2827</v>
      </c>
      <c r="X1339">
        <v>100</v>
      </c>
      <c r="Y1339">
        <v>100</v>
      </c>
      <c r="Z1339">
        <v>2827</v>
      </c>
      <c r="AA1339">
        <v>28.27</v>
      </c>
    </row>
    <row r="1340" spans="1:27" x14ac:dyDescent="0.25">
      <c r="A1340" t="s">
        <v>456</v>
      </c>
      <c r="B1340" t="s">
        <v>566</v>
      </c>
      <c r="C1340" t="s">
        <v>920</v>
      </c>
      <c r="D1340" t="s">
        <v>920</v>
      </c>
      <c r="E1340" t="s">
        <v>1365</v>
      </c>
      <c r="F1340" t="s">
        <v>571</v>
      </c>
      <c r="G1340" s="204"/>
      <c r="L1340">
        <v>16</v>
      </c>
      <c r="M1340">
        <v>1197.1199999999999</v>
      </c>
      <c r="N1340">
        <v>0</v>
      </c>
      <c r="O1340">
        <v>0</v>
      </c>
      <c r="P1340">
        <v>0</v>
      </c>
      <c r="Q1340">
        <v>16</v>
      </c>
      <c r="R1340">
        <v>1197.1199999999999</v>
      </c>
      <c r="S1340">
        <v>74.819999999999993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7" x14ac:dyDescent="0.25">
      <c r="A1341" t="s">
        <v>456</v>
      </c>
      <c r="B1341" t="s">
        <v>566</v>
      </c>
      <c r="C1341" t="s">
        <v>920</v>
      </c>
      <c r="D1341" t="s">
        <v>920</v>
      </c>
      <c r="E1341" t="s">
        <v>1212</v>
      </c>
      <c r="F1341" t="s">
        <v>571</v>
      </c>
      <c r="G1341" s="204"/>
      <c r="H1341">
        <v>250</v>
      </c>
      <c r="I1341">
        <v>6290</v>
      </c>
      <c r="L1341">
        <v>266</v>
      </c>
      <c r="M1341">
        <v>7186.06</v>
      </c>
      <c r="N1341">
        <v>500</v>
      </c>
      <c r="O1341">
        <v>13530</v>
      </c>
      <c r="P1341">
        <v>500</v>
      </c>
      <c r="Q1341">
        <v>766</v>
      </c>
      <c r="T1341">
        <v>0</v>
      </c>
      <c r="U1341">
        <v>0</v>
      </c>
      <c r="V1341">
        <v>500</v>
      </c>
      <c r="W1341">
        <v>13530</v>
      </c>
      <c r="X1341">
        <v>500</v>
      </c>
      <c r="Y1341">
        <v>500</v>
      </c>
    </row>
    <row r="1342" spans="1:27" x14ac:dyDescent="0.25">
      <c r="A1342" t="s">
        <v>548</v>
      </c>
      <c r="B1342" t="s">
        <v>567</v>
      </c>
      <c r="C1342" t="s">
        <v>555</v>
      </c>
      <c r="D1342" t="s">
        <v>666</v>
      </c>
      <c r="E1342" t="s">
        <v>1434</v>
      </c>
      <c r="F1342" t="s">
        <v>571</v>
      </c>
      <c r="G1342" s="204"/>
      <c r="J1342">
        <v>200</v>
      </c>
      <c r="K1342">
        <v>14000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7" x14ac:dyDescent="0.25">
      <c r="A1343" t="s">
        <v>134</v>
      </c>
      <c r="B1343" t="s">
        <v>556</v>
      </c>
      <c r="C1343" t="s">
        <v>1859</v>
      </c>
      <c r="D1343" t="s">
        <v>601</v>
      </c>
      <c r="E1343" t="s">
        <v>1167</v>
      </c>
      <c r="F1343" t="s">
        <v>571</v>
      </c>
      <c r="G1343" s="204"/>
      <c r="H1343">
        <v>12</v>
      </c>
      <c r="I1343">
        <v>2358.2399999999998</v>
      </c>
      <c r="L1343">
        <v>94</v>
      </c>
      <c r="M1343">
        <v>18472.88</v>
      </c>
      <c r="N1343">
        <v>15</v>
      </c>
      <c r="O1343">
        <v>2947.8</v>
      </c>
      <c r="P1343">
        <v>15</v>
      </c>
      <c r="Q1343">
        <v>109</v>
      </c>
      <c r="T1343">
        <v>0</v>
      </c>
      <c r="U1343">
        <v>0</v>
      </c>
      <c r="V1343">
        <v>42</v>
      </c>
      <c r="W1343">
        <v>8253.84</v>
      </c>
      <c r="X1343">
        <v>42</v>
      </c>
      <c r="Y1343">
        <v>42</v>
      </c>
    </row>
    <row r="1344" spans="1:27" x14ac:dyDescent="0.25">
      <c r="A1344" t="s">
        <v>189</v>
      </c>
      <c r="B1344" t="s">
        <v>567</v>
      </c>
      <c r="C1344" t="s">
        <v>920</v>
      </c>
      <c r="D1344" t="s">
        <v>920</v>
      </c>
      <c r="E1344" t="s">
        <v>1783</v>
      </c>
      <c r="F1344" t="s">
        <v>571</v>
      </c>
      <c r="G1344" s="204"/>
      <c r="H1344">
        <v>500</v>
      </c>
      <c r="I1344">
        <v>33790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t="s">
        <v>189</v>
      </c>
      <c r="B1345" t="s">
        <v>567</v>
      </c>
      <c r="C1345" t="s">
        <v>920</v>
      </c>
      <c r="D1345" t="s">
        <v>920</v>
      </c>
      <c r="E1345" t="s">
        <v>1266</v>
      </c>
      <c r="F1345" t="s">
        <v>571</v>
      </c>
      <c r="G1345" s="204"/>
      <c r="J1345">
        <v>131</v>
      </c>
      <c r="K1345">
        <v>8855.6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t="s">
        <v>189</v>
      </c>
      <c r="B1346" t="s">
        <v>567</v>
      </c>
      <c r="C1346" t="s">
        <v>920</v>
      </c>
      <c r="D1346" t="s">
        <v>920</v>
      </c>
      <c r="E1346" t="s">
        <v>1216</v>
      </c>
      <c r="F1346" t="s">
        <v>571</v>
      </c>
      <c r="G1346" s="204"/>
      <c r="L1346">
        <v>500</v>
      </c>
      <c r="M1346">
        <v>30150</v>
      </c>
      <c r="N1346">
        <v>0</v>
      </c>
      <c r="O1346">
        <v>0</v>
      </c>
      <c r="P1346">
        <v>0</v>
      </c>
      <c r="Q1346">
        <v>500</v>
      </c>
      <c r="R1346">
        <v>30150</v>
      </c>
      <c r="S1346">
        <v>60.3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t="s">
        <v>448</v>
      </c>
      <c r="B1347" t="s">
        <v>566</v>
      </c>
      <c r="C1347" t="s">
        <v>920</v>
      </c>
      <c r="D1347" t="s">
        <v>920</v>
      </c>
      <c r="E1347" t="s">
        <v>1280</v>
      </c>
      <c r="F1347" t="s">
        <v>571</v>
      </c>
      <c r="G1347" s="204"/>
      <c r="J1347">
        <v>2500</v>
      </c>
      <c r="K1347">
        <v>92350.000000000015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t="s">
        <v>448</v>
      </c>
      <c r="B1348" t="s">
        <v>566</v>
      </c>
      <c r="C1348" t="s">
        <v>920</v>
      </c>
      <c r="D1348" t="s">
        <v>920</v>
      </c>
      <c r="E1348" t="s">
        <v>1332</v>
      </c>
      <c r="F1348" t="s">
        <v>571</v>
      </c>
      <c r="G1348" s="204"/>
      <c r="H1348">
        <v>5</v>
      </c>
      <c r="I1348">
        <v>962.95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t="s">
        <v>448</v>
      </c>
      <c r="B1349" t="s">
        <v>566</v>
      </c>
      <c r="C1349" t="s">
        <v>920</v>
      </c>
      <c r="D1349" t="s">
        <v>920</v>
      </c>
      <c r="E1349" t="s">
        <v>766</v>
      </c>
      <c r="F1349" t="s">
        <v>571</v>
      </c>
      <c r="G1349" s="204"/>
      <c r="J1349">
        <v>14</v>
      </c>
      <c r="K1349">
        <v>2812.16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t="s">
        <v>448</v>
      </c>
      <c r="B1350" t="s">
        <v>566</v>
      </c>
      <c r="C1350" t="s">
        <v>920</v>
      </c>
      <c r="D1350" t="s">
        <v>920</v>
      </c>
      <c r="E1350" t="s">
        <v>1800</v>
      </c>
      <c r="F1350" t="s">
        <v>571</v>
      </c>
      <c r="G1350" s="204"/>
      <c r="H1350">
        <v>43</v>
      </c>
      <c r="I1350">
        <v>8074.27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t="s">
        <v>448</v>
      </c>
      <c r="B1351" t="s">
        <v>566</v>
      </c>
      <c r="C1351" t="s">
        <v>920</v>
      </c>
      <c r="D1351" t="s">
        <v>920</v>
      </c>
      <c r="E1351" t="s">
        <v>1339</v>
      </c>
      <c r="F1351" t="s">
        <v>571</v>
      </c>
      <c r="G1351" s="204"/>
      <c r="J1351">
        <v>10</v>
      </c>
      <c r="K1351">
        <v>2079.4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t="s">
        <v>448</v>
      </c>
      <c r="B1352" t="s">
        <v>566</v>
      </c>
      <c r="C1352" t="s">
        <v>920</v>
      </c>
      <c r="D1352" t="s">
        <v>920</v>
      </c>
      <c r="E1352" t="s">
        <v>1330</v>
      </c>
      <c r="F1352" t="s">
        <v>571</v>
      </c>
      <c r="G1352" s="204"/>
      <c r="H1352">
        <v>300</v>
      </c>
      <c r="I1352">
        <v>12033</v>
      </c>
      <c r="L1352">
        <v>350</v>
      </c>
      <c r="M1352">
        <v>14038.5</v>
      </c>
      <c r="N1352">
        <v>0</v>
      </c>
      <c r="O1352">
        <v>0</v>
      </c>
      <c r="P1352">
        <v>0</v>
      </c>
      <c r="Q1352">
        <v>350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t="s">
        <v>448</v>
      </c>
      <c r="B1353" t="s">
        <v>566</v>
      </c>
      <c r="C1353" t="s">
        <v>920</v>
      </c>
      <c r="D1353" t="s">
        <v>920</v>
      </c>
      <c r="E1353" t="s">
        <v>1477</v>
      </c>
      <c r="F1353" t="s">
        <v>571</v>
      </c>
      <c r="G1353" s="204"/>
      <c r="J1353">
        <v>2</v>
      </c>
      <c r="K1353">
        <v>174.34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t="s">
        <v>448</v>
      </c>
      <c r="B1354" t="s">
        <v>566</v>
      </c>
      <c r="C1354" t="s">
        <v>920</v>
      </c>
      <c r="D1354" t="s">
        <v>920</v>
      </c>
      <c r="E1354" t="s">
        <v>1334</v>
      </c>
      <c r="F1354" t="s">
        <v>571</v>
      </c>
      <c r="G1354" s="204"/>
      <c r="J1354">
        <v>1</v>
      </c>
      <c r="K1354">
        <v>192.1</v>
      </c>
      <c r="L1354">
        <v>1</v>
      </c>
      <c r="M1354">
        <v>207.94</v>
      </c>
      <c r="N1354">
        <v>0</v>
      </c>
      <c r="O1354">
        <v>0</v>
      </c>
      <c r="P1354">
        <v>0</v>
      </c>
      <c r="Q1354">
        <v>1</v>
      </c>
      <c r="R1354">
        <v>207.94</v>
      </c>
      <c r="S1354">
        <v>207.94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t="s">
        <v>448</v>
      </c>
      <c r="B1355" t="s">
        <v>566</v>
      </c>
      <c r="C1355" t="s">
        <v>920</v>
      </c>
      <c r="D1355" t="s">
        <v>920</v>
      </c>
      <c r="E1355" t="s">
        <v>1378</v>
      </c>
      <c r="F1355" t="s">
        <v>571</v>
      </c>
      <c r="G1355" s="204"/>
      <c r="L1355">
        <v>1</v>
      </c>
      <c r="M1355">
        <v>211.79</v>
      </c>
      <c r="N1355">
        <v>0</v>
      </c>
      <c r="O1355">
        <v>0</v>
      </c>
      <c r="P1355">
        <v>0</v>
      </c>
      <c r="Q1355">
        <v>1</v>
      </c>
      <c r="R1355">
        <v>211.79</v>
      </c>
      <c r="S1355">
        <v>211.79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t="s">
        <v>448</v>
      </c>
      <c r="B1356" t="s">
        <v>566</v>
      </c>
      <c r="C1356" t="s">
        <v>920</v>
      </c>
      <c r="D1356" t="s">
        <v>920</v>
      </c>
      <c r="E1356" t="s">
        <v>1801</v>
      </c>
      <c r="F1356" t="s">
        <v>571</v>
      </c>
      <c r="G1356" s="204"/>
      <c r="J1356">
        <v>32</v>
      </c>
      <c r="K1356">
        <v>6337.28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t="s">
        <v>448</v>
      </c>
      <c r="B1357" t="s">
        <v>566</v>
      </c>
      <c r="C1357" t="s">
        <v>920</v>
      </c>
      <c r="D1357" t="s">
        <v>920</v>
      </c>
      <c r="E1357" t="s">
        <v>1394</v>
      </c>
      <c r="F1357" t="s">
        <v>571</v>
      </c>
      <c r="G1357" s="204"/>
      <c r="H1357">
        <v>2</v>
      </c>
      <c r="I1357">
        <v>363.38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t="s">
        <v>448</v>
      </c>
      <c r="B1358" t="s">
        <v>566</v>
      </c>
      <c r="C1358" t="s">
        <v>920</v>
      </c>
      <c r="D1358" t="s">
        <v>920</v>
      </c>
      <c r="E1358" t="s">
        <v>1424</v>
      </c>
      <c r="F1358" t="s">
        <v>571</v>
      </c>
      <c r="G1358" s="204"/>
      <c r="L1358">
        <v>4</v>
      </c>
      <c r="M1358">
        <v>831.76</v>
      </c>
      <c r="N1358">
        <v>0</v>
      </c>
      <c r="O1358">
        <v>0</v>
      </c>
      <c r="P1358">
        <v>0</v>
      </c>
      <c r="Q1358">
        <v>4</v>
      </c>
      <c r="R1358">
        <v>831.76</v>
      </c>
      <c r="S1358">
        <v>207.94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t="s">
        <v>448</v>
      </c>
      <c r="B1359" t="s">
        <v>566</v>
      </c>
      <c r="C1359" t="s">
        <v>920</v>
      </c>
      <c r="D1359" t="s">
        <v>920</v>
      </c>
      <c r="E1359" t="s">
        <v>1464</v>
      </c>
      <c r="F1359" t="s">
        <v>571</v>
      </c>
      <c r="G1359" s="204"/>
      <c r="H1359">
        <v>4</v>
      </c>
      <c r="I1359">
        <v>726.76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t="s">
        <v>448</v>
      </c>
      <c r="B1360" t="s">
        <v>566</v>
      </c>
      <c r="C1360" t="s">
        <v>920</v>
      </c>
      <c r="D1360" t="s">
        <v>920</v>
      </c>
      <c r="E1360" t="s">
        <v>1725</v>
      </c>
      <c r="F1360" t="s">
        <v>571</v>
      </c>
      <c r="G1360" s="204"/>
      <c r="H1360">
        <v>12</v>
      </c>
      <c r="I1360">
        <v>2180.2799999999997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t="s">
        <v>448</v>
      </c>
      <c r="B1361" t="s">
        <v>566</v>
      </c>
      <c r="C1361" t="s">
        <v>920</v>
      </c>
      <c r="D1361" t="s">
        <v>920</v>
      </c>
      <c r="E1361" t="s">
        <v>1476</v>
      </c>
      <c r="F1361" t="s">
        <v>571</v>
      </c>
      <c r="G1361" s="204"/>
      <c r="J1361">
        <v>32</v>
      </c>
      <c r="K1361">
        <v>6465.9800000000005</v>
      </c>
      <c r="L1361">
        <v>34</v>
      </c>
      <c r="M1361">
        <v>7329.9600000000009</v>
      </c>
      <c r="N1361">
        <v>0</v>
      </c>
      <c r="O1361">
        <v>0</v>
      </c>
      <c r="P1361">
        <v>0</v>
      </c>
      <c r="Q1361">
        <v>34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t="s">
        <v>448</v>
      </c>
      <c r="B1362" t="s">
        <v>566</v>
      </c>
      <c r="C1362" t="s">
        <v>920</v>
      </c>
      <c r="D1362" t="s">
        <v>920</v>
      </c>
      <c r="E1362" t="s">
        <v>1340</v>
      </c>
      <c r="F1362" t="s">
        <v>571</v>
      </c>
      <c r="G1362" s="204"/>
      <c r="L1362">
        <v>7</v>
      </c>
      <c r="M1362">
        <v>1455.58</v>
      </c>
      <c r="N1362">
        <v>0</v>
      </c>
      <c r="O1362">
        <v>0</v>
      </c>
      <c r="P1362">
        <v>0</v>
      </c>
      <c r="Q1362">
        <v>7</v>
      </c>
      <c r="R1362">
        <v>1455.58</v>
      </c>
      <c r="S1362">
        <v>207.94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t="s">
        <v>448</v>
      </c>
      <c r="B1363" t="s">
        <v>566</v>
      </c>
      <c r="C1363" t="s">
        <v>920</v>
      </c>
      <c r="D1363" t="s">
        <v>920</v>
      </c>
      <c r="E1363" t="s">
        <v>1802</v>
      </c>
      <c r="F1363" t="s">
        <v>571</v>
      </c>
      <c r="G1363" s="204"/>
      <c r="J1363">
        <v>2</v>
      </c>
      <c r="K1363">
        <v>396.08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t="s">
        <v>448</v>
      </c>
      <c r="B1364" t="s">
        <v>566</v>
      </c>
      <c r="C1364" t="s">
        <v>920</v>
      </c>
      <c r="D1364" t="s">
        <v>920</v>
      </c>
      <c r="E1364" t="s">
        <v>1377</v>
      </c>
      <c r="F1364" t="s">
        <v>571</v>
      </c>
      <c r="G1364" s="204"/>
      <c r="L1364">
        <v>5</v>
      </c>
      <c r="M1364">
        <v>1091.7</v>
      </c>
      <c r="N1364">
        <v>0</v>
      </c>
      <c r="O1364">
        <v>0</v>
      </c>
      <c r="P1364">
        <v>0</v>
      </c>
      <c r="Q1364">
        <v>5</v>
      </c>
      <c r="R1364">
        <v>1091.7</v>
      </c>
      <c r="S1364">
        <v>218.34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t="s">
        <v>448</v>
      </c>
      <c r="B1365" t="s">
        <v>566</v>
      </c>
      <c r="C1365" t="s">
        <v>920</v>
      </c>
      <c r="D1365" t="s">
        <v>920</v>
      </c>
      <c r="E1365" t="s">
        <v>1803</v>
      </c>
      <c r="F1365" t="s">
        <v>571</v>
      </c>
      <c r="G1365" s="204"/>
      <c r="J1365">
        <v>3</v>
      </c>
      <c r="K1365">
        <v>623.82000000000005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t="s">
        <v>448</v>
      </c>
      <c r="B1366" t="s">
        <v>566</v>
      </c>
      <c r="C1366" t="s">
        <v>920</v>
      </c>
      <c r="D1366" t="s">
        <v>920</v>
      </c>
      <c r="E1366" t="s">
        <v>1804</v>
      </c>
      <c r="F1366" t="s">
        <v>571</v>
      </c>
      <c r="G1366" s="204"/>
      <c r="J1366">
        <v>4</v>
      </c>
      <c r="K1366">
        <v>831.76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t="s">
        <v>448</v>
      </c>
      <c r="B1367" t="s">
        <v>566</v>
      </c>
      <c r="C1367" t="s">
        <v>920</v>
      </c>
      <c r="D1367" t="s">
        <v>920</v>
      </c>
      <c r="E1367" t="s">
        <v>1397</v>
      </c>
      <c r="F1367" t="s">
        <v>571</v>
      </c>
      <c r="G1367" s="204"/>
      <c r="L1367">
        <v>19</v>
      </c>
      <c r="M1367">
        <v>3950.86</v>
      </c>
      <c r="N1367">
        <v>0</v>
      </c>
      <c r="O1367">
        <v>0</v>
      </c>
      <c r="P1367">
        <v>0</v>
      </c>
      <c r="Q1367">
        <v>19</v>
      </c>
      <c r="R1367">
        <v>3950.86</v>
      </c>
      <c r="S1367">
        <v>207.94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t="s">
        <v>448</v>
      </c>
      <c r="B1368" t="s">
        <v>566</v>
      </c>
      <c r="C1368" t="s">
        <v>920</v>
      </c>
      <c r="D1368" t="s">
        <v>920</v>
      </c>
      <c r="E1368" t="s">
        <v>1383</v>
      </c>
      <c r="F1368" t="s">
        <v>571</v>
      </c>
      <c r="G1368" s="204"/>
      <c r="L1368">
        <v>4</v>
      </c>
      <c r="M1368">
        <v>831.76</v>
      </c>
      <c r="N1368">
        <v>0</v>
      </c>
      <c r="O1368">
        <v>0</v>
      </c>
      <c r="P1368">
        <v>0</v>
      </c>
      <c r="Q1368">
        <v>4</v>
      </c>
      <c r="R1368">
        <v>831.76</v>
      </c>
      <c r="S1368">
        <v>207.94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t="s">
        <v>448</v>
      </c>
      <c r="B1369" t="s">
        <v>566</v>
      </c>
      <c r="C1369" t="s">
        <v>920</v>
      </c>
      <c r="D1369" t="s">
        <v>920</v>
      </c>
      <c r="E1369" t="s">
        <v>1135</v>
      </c>
      <c r="F1369" t="s">
        <v>571</v>
      </c>
      <c r="G1369" s="204"/>
      <c r="J1369">
        <v>16</v>
      </c>
      <c r="K1369">
        <v>3287.44</v>
      </c>
      <c r="L1369">
        <v>3</v>
      </c>
      <c r="M1369">
        <v>655.02</v>
      </c>
      <c r="N1369">
        <v>20</v>
      </c>
      <c r="O1369">
        <v>4585.2</v>
      </c>
      <c r="P1369">
        <v>20</v>
      </c>
      <c r="Q1369">
        <v>23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t="s">
        <v>448</v>
      </c>
      <c r="B1370" t="s">
        <v>566</v>
      </c>
      <c r="C1370" t="s">
        <v>920</v>
      </c>
      <c r="D1370" t="s">
        <v>920</v>
      </c>
      <c r="E1370" t="s">
        <v>1266</v>
      </c>
      <c r="F1370" t="s">
        <v>571</v>
      </c>
      <c r="G1370" s="204"/>
      <c r="J1370">
        <v>50</v>
      </c>
      <c r="K1370">
        <v>2496.5</v>
      </c>
      <c r="L1370">
        <v>1200</v>
      </c>
      <c r="M1370">
        <v>46930</v>
      </c>
      <c r="N1370">
        <v>0</v>
      </c>
      <c r="O1370">
        <v>0</v>
      </c>
      <c r="P1370">
        <v>0</v>
      </c>
      <c r="Q1370">
        <v>1200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t="s">
        <v>448</v>
      </c>
      <c r="B1371" t="s">
        <v>566</v>
      </c>
      <c r="C1371" t="s">
        <v>920</v>
      </c>
      <c r="D1371" t="s">
        <v>920</v>
      </c>
      <c r="E1371" t="s">
        <v>1336</v>
      </c>
      <c r="F1371" t="s">
        <v>571</v>
      </c>
      <c r="G1371" s="204"/>
      <c r="H1371">
        <v>21</v>
      </c>
      <c r="I1371">
        <v>3815.4900000000002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t="s">
        <v>448</v>
      </c>
      <c r="B1372" t="s">
        <v>566</v>
      </c>
      <c r="C1372" t="s">
        <v>920</v>
      </c>
      <c r="D1372" t="s">
        <v>920</v>
      </c>
      <c r="E1372" t="s">
        <v>1365</v>
      </c>
      <c r="F1372" t="s">
        <v>571</v>
      </c>
      <c r="G1372" s="204"/>
      <c r="H1372">
        <v>5</v>
      </c>
      <c r="I1372">
        <v>454.25</v>
      </c>
      <c r="L1372">
        <v>31</v>
      </c>
      <c r="M1372">
        <v>3344.2299999999996</v>
      </c>
      <c r="N1372">
        <v>0</v>
      </c>
      <c r="O1372">
        <v>0</v>
      </c>
      <c r="P1372">
        <v>0</v>
      </c>
      <c r="Q1372">
        <v>31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t="s">
        <v>448</v>
      </c>
      <c r="B1373" t="s">
        <v>566</v>
      </c>
      <c r="C1373" t="s">
        <v>920</v>
      </c>
      <c r="D1373" t="s">
        <v>920</v>
      </c>
      <c r="E1373" t="s">
        <v>1138</v>
      </c>
      <c r="F1373" t="s">
        <v>571</v>
      </c>
      <c r="G1373" s="204"/>
      <c r="H1373">
        <v>10</v>
      </c>
      <c r="I1373">
        <v>945.5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t="s">
        <v>448</v>
      </c>
      <c r="B1374" t="s">
        <v>566</v>
      </c>
      <c r="C1374" t="s">
        <v>920</v>
      </c>
      <c r="D1374" t="s">
        <v>920</v>
      </c>
      <c r="E1374" t="s">
        <v>1192</v>
      </c>
      <c r="F1374" t="s">
        <v>571</v>
      </c>
      <c r="G1374" s="204"/>
      <c r="J1374">
        <v>11</v>
      </c>
      <c r="K1374">
        <v>1620.74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t="s">
        <v>448</v>
      </c>
      <c r="B1375" t="s">
        <v>566</v>
      </c>
      <c r="C1375" t="s">
        <v>920</v>
      </c>
      <c r="D1375" t="s">
        <v>920</v>
      </c>
      <c r="E1375" t="s">
        <v>1212</v>
      </c>
      <c r="F1375" t="s">
        <v>571</v>
      </c>
      <c r="G1375" s="204"/>
      <c r="H1375">
        <v>500</v>
      </c>
      <c r="I1375">
        <v>16765</v>
      </c>
      <c r="L1375">
        <v>0</v>
      </c>
      <c r="M1375">
        <v>0</v>
      </c>
      <c r="N1375">
        <v>500</v>
      </c>
      <c r="O1375">
        <v>18555</v>
      </c>
      <c r="P1375">
        <v>500</v>
      </c>
      <c r="Q1375">
        <v>500</v>
      </c>
      <c r="R1375">
        <v>18555</v>
      </c>
      <c r="S1375">
        <v>37.11</v>
      </c>
      <c r="T1375">
        <v>0</v>
      </c>
      <c r="U1375">
        <v>0</v>
      </c>
      <c r="V1375">
        <v>1000</v>
      </c>
      <c r="W1375">
        <v>37110</v>
      </c>
      <c r="X1375">
        <v>1000</v>
      </c>
      <c r="Y1375">
        <v>1000</v>
      </c>
    </row>
    <row r="1376" spans="1:25" x14ac:dyDescent="0.25">
      <c r="A1376" t="s">
        <v>448</v>
      </c>
      <c r="B1376" t="s">
        <v>566</v>
      </c>
      <c r="C1376" t="s">
        <v>920</v>
      </c>
      <c r="D1376" t="s">
        <v>920</v>
      </c>
      <c r="E1376" t="s">
        <v>1216</v>
      </c>
      <c r="F1376" t="s">
        <v>571</v>
      </c>
      <c r="G1376" s="204"/>
      <c r="J1376">
        <v>250</v>
      </c>
      <c r="K1376">
        <v>10027.5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t="s">
        <v>707</v>
      </c>
      <c r="B1377" t="s">
        <v>565</v>
      </c>
      <c r="C1377" t="s">
        <v>564</v>
      </c>
      <c r="D1377" t="s">
        <v>605</v>
      </c>
      <c r="E1377" t="s">
        <v>1293</v>
      </c>
      <c r="F1377" t="s">
        <v>571</v>
      </c>
      <c r="G1377" s="204"/>
      <c r="L1377">
        <v>18</v>
      </c>
      <c r="M1377">
        <v>10501.1</v>
      </c>
      <c r="N1377">
        <v>0</v>
      </c>
      <c r="O1377">
        <v>0</v>
      </c>
      <c r="P1377">
        <v>0</v>
      </c>
      <c r="Q1377">
        <v>18</v>
      </c>
      <c r="R1377">
        <v>10501.1</v>
      </c>
      <c r="S1377">
        <v>583.3944444444445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t="s">
        <v>707</v>
      </c>
      <c r="B1378" t="s">
        <v>565</v>
      </c>
      <c r="C1378" t="s">
        <v>564</v>
      </c>
      <c r="D1378" t="s">
        <v>605</v>
      </c>
      <c r="E1378" t="s">
        <v>1148</v>
      </c>
      <c r="F1378" t="s">
        <v>571</v>
      </c>
      <c r="G1378" s="204"/>
      <c r="H1378">
        <v>46</v>
      </c>
      <c r="I1378">
        <v>19142.5</v>
      </c>
      <c r="L1378">
        <v>44</v>
      </c>
      <c r="M1378">
        <v>18881.72</v>
      </c>
      <c r="N1378">
        <v>6</v>
      </c>
      <c r="O1378">
        <v>2655.06</v>
      </c>
      <c r="P1378">
        <v>6</v>
      </c>
      <c r="Q1378">
        <v>50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t="s">
        <v>36</v>
      </c>
      <c r="B1379" t="s">
        <v>556</v>
      </c>
      <c r="C1379" t="s">
        <v>1860</v>
      </c>
      <c r="D1379" t="s">
        <v>920</v>
      </c>
      <c r="E1379" t="s">
        <v>1191</v>
      </c>
      <c r="F1379" t="s">
        <v>571</v>
      </c>
      <c r="G1379" s="204"/>
      <c r="J1379">
        <v>25</v>
      </c>
      <c r="K1379">
        <v>19533</v>
      </c>
      <c r="L1379">
        <v>25</v>
      </c>
      <c r="M1379">
        <v>19533</v>
      </c>
      <c r="N1379">
        <v>25</v>
      </c>
      <c r="O1379">
        <v>19533</v>
      </c>
      <c r="P1379">
        <v>25</v>
      </c>
      <c r="Q1379">
        <v>50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t="s">
        <v>36</v>
      </c>
      <c r="B1380" t="s">
        <v>556</v>
      </c>
      <c r="C1380" t="s">
        <v>1860</v>
      </c>
      <c r="D1380" t="s">
        <v>920</v>
      </c>
      <c r="E1380" t="s">
        <v>1263</v>
      </c>
      <c r="F1380" t="s">
        <v>571</v>
      </c>
      <c r="G1380" s="204"/>
      <c r="J1380">
        <v>99</v>
      </c>
      <c r="K1380">
        <v>108900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t="s">
        <v>1639</v>
      </c>
      <c r="B1381" t="s">
        <v>562</v>
      </c>
      <c r="C1381" t="s">
        <v>1860</v>
      </c>
      <c r="D1381" t="s">
        <v>1883</v>
      </c>
      <c r="E1381" t="s">
        <v>1147</v>
      </c>
      <c r="F1381" t="s">
        <v>571</v>
      </c>
      <c r="G1381" s="204"/>
      <c r="H1381">
        <v>25</v>
      </c>
      <c r="I1381">
        <v>112500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t="s">
        <v>277</v>
      </c>
      <c r="B1382" t="s">
        <v>556</v>
      </c>
      <c r="C1382" t="s">
        <v>1860</v>
      </c>
      <c r="D1382" t="s">
        <v>612</v>
      </c>
      <c r="E1382" t="s">
        <v>1281</v>
      </c>
      <c r="F1382" t="s">
        <v>571</v>
      </c>
      <c r="G1382" s="204"/>
      <c r="J1382">
        <v>5</v>
      </c>
      <c r="K1382">
        <v>4320</v>
      </c>
      <c r="L1382">
        <v>20</v>
      </c>
      <c r="M1382">
        <v>17280</v>
      </c>
      <c r="N1382">
        <v>25</v>
      </c>
      <c r="O1382">
        <v>21600</v>
      </c>
      <c r="P1382">
        <v>25</v>
      </c>
      <c r="Q1382">
        <v>45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t="s">
        <v>277</v>
      </c>
      <c r="B1383" t="s">
        <v>556</v>
      </c>
      <c r="C1383" t="s">
        <v>1860</v>
      </c>
      <c r="D1383" t="s">
        <v>612</v>
      </c>
      <c r="E1383" t="s">
        <v>1212</v>
      </c>
      <c r="F1383" t="s">
        <v>578</v>
      </c>
      <c r="G1383" s="204">
        <v>46752</v>
      </c>
      <c r="J1383">
        <v>50</v>
      </c>
      <c r="K1383">
        <v>43200</v>
      </c>
      <c r="L1383">
        <v>100</v>
      </c>
      <c r="M1383">
        <v>86400</v>
      </c>
      <c r="N1383">
        <v>0</v>
      </c>
      <c r="O1383">
        <v>0</v>
      </c>
      <c r="P1383">
        <v>0</v>
      </c>
      <c r="Q1383">
        <v>100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t="s">
        <v>517</v>
      </c>
      <c r="B1384" t="s">
        <v>556</v>
      </c>
      <c r="C1384" t="s">
        <v>920</v>
      </c>
      <c r="D1384" t="s">
        <v>920</v>
      </c>
      <c r="E1384" t="s">
        <v>1191</v>
      </c>
      <c r="F1384" t="s">
        <v>571</v>
      </c>
      <c r="G1384" s="204"/>
      <c r="H1384">
        <v>20</v>
      </c>
      <c r="I1384">
        <v>14251.6</v>
      </c>
      <c r="J1384">
        <v>20</v>
      </c>
      <c r="K1384">
        <v>14251.6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t="s">
        <v>517</v>
      </c>
      <c r="B1385" t="s">
        <v>556</v>
      </c>
      <c r="C1385" t="s">
        <v>920</v>
      </c>
      <c r="D1385" t="s">
        <v>920</v>
      </c>
      <c r="E1385" t="s">
        <v>1263</v>
      </c>
      <c r="F1385" t="s">
        <v>571</v>
      </c>
      <c r="G1385" s="204"/>
      <c r="H1385">
        <v>100</v>
      </c>
      <c r="I1385">
        <v>71258</v>
      </c>
      <c r="K1385">
        <v>80744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t="s">
        <v>278</v>
      </c>
      <c r="B1386" t="s">
        <v>556</v>
      </c>
      <c r="C1386" t="s">
        <v>1860</v>
      </c>
      <c r="D1386" t="s">
        <v>626</v>
      </c>
      <c r="E1386" t="s">
        <v>1286</v>
      </c>
      <c r="F1386" t="s">
        <v>571</v>
      </c>
      <c r="G1386" s="204"/>
      <c r="J1386">
        <v>18</v>
      </c>
      <c r="K1386">
        <v>19547.820000000003</v>
      </c>
      <c r="L1386">
        <v>92</v>
      </c>
      <c r="M1386">
        <v>99911.08</v>
      </c>
      <c r="N1386">
        <v>0</v>
      </c>
      <c r="O1386">
        <v>0</v>
      </c>
      <c r="P1386">
        <v>0</v>
      </c>
      <c r="Q1386">
        <v>92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t="s">
        <v>278</v>
      </c>
      <c r="B1387" t="s">
        <v>556</v>
      </c>
      <c r="C1387" t="s">
        <v>1860</v>
      </c>
      <c r="D1387" t="s">
        <v>626</v>
      </c>
      <c r="E1387" t="s">
        <v>1248</v>
      </c>
      <c r="F1387" t="s">
        <v>571</v>
      </c>
      <c r="G1387" s="204"/>
      <c r="L1387">
        <v>100</v>
      </c>
      <c r="M1387">
        <v>120855</v>
      </c>
      <c r="N1387">
        <v>0</v>
      </c>
      <c r="O1387">
        <v>0</v>
      </c>
      <c r="P1387">
        <v>0</v>
      </c>
      <c r="Q1387">
        <v>100</v>
      </c>
      <c r="R1387">
        <v>120855</v>
      </c>
      <c r="S1387">
        <v>1208.55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t="s">
        <v>278</v>
      </c>
      <c r="B1388" t="s">
        <v>556</v>
      </c>
      <c r="C1388" t="s">
        <v>1860</v>
      </c>
      <c r="D1388" t="s">
        <v>626</v>
      </c>
      <c r="E1388" t="s">
        <v>1212</v>
      </c>
      <c r="F1388" t="s">
        <v>571</v>
      </c>
      <c r="G1388" s="204"/>
      <c r="H1388">
        <v>100</v>
      </c>
      <c r="I1388">
        <v>120855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t="s">
        <v>846</v>
      </c>
      <c r="B1389" t="s">
        <v>556</v>
      </c>
      <c r="C1389" t="s">
        <v>1860</v>
      </c>
      <c r="D1389" t="s">
        <v>970</v>
      </c>
      <c r="E1389" t="s">
        <v>1286</v>
      </c>
      <c r="F1389" t="s">
        <v>571</v>
      </c>
      <c r="G1389" s="204"/>
      <c r="H1389">
        <v>51</v>
      </c>
      <c r="I1389">
        <v>58440.9</v>
      </c>
      <c r="J1389">
        <v>51</v>
      </c>
      <c r="K1389">
        <v>58440.9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t="s">
        <v>846</v>
      </c>
      <c r="B1390" t="s">
        <v>556</v>
      </c>
      <c r="C1390" t="s">
        <v>1860</v>
      </c>
      <c r="D1390" t="s">
        <v>970</v>
      </c>
      <c r="E1390" t="s">
        <v>1212</v>
      </c>
      <c r="F1390" t="s">
        <v>571</v>
      </c>
      <c r="G1390" s="204"/>
      <c r="H1390">
        <v>100</v>
      </c>
      <c r="I1390">
        <v>120320</v>
      </c>
      <c r="L1390">
        <v>0</v>
      </c>
      <c r="M1390">
        <v>0</v>
      </c>
      <c r="N1390">
        <v>100</v>
      </c>
      <c r="O1390">
        <v>121465</v>
      </c>
      <c r="P1390">
        <v>100</v>
      </c>
      <c r="Q1390">
        <v>100</v>
      </c>
      <c r="R1390">
        <v>121465</v>
      </c>
      <c r="S1390">
        <v>1214.6500000000001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t="s">
        <v>416</v>
      </c>
      <c r="B1391" t="s">
        <v>565</v>
      </c>
      <c r="C1391" t="s">
        <v>555</v>
      </c>
      <c r="D1391" t="s">
        <v>600</v>
      </c>
      <c r="E1391" t="s">
        <v>1258</v>
      </c>
      <c r="F1391" t="s">
        <v>571</v>
      </c>
      <c r="G1391" s="204"/>
      <c r="L1391">
        <v>0</v>
      </c>
      <c r="M1391">
        <v>0</v>
      </c>
      <c r="N1391">
        <v>27</v>
      </c>
      <c r="O1391">
        <v>50652</v>
      </c>
      <c r="P1391">
        <v>27</v>
      </c>
      <c r="Q1391">
        <v>27</v>
      </c>
      <c r="R1391">
        <v>50652</v>
      </c>
      <c r="S1391">
        <v>1876</v>
      </c>
      <c r="T1391">
        <v>0</v>
      </c>
      <c r="U1391">
        <v>0</v>
      </c>
      <c r="V1391">
        <v>50</v>
      </c>
      <c r="W1391">
        <v>93800</v>
      </c>
      <c r="X1391">
        <v>50</v>
      </c>
      <c r="Y1391">
        <v>50</v>
      </c>
    </row>
    <row r="1392" spans="1:25" x14ac:dyDescent="0.25">
      <c r="A1392" t="s">
        <v>416</v>
      </c>
      <c r="B1392" t="s">
        <v>565</v>
      </c>
      <c r="C1392" t="s">
        <v>555</v>
      </c>
      <c r="D1392" t="s">
        <v>600</v>
      </c>
      <c r="E1392" t="s">
        <v>1434</v>
      </c>
      <c r="F1392" t="s">
        <v>571</v>
      </c>
      <c r="G1392" s="204"/>
      <c r="L1392">
        <v>3</v>
      </c>
      <c r="M1392">
        <v>5628</v>
      </c>
      <c r="N1392">
        <v>0</v>
      </c>
      <c r="O1392">
        <v>0</v>
      </c>
      <c r="P1392">
        <v>0</v>
      </c>
      <c r="Q1392">
        <v>3</v>
      </c>
      <c r="R1392">
        <v>5628</v>
      </c>
      <c r="S1392">
        <v>1876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7" x14ac:dyDescent="0.25">
      <c r="A1393" t="s">
        <v>279</v>
      </c>
      <c r="B1393" t="s">
        <v>556</v>
      </c>
      <c r="C1393" t="s">
        <v>1860</v>
      </c>
      <c r="D1393" t="s">
        <v>612</v>
      </c>
      <c r="E1393" t="s">
        <v>1286</v>
      </c>
      <c r="F1393" t="s">
        <v>571</v>
      </c>
      <c r="G1393" s="204"/>
      <c r="H1393">
        <v>6</v>
      </c>
      <c r="I1393">
        <v>7000.5</v>
      </c>
      <c r="L1393">
        <v>216</v>
      </c>
      <c r="M1393">
        <v>240773.04</v>
      </c>
      <c r="N1393">
        <v>0</v>
      </c>
      <c r="O1393">
        <v>0</v>
      </c>
      <c r="P1393">
        <v>0</v>
      </c>
      <c r="Q1393">
        <v>216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7" x14ac:dyDescent="0.25">
      <c r="A1394" t="s">
        <v>1640</v>
      </c>
      <c r="B1394" t="s">
        <v>565</v>
      </c>
      <c r="C1394" t="s">
        <v>555</v>
      </c>
      <c r="D1394" t="s">
        <v>600</v>
      </c>
      <c r="E1394" t="s">
        <v>1434</v>
      </c>
      <c r="F1394" t="s">
        <v>571</v>
      </c>
      <c r="G1394" s="204"/>
      <c r="H1394">
        <v>11</v>
      </c>
      <c r="I1394">
        <v>20262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7" x14ac:dyDescent="0.25">
      <c r="A1395" t="s">
        <v>1641</v>
      </c>
      <c r="B1395" t="s">
        <v>562</v>
      </c>
      <c r="C1395" t="s">
        <v>555</v>
      </c>
      <c r="D1395" t="s">
        <v>645</v>
      </c>
      <c r="E1395" t="s">
        <v>1255</v>
      </c>
      <c r="F1395" t="s">
        <v>571</v>
      </c>
      <c r="G1395" s="204"/>
      <c r="H1395">
        <v>2</v>
      </c>
      <c r="I1395">
        <v>3000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7" x14ac:dyDescent="0.25">
      <c r="A1396" t="s">
        <v>417</v>
      </c>
      <c r="B1396" t="s">
        <v>565</v>
      </c>
      <c r="C1396" t="s">
        <v>555</v>
      </c>
      <c r="D1396" t="s">
        <v>645</v>
      </c>
      <c r="E1396" t="s">
        <v>1255</v>
      </c>
      <c r="F1396" t="s">
        <v>571</v>
      </c>
      <c r="G1396" s="204"/>
      <c r="J1396">
        <v>56</v>
      </c>
      <c r="K1396">
        <v>52958.079999999994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7" x14ac:dyDescent="0.25">
      <c r="A1397" t="s">
        <v>417</v>
      </c>
      <c r="B1397" t="s">
        <v>565</v>
      </c>
      <c r="C1397" t="s">
        <v>555</v>
      </c>
      <c r="D1397" t="s">
        <v>645</v>
      </c>
      <c r="E1397" t="s">
        <v>1257</v>
      </c>
      <c r="F1397" t="s">
        <v>571</v>
      </c>
      <c r="G1397" s="204"/>
      <c r="L1397">
        <v>0</v>
      </c>
      <c r="M1397">
        <v>0</v>
      </c>
      <c r="N1397">
        <v>94</v>
      </c>
      <c r="O1397">
        <v>90059.51999999999</v>
      </c>
      <c r="P1397">
        <v>94</v>
      </c>
      <c r="Q1397">
        <v>94</v>
      </c>
      <c r="R1397">
        <v>90059.51999999999</v>
      </c>
      <c r="S1397">
        <v>958.07999999999993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7" x14ac:dyDescent="0.25">
      <c r="A1398" t="s">
        <v>280</v>
      </c>
      <c r="B1398" t="s">
        <v>565</v>
      </c>
      <c r="C1398" t="s">
        <v>1860</v>
      </c>
      <c r="D1398" t="s">
        <v>612</v>
      </c>
      <c r="E1398" t="s">
        <v>1286</v>
      </c>
      <c r="F1398" t="s">
        <v>571</v>
      </c>
      <c r="G1398" s="204"/>
      <c r="J1398">
        <v>34</v>
      </c>
      <c r="K1398">
        <v>44905.16</v>
      </c>
      <c r="L1398">
        <v>70</v>
      </c>
      <c r="M1398">
        <v>107270.36</v>
      </c>
      <c r="N1398">
        <v>0</v>
      </c>
      <c r="O1398">
        <v>0</v>
      </c>
      <c r="P1398">
        <v>0</v>
      </c>
      <c r="Q1398">
        <v>70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7" x14ac:dyDescent="0.25">
      <c r="A1399" t="s">
        <v>726</v>
      </c>
      <c r="B1399" t="s">
        <v>554</v>
      </c>
      <c r="C1399" t="s">
        <v>1860</v>
      </c>
      <c r="D1399" t="s">
        <v>612</v>
      </c>
      <c r="E1399" t="s">
        <v>1111</v>
      </c>
      <c r="F1399" t="s">
        <v>571</v>
      </c>
      <c r="G1399" s="204"/>
      <c r="L1399">
        <v>0</v>
      </c>
      <c r="M1399">
        <v>0</v>
      </c>
      <c r="N1399">
        <v>100</v>
      </c>
      <c r="O1399">
        <v>0</v>
      </c>
      <c r="P1399">
        <v>0</v>
      </c>
      <c r="Q1399">
        <v>0</v>
      </c>
      <c r="R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7" x14ac:dyDescent="0.25">
      <c r="A1400" t="s">
        <v>1642</v>
      </c>
      <c r="B1400" t="s">
        <v>554</v>
      </c>
      <c r="C1400" t="s">
        <v>555</v>
      </c>
      <c r="D1400" t="s">
        <v>1884</v>
      </c>
      <c r="E1400" t="s">
        <v>1248</v>
      </c>
      <c r="F1400" t="s">
        <v>571</v>
      </c>
      <c r="G1400" s="204"/>
      <c r="J1400">
        <v>40</v>
      </c>
      <c r="K1400">
        <v>10000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7" x14ac:dyDescent="0.25">
      <c r="A1401" t="s">
        <v>1643</v>
      </c>
      <c r="B1401" t="s">
        <v>554</v>
      </c>
      <c r="C1401" t="s">
        <v>555</v>
      </c>
      <c r="D1401" t="s">
        <v>1884</v>
      </c>
      <c r="E1401" t="s">
        <v>1248</v>
      </c>
      <c r="F1401" t="s">
        <v>571</v>
      </c>
      <c r="G1401" s="204"/>
      <c r="J1401">
        <v>39</v>
      </c>
      <c r="K1401">
        <v>9750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7" x14ac:dyDescent="0.25">
      <c r="A1402" t="s">
        <v>887</v>
      </c>
      <c r="B1402" t="s">
        <v>556</v>
      </c>
      <c r="C1402" t="s">
        <v>1859</v>
      </c>
      <c r="D1402" t="s">
        <v>649</v>
      </c>
      <c r="E1402" t="s">
        <v>1167</v>
      </c>
      <c r="F1402" t="s">
        <v>571</v>
      </c>
      <c r="G1402" s="204"/>
      <c r="L1402">
        <v>247</v>
      </c>
      <c r="M1402">
        <v>40672.18</v>
      </c>
      <c r="N1402">
        <v>0</v>
      </c>
      <c r="O1402">
        <v>0</v>
      </c>
      <c r="P1402">
        <v>0</v>
      </c>
      <c r="Q1402">
        <v>247</v>
      </c>
      <c r="R1402">
        <v>40672.18</v>
      </c>
      <c r="S1402">
        <v>164.6646963562753</v>
      </c>
      <c r="T1402">
        <v>0</v>
      </c>
      <c r="U1402">
        <v>0</v>
      </c>
      <c r="V1402">
        <v>2800</v>
      </c>
      <c r="W1402">
        <v>546952</v>
      </c>
      <c r="X1402">
        <v>2800</v>
      </c>
      <c r="Y1402">
        <v>2800</v>
      </c>
    </row>
    <row r="1403" spans="1:27" x14ac:dyDescent="0.25">
      <c r="A1403" t="s">
        <v>1644</v>
      </c>
      <c r="B1403" t="s">
        <v>562</v>
      </c>
      <c r="C1403" t="s">
        <v>1860</v>
      </c>
      <c r="D1403" t="s">
        <v>1885</v>
      </c>
      <c r="E1403" t="s">
        <v>1138</v>
      </c>
      <c r="F1403" t="s">
        <v>571</v>
      </c>
      <c r="G1403" s="204"/>
      <c r="H1403">
        <v>20</v>
      </c>
      <c r="I1403">
        <v>1320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7" x14ac:dyDescent="0.25">
      <c r="A1404" t="s">
        <v>191</v>
      </c>
      <c r="B1404" t="s">
        <v>562</v>
      </c>
      <c r="C1404" t="s">
        <v>920</v>
      </c>
      <c r="D1404" t="s">
        <v>920</v>
      </c>
      <c r="E1404" t="s">
        <v>1266</v>
      </c>
      <c r="F1404" t="s">
        <v>571</v>
      </c>
      <c r="G1404" s="204"/>
      <c r="L1404">
        <v>490</v>
      </c>
      <c r="M1404">
        <v>49000</v>
      </c>
      <c r="N1404">
        <v>10</v>
      </c>
      <c r="O1404">
        <v>1000</v>
      </c>
      <c r="P1404">
        <v>10</v>
      </c>
      <c r="Q1404">
        <v>500</v>
      </c>
      <c r="R1404">
        <v>50000</v>
      </c>
      <c r="S1404">
        <v>100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7" x14ac:dyDescent="0.25">
      <c r="A1405" t="s">
        <v>191</v>
      </c>
      <c r="B1405" t="s">
        <v>562</v>
      </c>
      <c r="C1405" t="s">
        <v>920</v>
      </c>
      <c r="D1405" t="s">
        <v>920</v>
      </c>
      <c r="E1405" t="s">
        <v>1212</v>
      </c>
      <c r="F1405" t="s">
        <v>571</v>
      </c>
      <c r="G1405" s="204"/>
      <c r="L1405">
        <v>50</v>
      </c>
      <c r="M1405">
        <v>20000</v>
      </c>
      <c r="N1405">
        <v>0</v>
      </c>
      <c r="O1405">
        <v>0</v>
      </c>
      <c r="P1405">
        <v>0</v>
      </c>
      <c r="Q1405">
        <v>50</v>
      </c>
      <c r="R1405">
        <v>20000</v>
      </c>
      <c r="S1405">
        <v>400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7" x14ac:dyDescent="0.25">
      <c r="A1406" t="s">
        <v>1645</v>
      </c>
      <c r="B1406" t="s">
        <v>562</v>
      </c>
      <c r="C1406" t="s">
        <v>1860</v>
      </c>
      <c r="D1406" t="s">
        <v>1885</v>
      </c>
      <c r="E1406" t="s">
        <v>1138</v>
      </c>
      <c r="F1406" t="s">
        <v>571</v>
      </c>
      <c r="G1406" s="204"/>
      <c r="H1406">
        <v>15</v>
      </c>
      <c r="I1406">
        <v>990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7" x14ac:dyDescent="0.25">
      <c r="A1407" t="s">
        <v>1551</v>
      </c>
      <c r="B1407" t="s">
        <v>554</v>
      </c>
      <c r="C1407" t="s">
        <v>1860</v>
      </c>
      <c r="D1407" t="s">
        <v>612</v>
      </c>
      <c r="E1407" t="s">
        <v>1212</v>
      </c>
      <c r="F1407" t="s">
        <v>578</v>
      </c>
      <c r="G1407" s="204">
        <v>46752</v>
      </c>
      <c r="J1407">
        <v>190</v>
      </c>
      <c r="K1407">
        <v>72960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7" x14ac:dyDescent="0.25">
      <c r="A1408" t="s">
        <v>946</v>
      </c>
      <c r="B1408" t="s">
        <v>562</v>
      </c>
      <c r="C1408" t="s">
        <v>1860</v>
      </c>
      <c r="D1408" t="s">
        <v>959</v>
      </c>
      <c r="E1408" t="s">
        <v>1197</v>
      </c>
      <c r="F1408" t="s">
        <v>571</v>
      </c>
      <c r="G1408" s="204"/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T1408">
        <v>0</v>
      </c>
      <c r="U1408">
        <v>0</v>
      </c>
      <c r="V1408">
        <v>98</v>
      </c>
      <c r="W1408">
        <v>98000</v>
      </c>
      <c r="X1408">
        <v>98</v>
      </c>
      <c r="Y1408">
        <v>98</v>
      </c>
      <c r="Z1408">
        <v>98000</v>
      </c>
      <c r="AA1408">
        <v>1000</v>
      </c>
    </row>
    <row r="1409" spans="1:27" x14ac:dyDescent="0.25">
      <c r="A1409" t="s">
        <v>551</v>
      </c>
      <c r="B1409" t="s">
        <v>562</v>
      </c>
      <c r="C1409" t="s">
        <v>569</v>
      </c>
      <c r="D1409" t="s">
        <v>569</v>
      </c>
      <c r="E1409" t="s">
        <v>1343</v>
      </c>
      <c r="F1409" t="s">
        <v>571</v>
      </c>
      <c r="G1409" s="204"/>
      <c r="J1409">
        <v>1</v>
      </c>
      <c r="K1409">
        <v>1500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7" x14ac:dyDescent="0.25">
      <c r="A1410" t="s">
        <v>1646</v>
      </c>
      <c r="B1410" t="s">
        <v>562</v>
      </c>
      <c r="C1410" t="s">
        <v>569</v>
      </c>
      <c r="D1410" t="s">
        <v>569</v>
      </c>
      <c r="E1410" t="s">
        <v>1343</v>
      </c>
      <c r="F1410" t="s">
        <v>571</v>
      </c>
      <c r="G1410" s="204"/>
      <c r="J1410">
        <v>1</v>
      </c>
      <c r="K1410">
        <v>1500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7" x14ac:dyDescent="0.25">
      <c r="A1411" t="s">
        <v>1552</v>
      </c>
      <c r="B1411" t="s">
        <v>554</v>
      </c>
      <c r="C1411" t="s">
        <v>1860</v>
      </c>
      <c r="D1411" t="s">
        <v>612</v>
      </c>
      <c r="E1411" t="s">
        <v>1212</v>
      </c>
      <c r="F1411" t="s">
        <v>578</v>
      </c>
      <c r="G1411" s="204">
        <v>46752</v>
      </c>
      <c r="J1411">
        <v>50</v>
      </c>
      <c r="K1411">
        <v>41400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7" x14ac:dyDescent="0.25">
      <c r="A1412" t="s">
        <v>38</v>
      </c>
      <c r="B1412" t="s">
        <v>556</v>
      </c>
      <c r="C1412" t="s">
        <v>1860</v>
      </c>
      <c r="D1412" t="s">
        <v>589</v>
      </c>
      <c r="E1412" t="s">
        <v>1138</v>
      </c>
      <c r="F1412" t="s">
        <v>571</v>
      </c>
      <c r="G1412" s="204"/>
      <c r="L1412">
        <v>1574</v>
      </c>
      <c r="M1412">
        <v>167702.28</v>
      </c>
      <c r="N1412">
        <v>726</v>
      </c>
      <c r="O1412">
        <v>82560.72</v>
      </c>
      <c r="P1412">
        <v>726</v>
      </c>
      <c r="Q1412">
        <v>2300</v>
      </c>
      <c r="T1412">
        <v>0</v>
      </c>
      <c r="U1412">
        <v>0</v>
      </c>
      <c r="V1412">
        <v>460</v>
      </c>
      <c r="W1412">
        <v>52311.199999999997</v>
      </c>
      <c r="X1412">
        <v>460</v>
      </c>
      <c r="Y1412">
        <v>460</v>
      </c>
      <c r="Z1412">
        <v>52311.199999999997</v>
      </c>
      <c r="AA1412">
        <v>113.72</v>
      </c>
    </row>
    <row r="1413" spans="1:27" x14ac:dyDescent="0.25">
      <c r="A1413" t="s">
        <v>418</v>
      </c>
      <c r="B1413" t="s">
        <v>554</v>
      </c>
      <c r="C1413" t="s">
        <v>555</v>
      </c>
      <c r="D1413" t="s">
        <v>583</v>
      </c>
      <c r="E1413" t="s">
        <v>1258</v>
      </c>
      <c r="F1413" t="s">
        <v>571</v>
      </c>
      <c r="G1413" s="204"/>
      <c r="L1413">
        <v>0</v>
      </c>
      <c r="M1413">
        <v>0</v>
      </c>
      <c r="N1413">
        <v>37</v>
      </c>
      <c r="O1413">
        <v>44215</v>
      </c>
      <c r="P1413">
        <v>37</v>
      </c>
      <c r="Q1413">
        <v>37</v>
      </c>
      <c r="T1413">
        <v>0</v>
      </c>
      <c r="U1413">
        <v>0</v>
      </c>
      <c r="V1413">
        <v>20</v>
      </c>
      <c r="W1413">
        <v>23900</v>
      </c>
      <c r="X1413">
        <v>20</v>
      </c>
      <c r="Y1413">
        <v>20</v>
      </c>
      <c r="Z1413">
        <v>23900</v>
      </c>
      <c r="AA1413">
        <v>1195</v>
      </c>
    </row>
    <row r="1414" spans="1:27" x14ac:dyDescent="0.25">
      <c r="A1414" t="s">
        <v>418</v>
      </c>
      <c r="B1414" t="s">
        <v>554</v>
      </c>
      <c r="C1414" t="s">
        <v>555</v>
      </c>
      <c r="D1414" t="s">
        <v>583</v>
      </c>
      <c r="E1414" t="s">
        <v>1434</v>
      </c>
      <c r="F1414" t="s">
        <v>571</v>
      </c>
      <c r="G1414" s="204"/>
      <c r="L1414">
        <v>43</v>
      </c>
      <c r="M1414">
        <v>51385</v>
      </c>
      <c r="N1414">
        <v>0</v>
      </c>
      <c r="O1414">
        <v>0</v>
      </c>
      <c r="P1414">
        <v>0</v>
      </c>
      <c r="Q1414">
        <v>43</v>
      </c>
      <c r="R1414">
        <v>51385</v>
      </c>
      <c r="S1414">
        <v>1195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7" x14ac:dyDescent="0.25">
      <c r="A1415" t="s">
        <v>917</v>
      </c>
      <c r="B1415" t="s">
        <v>554</v>
      </c>
      <c r="C1415" t="s">
        <v>1858</v>
      </c>
      <c r="D1415" t="s">
        <v>985</v>
      </c>
      <c r="E1415" t="s">
        <v>1262</v>
      </c>
      <c r="F1415" t="s">
        <v>571</v>
      </c>
      <c r="G1415" s="204"/>
      <c r="L1415">
        <v>10</v>
      </c>
      <c r="M1415">
        <v>1855.5</v>
      </c>
      <c r="N1415">
        <v>0</v>
      </c>
      <c r="O1415">
        <v>0</v>
      </c>
      <c r="P1415">
        <v>0</v>
      </c>
      <c r="Q1415">
        <v>10</v>
      </c>
      <c r="R1415">
        <v>1855.5</v>
      </c>
      <c r="S1415">
        <v>185.55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7" x14ac:dyDescent="0.25">
      <c r="A1416" t="s">
        <v>952</v>
      </c>
      <c r="C1416" t="s">
        <v>1858</v>
      </c>
      <c r="D1416" t="s">
        <v>966</v>
      </c>
      <c r="E1416" t="s">
        <v>1262</v>
      </c>
      <c r="F1416" t="s">
        <v>571</v>
      </c>
      <c r="G1416" s="204"/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T1416">
        <v>0</v>
      </c>
      <c r="U1416">
        <v>0</v>
      </c>
      <c r="V1416">
        <v>10</v>
      </c>
      <c r="W1416">
        <v>7500</v>
      </c>
      <c r="X1416">
        <v>10</v>
      </c>
      <c r="Y1416">
        <v>10</v>
      </c>
      <c r="Z1416">
        <v>7500</v>
      </c>
      <c r="AA1416">
        <v>750</v>
      </c>
    </row>
    <row r="1417" spans="1:27" x14ac:dyDescent="0.25">
      <c r="A1417" t="s">
        <v>916</v>
      </c>
      <c r="B1417" t="s">
        <v>554</v>
      </c>
      <c r="C1417" t="s">
        <v>1858</v>
      </c>
      <c r="D1417" t="s">
        <v>984</v>
      </c>
      <c r="E1417" t="s">
        <v>1262</v>
      </c>
      <c r="F1417" t="s">
        <v>571</v>
      </c>
      <c r="G1417" s="204"/>
      <c r="L1417">
        <v>0</v>
      </c>
      <c r="M1417">
        <v>0</v>
      </c>
      <c r="N1417">
        <v>10</v>
      </c>
      <c r="O1417">
        <v>1990</v>
      </c>
      <c r="P1417">
        <v>10</v>
      </c>
      <c r="Q1417">
        <v>10</v>
      </c>
      <c r="R1417">
        <v>1990</v>
      </c>
      <c r="S1417">
        <v>199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7" x14ac:dyDescent="0.25">
      <c r="A1418" t="s">
        <v>951</v>
      </c>
      <c r="C1418" t="s">
        <v>1858</v>
      </c>
      <c r="D1418" t="s">
        <v>965</v>
      </c>
      <c r="E1418" t="s">
        <v>1262</v>
      </c>
      <c r="F1418" t="s">
        <v>571</v>
      </c>
      <c r="G1418" s="204"/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T1418">
        <v>0</v>
      </c>
      <c r="U1418">
        <v>0</v>
      </c>
      <c r="V1418">
        <v>10</v>
      </c>
      <c r="W1418">
        <v>7500</v>
      </c>
      <c r="X1418">
        <v>10</v>
      </c>
      <c r="Y1418">
        <v>10</v>
      </c>
      <c r="Z1418">
        <v>7500</v>
      </c>
      <c r="AA1418">
        <v>750</v>
      </c>
    </row>
    <row r="1419" spans="1:27" x14ac:dyDescent="0.25">
      <c r="A1419" t="s">
        <v>136</v>
      </c>
      <c r="B1419" t="s">
        <v>565</v>
      </c>
      <c r="C1419" t="s">
        <v>1859</v>
      </c>
      <c r="D1419" t="s">
        <v>647</v>
      </c>
      <c r="E1419" t="s">
        <v>1167</v>
      </c>
      <c r="F1419" t="s">
        <v>571</v>
      </c>
      <c r="G1419" s="204"/>
      <c r="L1419">
        <v>121</v>
      </c>
      <c r="M1419">
        <v>35558.78</v>
      </c>
      <c r="N1419">
        <v>18</v>
      </c>
      <c r="O1419">
        <v>5316.12</v>
      </c>
      <c r="P1419">
        <v>18</v>
      </c>
      <c r="Q1419">
        <v>139</v>
      </c>
      <c r="T1419">
        <v>0</v>
      </c>
      <c r="U1419">
        <v>0</v>
      </c>
      <c r="V1419">
        <v>16</v>
      </c>
      <c r="W1419">
        <v>4725.4399999999996</v>
      </c>
      <c r="X1419">
        <v>16</v>
      </c>
      <c r="Y1419">
        <v>16</v>
      </c>
      <c r="Z1419">
        <v>4725.4399999999996</v>
      </c>
      <c r="AA1419">
        <v>295.33999999999997</v>
      </c>
    </row>
    <row r="1420" spans="1:27" x14ac:dyDescent="0.25">
      <c r="A1420" t="s">
        <v>708</v>
      </c>
      <c r="B1420" t="s">
        <v>562</v>
      </c>
      <c r="C1420" t="s">
        <v>1859</v>
      </c>
      <c r="D1420" t="s">
        <v>647</v>
      </c>
      <c r="E1420" t="s">
        <v>1167</v>
      </c>
      <c r="F1420" t="s">
        <v>571</v>
      </c>
      <c r="G1420" s="204"/>
      <c r="H1420">
        <v>148</v>
      </c>
      <c r="I1420">
        <v>43068</v>
      </c>
      <c r="L1420">
        <v>347</v>
      </c>
      <c r="M1420">
        <v>133841.37</v>
      </c>
      <c r="N1420">
        <v>0</v>
      </c>
      <c r="O1420">
        <v>0</v>
      </c>
      <c r="P1420">
        <v>0</v>
      </c>
      <c r="Q1420">
        <v>347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7" x14ac:dyDescent="0.25">
      <c r="A1421" t="s">
        <v>138</v>
      </c>
      <c r="B1421" t="s">
        <v>565</v>
      </c>
      <c r="C1421" t="s">
        <v>1859</v>
      </c>
      <c r="D1421" t="s">
        <v>647</v>
      </c>
      <c r="E1421" t="s">
        <v>1167</v>
      </c>
      <c r="F1421" t="s">
        <v>571</v>
      </c>
      <c r="G1421" s="204"/>
      <c r="L1421">
        <v>22</v>
      </c>
      <c r="M1421">
        <v>6415.2</v>
      </c>
      <c r="N1421">
        <v>9</v>
      </c>
      <c r="O1421">
        <v>2624.3999999999996</v>
      </c>
      <c r="P1421">
        <v>9</v>
      </c>
      <c r="Q1421">
        <v>31</v>
      </c>
      <c r="T1421">
        <v>0</v>
      </c>
      <c r="U1421">
        <v>0</v>
      </c>
      <c r="V1421">
        <v>7</v>
      </c>
      <c r="W1421">
        <v>2041.2</v>
      </c>
      <c r="X1421">
        <v>7</v>
      </c>
      <c r="Y1421">
        <v>7</v>
      </c>
      <c r="Z1421">
        <v>2041.2</v>
      </c>
      <c r="AA1421">
        <v>291.60000000000002</v>
      </c>
    </row>
    <row r="1422" spans="1:27" x14ac:dyDescent="0.25">
      <c r="A1422" t="s">
        <v>140</v>
      </c>
      <c r="B1422" t="s">
        <v>565</v>
      </c>
      <c r="C1422" t="s">
        <v>1859</v>
      </c>
      <c r="D1422" t="s">
        <v>647</v>
      </c>
      <c r="E1422" t="s">
        <v>1167</v>
      </c>
      <c r="F1422" t="s">
        <v>571</v>
      </c>
      <c r="G1422" s="204"/>
      <c r="L1422">
        <v>50</v>
      </c>
      <c r="M1422">
        <v>15050</v>
      </c>
      <c r="N1422">
        <v>0</v>
      </c>
      <c r="O1422">
        <v>0</v>
      </c>
      <c r="P1422">
        <v>0</v>
      </c>
      <c r="Q1422">
        <v>50</v>
      </c>
      <c r="T1422">
        <v>0</v>
      </c>
      <c r="U1422">
        <v>0</v>
      </c>
      <c r="V1422">
        <v>12</v>
      </c>
      <c r="W1422">
        <v>4200</v>
      </c>
      <c r="X1422">
        <v>12</v>
      </c>
      <c r="Y1422">
        <v>12</v>
      </c>
      <c r="Z1422">
        <v>4200</v>
      </c>
      <c r="AA1422">
        <v>350</v>
      </c>
    </row>
    <row r="1423" spans="1:27" x14ac:dyDescent="0.25">
      <c r="A1423" t="s">
        <v>1647</v>
      </c>
      <c r="B1423" t="s">
        <v>562</v>
      </c>
      <c r="C1423" t="s">
        <v>1860</v>
      </c>
      <c r="D1423" t="s">
        <v>612</v>
      </c>
      <c r="E1423" t="s">
        <v>1248</v>
      </c>
      <c r="F1423" t="s">
        <v>571</v>
      </c>
      <c r="G1423" s="204"/>
      <c r="J1423">
        <v>52</v>
      </c>
      <c r="K1423">
        <v>25220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7" x14ac:dyDescent="0.25">
      <c r="A1424" t="s">
        <v>1648</v>
      </c>
      <c r="B1424" t="s">
        <v>1031</v>
      </c>
      <c r="C1424" t="s">
        <v>920</v>
      </c>
      <c r="D1424" t="s">
        <v>920</v>
      </c>
      <c r="E1424" t="s">
        <v>1138</v>
      </c>
      <c r="F1424" t="s">
        <v>571</v>
      </c>
      <c r="G1424" s="204"/>
      <c r="H1424">
        <v>871</v>
      </c>
      <c r="I1424">
        <v>8265.7900000000009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7" x14ac:dyDescent="0.25">
      <c r="A1425" t="s">
        <v>1649</v>
      </c>
      <c r="B1425" t="s">
        <v>554</v>
      </c>
      <c r="C1425" t="s">
        <v>920</v>
      </c>
      <c r="D1425" t="s">
        <v>920</v>
      </c>
      <c r="E1425" t="s">
        <v>1138</v>
      </c>
      <c r="F1425" t="s">
        <v>571</v>
      </c>
      <c r="G1425" s="204"/>
      <c r="J1425">
        <v>945</v>
      </c>
      <c r="K1425">
        <v>9043.65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7" x14ac:dyDescent="0.25">
      <c r="A1426" t="s">
        <v>281</v>
      </c>
      <c r="B1426" t="s">
        <v>562</v>
      </c>
      <c r="C1426" t="s">
        <v>1860</v>
      </c>
      <c r="D1426" t="s">
        <v>612</v>
      </c>
      <c r="E1426" t="s">
        <v>1286</v>
      </c>
      <c r="F1426" t="s">
        <v>571</v>
      </c>
      <c r="G1426" s="204"/>
      <c r="J1426">
        <v>92</v>
      </c>
      <c r="K1426">
        <v>149500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7" x14ac:dyDescent="0.25">
      <c r="A1427" t="s">
        <v>281</v>
      </c>
      <c r="B1427" t="s">
        <v>562</v>
      </c>
      <c r="C1427" t="s">
        <v>1860</v>
      </c>
      <c r="D1427" t="s">
        <v>612</v>
      </c>
      <c r="E1427" t="s">
        <v>1248</v>
      </c>
      <c r="F1427" t="s">
        <v>571</v>
      </c>
      <c r="G1427" s="204"/>
      <c r="L1427">
        <v>44</v>
      </c>
      <c r="M1427">
        <v>71500</v>
      </c>
      <c r="N1427">
        <v>6</v>
      </c>
      <c r="O1427">
        <v>9750</v>
      </c>
      <c r="P1427">
        <v>6</v>
      </c>
      <c r="Q1427">
        <v>50</v>
      </c>
      <c r="R1427">
        <v>81250</v>
      </c>
      <c r="S1427">
        <v>1625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7" x14ac:dyDescent="0.25">
      <c r="A1428" t="s">
        <v>842</v>
      </c>
      <c r="B1428" t="s">
        <v>556</v>
      </c>
      <c r="C1428" t="s">
        <v>1860</v>
      </c>
      <c r="D1428" t="s">
        <v>955</v>
      </c>
      <c r="E1428" t="s">
        <v>1282</v>
      </c>
      <c r="F1428" t="s">
        <v>571</v>
      </c>
      <c r="G1428" s="204"/>
      <c r="L1428">
        <v>0</v>
      </c>
      <c r="M1428">
        <v>0</v>
      </c>
      <c r="N1428">
        <v>140</v>
      </c>
      <c r="O1428">
        <v>90723</v>
      </c>
      <c r="P1428">
        <v>140</v>
      </c>
      <c r="Q1428">
        <v>140</v>
      </c>
      <c r="R1428">
        <v>90723</v>
      </c>
      <c r="S1428">
        <v>648.0214285714286</v>
      </c>
      <c r="T1428">
        <v>0</v>
      </c>
      <c r="U1428">
        <v>0</v>
      </c>
      <c r="V1428">
        <v>540</v>
      </c>
      <c r="W1428">
        <v>362855</v>
      </c>
      <c r="X1428">
        <v>540</v>
      </c>
      <c r="Y1428">
        <v>540</v>
      </c>
    </row>
    <row r="1429" spans="1:27" x14ac:dyDescent="0.25">
      <c r="A1429" t="s">
        <v>842</v>
      </c>
      <c r="B1429" t="s">
        <v>556</v>
      </c>
      <c r="C1429" t="s">
        <v>1860</v>
      </c>
      <c r="D1429" t="s">
        <v>955</v>
      </c>
      <c r="E1429" t="s">
        <v>1473</v>
      </c>
      <c r="F1429" t="s">
        <v>571</v>
      </c>
      <c r="G1429" s="204"/>
      <c r="L1429">
        <v>40</v>
      </c>
      <c r="M1429">
        <v>27058</v>
      </c>
      <c r="N1429">
        <v>0</v>
      </c>
      <c r="O1429">
        <v>0</v>
      </c>
      <c r="P1429">
        <v>0</v>
      </c>
      <c r="Q1429">
        <v>40</v>
      </c>
      <c r="R1429">
        <v>27058</v>
      </c>
      <c r="S1429">
        <v>676.45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7" x14ac:dyDescent="0.25">
      <c r="A1430" t="s">
        <v>282</v>
      </c>
      <c r="B1430" t="s">
        <v>556</v>
      </c>
      <c r="C1430" t="s">
        <v>1860</v>
      </c>
      <c r="D1430" t="s">
        <v>612</v>
      </c>
      <c r="E1430" t="s">
        <v>1286</v>
      </c>
      <c r="F1430" t="s">
        <v>571</v>
      </c>
      <c r="G1430" s="204"/>
      <c r="L1430">
        <v>195</v>
      </c>
      <c r="M1430">
        <v>476441.54999999993</v>
      </c>
      <c r="N1430">
        <v>0</v>
      </c>
      <c r="O1430">
        <v>0</v>
      </c>
      <c r="P1430">
        <v>0</v>
      </c>
      <c r="Q1430">
        <v>195</v>
      </c>
      <c r="T1430">
        <v>0</v>
      </c>
      <c r="U1430">
        <v>0</v>
      </c>
      <c r="V1430">
        <v>50</v>
      </c>
      <c r="W1430">
        <v>121750</v>
      </c>
      <c r="X1430">
        <v>50</v>
      </c>
      <c r="Y1430">
        <v>50</v>
      </c>
      <c r="Z1430">
        <v>121750</v>
      </c>
      <c r="AA1430">
        <v>2435</v>
      </c>
    </row>
    <row r="1431" spans="1:27" x14ac:dyDescent="0.25">
      <c r="A1431" t="s">
        <v>1650</v>
      </c>
      <c r="B1431" t="s">
        <v>562</v>
      </c>
      <c r="C1431" t="s">
        <v>564</v>
      </c>
      <c r="D1431" t="s">
        <v>682</v>
      </c>
      <c r="E1431" t="s">
        <v>1252</v>
      </c>
      <c r="F1431" t="s">
        <v>571</v>
      </c>
      <c r="G1431" s="204"/>
      <c r="H1431">
        <v>12</v>
      </c>
      <c r="I1431">
        <v>13500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7" x14ac:dyDescent="0.25">
      <c r="A1432" t="s">
        <v>944</v>
      </c>
      <c r="C1432" t="s">
        <v>555</v>
      </c>
      <c r="D1432" t="s">
        <v>961</v>
      </c>
      <c r="E1432" t="s">
        <v>1242</v>
      </c>
      <c r="F1432" t="s">
        <v>571</v>
      </c>
      <c r="G1432" s="204"/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T1432">
        <v>0</v>
      </c>
      <c r="U1432">
        <v>0</v>
      </c>
      <c r="V1432">
        <v>100</v>
      </c>
      <c r="W1432">
        <v>50000</v>
      </c>
      <c r="X1432">
        <v>100</v>
      </c>
      <c r="Y1432">
        <v>100</v>
      </c>
      <c r="Z1432">
        <v>50000</v>
      </c>
      <c r="AA1432">
        <v>500</v>
      </c>
    </row>
    <row r="1433" spans="1:27" x14ac:dyDescent="0.25">
      <c r="A1433" t="s">
        <v>884</v>
      </c>
      <c r="B1433" t="s">
        <v>562</v>
      </c>
      <c r="C1433" t="s">
        <v>555</v>
      </c>
      <c r="D1433" t="s">
        <v>624</v>
      </c>
      <c r="E1433" t="s">
        <v>1232</v>
      </c>
      <c r="F1433" t="s">
        <v>571</v>
      </c>
      <c r="G1433" s="204"/>
      <c r="L1433">
        <v>45</v>
      </c>
      <c r="M1433">
        <v>34999.65</v>
      </c>
      <c r="N1433">
        <v>0</v>
      </c>
      <c r="O1433">
        <v>0</v>
      </c>
      <c r="P1433">
        <v>0</v>
      </c>
      <c r="Q1433">
        <v>45</v>
      </c>
      <c r="R1433">
        <v>34999.65</v>
      </c>
      <c r="S1433">
        <v>777.77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7" x14ac:dyDescent="0.25">
      <c r="A1434" t="s">
        <v>884</v>
      </c>
      <c r="B1434" t="s">
        <v>562</v>
      </c>
      <c r="C1434" t="s">
        <v>555</v>
      </c>
      <c r="D1434" t="s">
        <v>624</v>
      </c>
      <c r="E1434" t="s">
        <v>1373</v>
      </c>
      <c r="F1434" t="s">
        <v>571</v>
      </c>
      <c r="G1434" s="204"/>
      <c r="H1434">
        <v>5</v>
      </c>
      <c r="I1434">
        <v>7500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7" x14ac:dyDescent="0.25">
      <c r="A1435" t="s">
        <v>1651</v>
      </c>
      <c r="B1435" t="s">
        <v>562</v>
      </c>
      <c r="C1435" t="s">
        <v>555</v>
      </c>
      <c r="D1435" t="s">
        <v>968</v>
      </c>
      <c r="E1435" t="s">
        <v>1269</v>
      </c>
      <c r="F1435" t="s">
        <v>571</v>
      </c>
      <c r="G1435" s="204"/>
      <c r="H1435">
        <v>230</v>
      </c>
      <c r="I1435">
        <v>74750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7" x14ac:dyDescent="0.25">
      <c r="A1436" t="s">
        <v>419</v>
      </c>
      <c r="B1436" t="s">
        <v>556</v>
      </c>
      <c r="C1436" t="s">
        <v>555</v>
      </c>
      <c r="D1436" t="s">
        <v>968</v>
      </c>
      <c r="E1436" t="s">
        <v>1269</v>
      </c>
      <c r="F1436" t="s">
        <v>571</v>
      </c>
      <c r="G1436" s="204"/>
      <c r="J1436">
        <v>605</v>
      </c>
      <c r="K1436">
        <v>185735</v>
      </c>
      <c r="L1436">
        <v>1539</v>
      </c>
      <c r="M1436">
        <v>508964.83999999997</v>
      </c>
      <c r="N1436">
        <v>0</v>
      </c>
      <c r="O1436">
        <v>0</v>
      </c>
      <c r="P1436">
        <v>0</v>
      </c>
      <c r="Q1436">
        <v>1539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7" x14ac:dyDescent="0.25">
      <c r="A1437" t="s">
        <v>1272</v>
      </c>
      <c r="B1437" t="s">
        <v>562</v>
      </c>
      <c r="C1437" t="s">
        <v>555</v>
      </c>
      <c r="D1437" t="s">
        <v>620</v>
      </c>
      <c r="E1437" t="s">
        <v>1269</v>
      </c>
      <c r="F1437" t="s">
        <v>571</v>
      </c>
      <c r="G1437" s="204"/>
      <c r="H1437">
        <v>16</v>
      </c>
      <c r="I1437">
        <v>9840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T1437">
        <v>0</v>
      </c>
      <c r="U1437">
        <v>0</v>
      </c>
      <c r="V1437">
        <v>48</v>
      </c>
      <c r="W1437">
        <v>43932</v>
      </c>
      <c r="X1437">
        <v>48</v>
      </c>
      <c r="Y1437">
        <v>48</v>
      </c>
    </row>
    <row r="1438" spans="1:27" x14ac:dyDescent="0.25">
      <c r="A1438" t="s">
        <v>1272</v>
      </c>
      <c r="B1438" t="s">
        <v>562</v>
      </c>
      <c r="C1438" t="s">
        <v>555</v>
      </c>
      <c r="D1438" t="s">
        <v>620</v>
      </c>
      <c r="E1438" t="s">
        <v>1805</v>
      </c>
      <c r="F1438" t="s">
        <v>571</v>
      </c>
      <c r="G1438" s="204"/>
      <c r="H1438">
        <v>6</v>
      </c>
      <c r="I1438">
        <v>5100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7" x14ac:dyDescent="0.25">
      <c r="A1439" t="s">
        <v>420</v>
      </c>
      <c r="B1439" t="s">
        <v>565</v>
      </c>
      <c r="C1439" t="s">
        <v>555</v>
      </c>
      <c r="D1439" t="s">
        <v>624</v>
      </c>
      <c r="E1439" t="s">
        <v>1269</v>
      </c>
      <c r="F1439" t="s">
        <v>571</v>
      </c>
      <c r="G1439" s="204"/>
      <c r="H1439">
        <v>296</v>
      </c>
      <c r="I1439">
        <v>89688</v>
      </c>
      <c r="L1439">
        <v>428</v>
      </c>
      <c r="M1439">
        <v>153814.63999999998</v>
      </c>
      <c r="N1439">
        <v>421</v>
      </c>
      <c r="O1439">
        <v>151298.97999999998</v>
      </c>
      <c r="P1439">
        <v>421</v>
      </c>
      <c r="Q1439">
        <v>849</v>
      </c>
      <c r="T1439">
        <v>0</v>
      </c>
      <c r="U1439">
        <v>0</v>
      </c>
      <c r="V1439">
        <v>386</v>
      </c>
      <c r="W1439">
        <v>149486.22</v>
      </c>
      <c r="X1439">
        <v>386</v>
      </c>
      <c r="Y1439">
        <v>386</v>
      </c>
    </row>
    <row r="1440" spans="1:27" x14ac:dyDescent="0.25">
      <c r="A1440" t="s">
        <v>420</v>
      </c>
      <c r="B1440" t="s">
        <v>565</v>
      </c>
      <c r="C1440" t="s">
        <v>555</v>
      </c>
      <c r="D1440" t="s">
        <v>624</v>
      </c>
      <c r="E1440" t="s">
        <v>1484</v>
      </c>
      <c r="F1440" t="s">
        <v>571</v>
      </c>
      <c r="G1440" s="204"/>
      <c r="J1440">
        <v>50</v>
      </c>
      <c r="K1440">
        <v>24434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7" x14ac:dyDescent="0.25">
      <c r="A1441" t="s">
        <v>489</v>
      </c>
      <c r="B1441" t="s">
        <v>556</v>
      </c>
      <c r="C1441" t="s">
        <v>555</v>
      </c>
      <c r="D1441" t="s">
        <v>624</v>
      </c>
      <c r="E1441" t="s">
        <v>1269</v>
      </c>
      <c r="F1441" t="s">
        <v>571</v>
      </c>
      <c r="G1441" s="204"/>
      <c r="J1441">
        <v>258</v>
      </c>
      <c r="K1441">
        <v>70813.259999999995</v>
      </c>
      <c r="L1441">
        <v>2112</v>
      </c>
      <c r="M1441">
        <v>561211.20000000007</v>
      </c>
      <c r="N1441">
        <v>245</v>
      </c>
      <c r="O1441">
        <v>71537.55</v>
      </c>
      <c r="P1441">
        <v>245</v>
      </c>
      <c r="Q1441">
        <v>2357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7" x14ac:dyDescent="0.25">
      <c r="A1442" t="s">
        <v>709</v>
      </c>
      <c r="B1442" t="s">
        <v>562</v>
      </c>
      <c r="C1442" t="s">
        <v>555</v>
      </c>
      <c r="D1442" t="s">
        <v>624</v>
      </c>
      <c r="E1442" t="s">
        <v>1269</v>
      </c>
      <c r="F1442" t="s">
        <v>571</v>
      </c>
      <c r="G1442" s="204"/>
      <c r="L1442">
        <v>16</v>
      </c>
      <c r="M1442">
        <v>6640</v>
      </c>
      <c r="N1442">
        <v>0</v>
      </c>
      <c r="O1442">
        <v>0</v>
      </c>
      <c r="P1442">
        <v>0</v>
      </c>
      <c r="Q1442">
        <v>16</v>
      </c>
      <c r="R1442">
        <v>6640</v>
      </c>
      <c r="S1442">
        <v>415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7" x14ac:dyDescent="0.25">
      <c r="A1443" t="s">
        <v>1270</v>
      </c>
      <c r="B1443" t="s">
        <v>565</v>
      </c>
      <c r="C1443" t="s">
        <v>555</v>
      </c>
      <c r="D1443" t="s">
        <v>624</v>
      </c>
      <c r="E1443" t="s">
        <v>1269</v>
      </c>
      <c r="F1443" t="s">
        <v>571</v>
      </c>
      <c r="G1443" s="204"/>
      <c r="L1443">
        <v>2</v>
      </c>
      <c r="M1443">
        <v>2000</v>
      </c>
      <c r="N1443">
        <v>0</v>
      </c>
      <c r="O1443">
        <v>0</v>
      </c>
      <c r="P1443">
        <v>0</v>
      </c>
      <c r="Q1443">
        <v>2</v>
      </c>
      <c r="R1443">
        <v>2000</v>
      </c>
      <c r="S1443">
        <v>1000</v>
      </c>
      <c r="T1443">
        <v>0</v>
      </c>
      <c r="U1443">
        <v>0</v>
      </c>
      <c r="V1443">
        <v>48</v>
      </c>
      <c r="W1443">
        <v>48000</v>
      </c>
      <c r="X1443">
        <v>48</v>
      </c>
      <c r="Y1443">
        <v>48</v>
      </c>
    </row>
    <row r="1444" spans="1:27" x14ac:dyDescent="0.25">
      <c r="A1444" t="s">
        <v>1271</v>
      </c>
      <c r="B1444" t="s">
        <v>565</v>
      </c>
      <c r="C1444" t="s">
        <v>555</v>
      </c>
      <c r="D1444" t="s">
        <v>624</v>
      </c>
      <c r="E1444" t="s">
        <v>1269</v>
      </c>
      <c r="F1444" t="s">
        <v>571</v>
      </c>
      <c r="G1444" s="204"/>
      <c r="H1444">
        <v>23</v>
      </c>
      <c r="L1444">
        <v>22</v>
      </c>
      <c r="M1444">
        <v>12485</v>
      </c>
      <c r="N1444">
        <v>0</v>
      </c>
      <c r="O1444">
        <v>0</v>
      </c>
      <c r="P1444">
        <v>0</v>
      </c>
      <c r="Q1444">
        <v>22</v>
      </c>
      <c r="R1444">
        <v>12485</v>
      </c>
      <c r="S1444">
        <v>567.5</v>
      </c>
      <c r="T1444">
        <v>0</v>
      </c>
      <c r="U1444">
        <v>0</v>
      </c>
      <c r="V1444">
        <v>58</v>
      </c>
      <c r="W1444">
        <v>32915</v>
      </c>
      <c r="X1444">
        <v>58</v>
      </c>
      <c r="Y1444">
        <v>58</v>
      </c>
    </row>
    <row r="1445" spans="1:27" x14ac:dyDescent="0.25">
      <c r="A1445" t="s">
        <v>421</v>
      </c>
      <c r="B1445" t="s">
        <v>565</v>
      </c>
      <c r="C1445" t="s">
        <v>555</v>
      </c>
      <c r="D1445" t="s">
        <v>624</v>
      </c>
      <c r="E1445" t="s">
        <v>1269</v>
      </c>
      <c r="F1445" t="s">
        <v>571</v>
      </c>
      <c r="G1445" s="204"/>
      <c r="H1445">
        <v>4</v>
      </c>
      <c r="I1445">
        <v>2124</v>
      </c>
      <c r="L1445">
        <v>92</v>
      </c>
      <c r="M1445">
        <v>68115.520000000004</v>
      </c>
      <c r="N1445">
        <v>0</v>
      </c>
      <c r="O1445">
        <v>0</v>
      </c>
      <c r="P1445">
        <v>0</v>
      </c>
      <c r="Q1445">
        <v>92</v>
      </c>
      <c r="T1445">
        <v>0</v>
      </c>
      <c r="U1445">
        <v>0</v>
      </c>
      <c r="V1445">
        <v>88</v>
      </c>
      <c r="W1445">
        <v>67101.759999999995</v>
      </c>
      <c r="X1445">
        <v>88</v>
      </c>
      <c r="Y1445">
        <v>88</v>
      </c>
    </row>
    <row r="1446" spans="1:27" x14ac:dyDescent="0.25">
      <c r="A1446" t="s">
        <v>1652</v>
      </c>
      <c r="B1446" t="s">
        <v>556</v>
      </c>
      <c r="C1446" t="s">
        <v>555</v>
      </c>
      <c r="D1446" t="s">
        <v>624</v>
      </c>
      <c r="E1446" t="s">
        <v>1269</v>
      </c>
      <c r="F1446" t="s">
        <v>571</v>
      </c>
      <c r="G1446" s="204"/>
      <c r="H1446">
        <v>25</v>
      </c>
      <c r="I1446">
        <v>11937.5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7" x14ac:dyDescent="0.25">
      <c r="A1447" t="s">
        <v>422</v>
      </c>
      <c r="B1447" t="s">
        <v>565</v>
      </c>
      <c r="C1447" t="s">
        <v>555</v>
      </c>
      <c r="D1447" t="s">
        <v>620</v>
      </c>
      <c r="E1447" t="s">
        <v>1269</v>
      </c>
      <c r="F1447" t="s">
        <v>571</v>
      </c>
      <c r="G1447" s="204"/>
      <c r="J1447">
        <v>157</v>
      </c>
      <c r="K1447">
        <v>120596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7" x14ac:dyDescent="0.25">
      <c r="A1448" t="s">
        <v>422</v>
      </c>
      <c r="B1448" t="s">
        <v>565</v>
      </c>
      <c r="C1448" t="s">
        <v>555</v>
      </c>
      <c r="D1448" t="s">
        <v>620</v>
      </c>
      <c r="E1448" t="s">
        <v>1255</v>
      </c>
      <c r="F1448" t="s">
        <v>571</v>
      </c>
      <c r="G1448" s="204"/>
      <c r="L1448">
        <v>75</v>
      </c>
      <c r="M1448">
        <v>69075</v>
      </c>
      <c r="N1448">
        <v>0</v>
      </c>
      <c r="O1448">
        <v>0</v>
      </c>
      <c r="P1448">
        <v>0</v>
      </c>
      <c r="Q1448">
        <v>75</v>
      </c>
      <c r="R1448">
        <v>69075</v>
      </c>
      <c r="S1448">
        <v>921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7" x14ac:dyDescent="0.25">
      <c r="A1449" t="s">
        <v>511</v>
      </c>
      <c r="B1449" t="s">
        <v>565</v>
      </c>
      <c r="C1449" t="s">
        <v>555</v>
      </c>
      <c r="D1449" t="s">
        <v>684</v>
      </c>
      <c r="E1449" t="s">
        <v>1255</v>
      </c>
      <c r="F1449" t="s">
        <v>571</v>
      </c>
      <c r="G1449" s="204"/>
      <c r="H1449">
        <v>15</v>
      </c>
      <c r="I1449">
        <v>23940</v>
      </c>
      <c r="L1449">
        <v>18</v>
      </c>
      <c r="M1449">
        <v>26686.799999999999</v>
      </c>
      <c r="N1449">
        <v>0</v>
      </c>
      <c r="O1449">
        <v>0</v>
      </c>
      <c r="P1449">
        <v>0</v>
      </c>
      <c r="Q1449">
        <v>18</v>
      </c>
      <c r="T1449">
        <v>0</v>
      </c>
      <c r="U1449">
        <v>0</v>
      </c>
      <c r="V1449">
        <v>240</v>
      </c>
      <c r="W1449">
        <v>223036.79999999999</v>
      </c>
      <c r="X1449">
        <v>240</v>
      </c>
      <c r="Y1449">
        <v>240</v>
      </c>
    </row>
    <row r="1450" spans="1:27" x14ac:dyDescent="0.25">
      <c r="A1450" t="s">
        <v>511</v>
      </c>
      <c r="B1450" t="s">
        <v>565</v>
      </c>
      <c r="C1450" t="s">
        <v>555</v>
      </c>
      <c r="D1450" t="s">
        <v>684</v>
      </c>
      <c r="E1450" t="s">
        <v>1256</v>
      </c>
      <c r="F1450" t="s">
        <v>571</v>
      </c>
      <c r="G1450" s="204"/>
      <c r="L1450">
        <v>0</v>
      </c>
      <c r="M1450">
        <v>0</v>
      </c>
      <c r="N1450">
        <v>190</v>
      </c>
      <c r="O1450">
        <v>194343.4</v>
      </c>
      <c r="P1450">
        <v>190</v>
      </c>
      <c r="Q1450">
        <v>190</v>
      </c>
      <c r="R1450">
        <v>194343.4</v>
      </c>
      <c r="S1450">
        <v>1022.86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7" x14ac:dyDescent="0.25">
      <c r="A1451" t="s">
        <v>1653</v>
      </c>
      <c r="B1451" t="s">
        <v>554</v>
      </c>
      <c r="C1451" t="s">
        <v>555</v>
      </c>
      <c r="D1451" t="s">
        <v>620</v>
      </c>
      <c r="E1451" t="s">
        <v>1280</v>
      </c>
      <c r="F1451" t="s">
        <v>571</v>
      </c>
      <c r="G1451" s="204"/>
      <c r="J1451">
        <v>84</v>
      </c>
      <c r="K1451">
        <v>19158.72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7" x14ac:dyDescent="0.25">
      <c r="A1452" t="s">
        <v>423</v>
      </c>
      <c r="B1452" t="s">
        <v>565</v>
      </c>
      <c r="C1452" t="s">
        <v>555</v>
      </c>
      <c r="D1452" t="s">
        <v>620</v>
      </c>
      <c r="E1452" t="s">
        <v>1269</v>
      </c>
      <c r="F1452" t="s">
        <v>571</v>
      </c>
      <c r="G1452" s="204"/>
      <c r="L1452">
        <v>7</v>
      </c>
      <c r="M1452">
        <v>4900</v>
      </c>
      <c r="N1452">
        <v>0</v>
      </c>
      <c r="O1452">
        <v>0</v>
      </c>
      <c r="P1452">
        <v>0</v>
      </c>
      <c r="Q1452">
        <v>7</v>
      </c>
      <c r="R1452">
        <v>4900</v>
      </c>
      <c r="S1452">
        <v>700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7" x14ac:dyDescent="0.25">
      <c r="A1453" t="s">
        <v>1021</v>
      </c>
      <c r="B1453" t="s">
        <v>562</v>
      </c>
      <c r="C1453" t="s">
        <v>555</v>
      </c>
      <c r="D1453" t="s">
        <v>620</v>
      </c>
      <c r="E1453" t="s">
        <v>1269</v>
      </c>
      <c r="F1453" t="s">
        <v>571</v>
      </c>
      <c r="G1453" s="204"/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T1453">
        <v>0</v>
      </c>
      <c r="U1453">
        <v>0</v>
      </c>
      <c r="V1453">
        <v>25</v>
      </c>
      <c r="W1453">
        <v>50000</v>
      </c>
      <c r="X1453">
        <v>25</v>
      </c>
      <c r="Y1453">
        <v>25</v>
      </c>
      <c r="Z1453">
        <v>50000</v>
      </c>
      <c r="AA1453">
        <v>2000</v>
      </c>
    </row>
    <row r="1454" spans="1:27" x14ac:dyDescent="0.25">
      <c r="A1454" t="s">
        <v>1021</v>
      </c>
      <c r="B1454" t="s">
        <v>562</v>
      </c>
      <c r="C1454" t="s">
        <v>555</v>
      </c>
      <c r="D1454" t="s">
        <v>620</v>
      </c>
      <c r="E1454" t="s">
        <v>1373</v>
      </c>
      <c r="F1454" t="s">
        <v>571</v>
      </c>
      <c r="G1454" s="204"/>
      <c r="J1454">
        <v>12</v>
      </c>
      <c r="K1454">
        <v>3486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7" x14ac:dyDescent="0.25">
      <c r="A1455" t="s">
        <v>1654</v>
      </c>
      <c r="B1455" t="s">
        <v>565</v>
      </c>
      <c r="C1455" t="s">
        <v>555</v>
      </c>
      <c r="D1455" t="s">
        <v>620</v>
      </c>
      <c r="E1455" t="s">
        <v>1255</v>
      </c>
      <c r="F1455" t="s">
        <v>571</v>
      </c>
      <c r="G1455" s="204"/>
      <c r="J1455">
        <v>3</v>
      </c>
      <c r="K1455">
        <v>1500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7" x14ac:dyDescent="0.25">
      <c r="A1456" t="s">
        <v>1654</v>
      </c>
      <c r="B1456" t="s">
        <v>565</v>
      </c>
      <c r="C1456" t="s">
        <v>555</v>
      </c>
      <c r="D1456" t="s">
        <v>620</v>
      </c>
      <c r="E1456" t="s">
        <v>1699</v>
      </c>
      <c r="F1456" t="s">
        <v>571</v>
      </c>
      <c r="G1456" s="204"/>
      <c r="H1456">
        <v>27</v>
      </c>
      <c r="I1456">
        <v>6956.5499999999993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t="s">
        <v>509</v>
      </c>
      <c r="B1457" t="s">
        <v>565</v>
      </c>
      <c r="C1457" t="s">
        <v>555</v>
      </c>
      <c r="D1457" t="s">
        <v>620</v>
      </c>
      <c r="E1457" t="s">
        <v>1269</v>
      </c>
      <c r="F1457" t="s">
        <v>571</v>
      </c>
      <c r="G1457" s="204"/>
      <c r="J1457">
        <v>25</v>
      </c>
      <c r="K1457">
        <v>25000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t="s">
        <v>509</v>
      </c>
      <c r="B1458" t="s">
        <v>565</v>
      </c>
      <c r="C1458" t="s">
        <v>555</v>
      </c>
      <c r="D1458" t="s">
        <v>620</v>
      </c>
      <c r="E1458" t="s">
        <v>1806</v>
      </c>
      <c r="F1458" t="s">
        <v>571</v>
      </c>
      <c r="G1458" s="204"/>
      <c r="H1458">
        <v>9</v>
      </c>
      <c r="I1458">
        <v>4297.5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t="s">
        <v>509</v>
      </c>
      <c r="B1459" t="s">
        <v>565</v>
      </c>
      <c r="C1459" t="s">
        <v>555</v>
      </c>
      <c r="D1459" t="s">
        <v>620</v>
      </c>
      <c r="E1459" t="s">
        <v>1255</v>
      </c>
      <c r="F1459" t="s">
        <v>571</v>
      </c>
      <c r="G1459" s="204"/>
      <c r="J1459">
        <v>16</v>
      </c>
      <c r="K1459">
        <v>11200</v>
      </c>
      <c r="L1459">
        <v>32</v>
      </c>
      <c r="M1459">
        <v>22400</v>
      </c>
      <c r="N1459">
        <v>0</v>
      </c>
      <c r="O1459">
        <v>0</v>
      </c>
      <c r="P1459">
        <v>0</v>
      </c>
      <c r="Q1459">
        <v>32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t="s">
        <v>1655</v>
      </c>
      <c r="B1460" t="s">
        <v>565</v>
      </c>
      <c r="C1460" t="s">
        <v>555</v>
      </c>
      <c r="D1460" t="s">
        <v>620</v>
      </c>
      <c r="E1460" t="s">
        <v>1373</v>
      </c>
      <c r="F1460" t="s">
        <v>571</v>
      </c>
      <c r="G1460" s="204"/>
      <c r="J1460">
        <v>12</v>
      </c>
      <c r="K1460">
        <v>7800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t="s">
        <v>1656</v>
      </c>
      <c r="B1461" t="s">
        <v>554</v>
      </c>
      <c r="C1461" t="s">
        <v>555</v>
      </c>
      <c r="D1461" t="s">
        <v>620</v>
      </c>
      <c r="E1461" t="s">
        <v>1280</v>
      </c>
      <c r="F1461" t="s">
        <v>571</v>
      </c>
      <c r="G1461" s="204"/>
      <c r="J1461">
        <v>50</v>
      </c>
      <c r="K1461">
        <v>22198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t="s">
        <v>1657</v>
      </c>
      <c r="B1462" t="s">
        <v>565</v>
      </c>
      <c r="C1462" t="s">
        <v>555</v>
      </c>
      <c r="D1462" t="s">
        <v>620</v>
      </c>
      <c r="E1462" t="s">
        <v>1255</v>
      </c>
      <c r="F1462" t="s">
        <v>571</v>
      </c>
      <c r="G1462" s="204"/>
      <c r="H1462">
        <v>4</v>
      </c>
      <c r="I1462">
        <v>4800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t="s">
        <v>876</v>
      </c>
      <c r="B1463" t="s">
        <v>554</v>
      </c>
      <c r="C1463" t="s">
        <v>555</v>
      </c>
      <c r="D1463" t="s">
        <v>976</v>
      </c>
      <c r="E1463" t="s">
        <v>1254</v>
      </c>
      <c r="F1463" t="s">
        <v>571</v>
      </c>
      <c r="G1463" s="204"/>
      <c r="L1463">
        <v>0</v>
      </c>
      <c r="M1463">
        <v>0</v>
      </c>
      <c r="N1463">
        <v>24</v>
      </c>
      <c r="O1463">
        <v>50424</v>
      </c>
      <c r="P1463">
        <v>24</v>
      </c>
      <c r="Q1463">
        <v>24</v>
      </c>
      <c r="R1463">
        <v>50424</v>
      </c>
      <c r="S1463">
        <v>2101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t="s">
        <v>875</v>
      </c>
      <c r="C1464" t="s">
        <v>555</v>
      </c>
      <c r="D1464" t="s">
        <v>624</v>
      </c>
      <c r="E1464" t="s">
        <v>1232</v>
      </c>
      <c r="F1464" t="s">
        <v>571</v>
      </c>
      <c r="G1464" s="204"/>
      <c r="L1464">
        <v>0</v>
      </c>
      <c r="M1464">
        <v>0</v>
      </c>
      <c r="N1464">
        <v>45</v>
      </c>
      <c r="O1464">
        <v>52012.35</v>
      </c>
      <c r="P1464">
        <v>45</v>
      </c>
      <c r="Q1464">
        <v>45</v>
      </c>
      <c r="R1464">
        <v>52012.35</v>
      </c>
      <c r="S1464">
        <v>1155.83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t="s">
        <v>710</v>
      </c>
      <c r="B1465" t="s">
        <v>562</v>
      </c>
      <c r="C1465" t="s">
        <v>555</v>
      </c>
      <c r="D1465" t="s">
        <v>969</v>
      </c>
      <c r="E1465" t="s">
        <v>1434</v>
      </c>
      <c r="F1465" t="s">
        <v>571</v>
      </c>
      <c r="G1465" s="204"/>
      <c r="J1465">
        <v>2</v>
      </c>
      <c r="K1465">
        <v>13859.5</v>
      </c>
      <c r="L1465">
        <v>2</v>
      </c>
      <c r="M1465">
        <v>16883.900000000001</v>
      </c>
      <c r="N1465">
        <v>0</v>
      </c>
      <c r="O1465">
        <v>0</v>
      </c>
      <c r="P1465">
        <v>0</v>
      </c>
      <c r="Q1465">
        <v>2</v>
      </c>
      <c r="R1465">
        <v>16883.900000000001</v>
      </c>
      <c r="S1465">
        <v>8441.9500000000007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t="s">
        <v>874</v>
      </c>
      <c r="B1466" t="s">
        <v>554</v>
      </c>
      <c r="C1466" t="s">
        <v>555</v>
      </c>
      <c r="D1466" t="s">
        <v>975</v>
      </c>
      <c r="E1466" t="s">
        <v>1269</v>
      </c>
      <c r="F1466" t="s">
        <v>571</v>
      </c>
      <c r="G1466" s="204"/>
      <c r="L1466">
        <v>98</v>
      </c>
      <c r="M1466">
        <v>53521.72</v>
      </c>
      <c r="N1466">
        <v>0</v>
      </c>
      <c r="O1466">
        <v>0</v>
      </c>
      <c r="P1466">
        <v>0</v>
      </c>
      <c r="Q1466">
        <v>98</v>
      </c>
      <c r="R1466">
        <v>53521.72</v>
      </c>
      <c r="S1466">
        <v>546.14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t="s">
        <v>878</v>
      </c>
      <c r="B1467" t="s">
        <v>554</v>
      </c>
      <c r="C1467" t="s">
        <v>555</v>
      </c>
      <c r="D1467" t="s">
        <v>624</v>
      </c>
      <c r="E1467" t="s">
        <v>1269</v>
      </c>
      <c r="F1467" t="s">
        <v>571</v>
      </c>
      <c r="G1467" s="204"/>
      <c r="L1467">
        <v>0</v>
      </c>
      <c r="M1467">
        <v>0</v>
      </c>
      <c r="N1467">
        <v>60</v>
      </c>
      <c r="O1467">
        <v>43155.600000000006</v>
      </c>
      <c r="P1467">
        <v>60</v>
      </c>
      <c r="Q1467">
        <v>60</v>
      </c>
      <c r="R1467">
        <v>43155.600000000006</v>
      </c>
      <c r="S1467">
        <v>719.2600000000001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t="s">
        <v>914</v>
      </c>
      <c r="B1468" t="s">
        <v>562</v>
      </c>
      <c r="C1468" t="s">
        <v>569</v>
      </c>
      <c r="D1468" t="s">
        <v>983</v>
      </c>
      <c r="E1468" t="s">
        <v>1147</v>
      </c>
      <c r="F1468" t="s">
        <v>571</v>
      </c>
      <c r="G1468" s="204"/>
      <c r="L1468">
        <v>15</v>
      </c>
      <c r="M1468">
        <v>2550</v>
      </c>
      <c r="N1468">
        <v>0</v>
      </c>
      <c r="O1468">
        <v>0</v>
      </c>
      <c r="P1468">
        <v>0</v>
      </c>
      <c r="Q1468">
        <v>15</v>
      </c>
      <c r="R1468">
        <v>2550</v>
      </c>
      <c r="S1468">
        <v>170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t="s">
        <v>1658</v>
      </c>
      <c r="B1469" t="s">
        <v>562</v>
      </c>
      <c r="C1469" t="s">
        <v>1860</v>
      </c>
      <c r="D1469" t="s">
        <v>1886</v>
      </c>
      <c r="E1469" t="s">
        <v>1402</v>
      </c>
      <c r="F1469" t="s">
        <v>571</v>
      </c>
      <c r="G1469" s="204"/>
      <c r="H1469">
        <v>50</v>
      </c>
      <c r="I1469">
        <v>2550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t="s">
        <v>498</v>
      </c>
      <c r="B1470" t="s">
        <v>562</v>
      </c>
      <c r="C1470" t="s">
        <v>1860</v>
      </c>
      <c r="D1470" t="s">
        <v>681</v>
      </c>
      <c r="E1470" t="s">
        <v>1400</v>
      </c>
      <c r="F1470" t="s">
        <v>571</v>
      </c>
      <c r="G1470" s="204"/>
      <c r="H1470">
        <v>12</v>
      </c>
      <c r="I1470">
        <v>3948</v>
      </c>
      <c r="L1470">
        <v>150</v>
      </c>
      <c r="M1470">
        <v>69781.5</v>
      </c>
      <c r="N1470">
        <v>0</v>
      </c>
      <c r="O1470">
        <v>0</v>
      </c>
      <c r="P1470">
        <v>0</v>
      </c>
      <c r="Q1470">
        <v>150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t="s">
        <v>468</v>
      </c>
      <c r="B1471" t="s">
        <v>562</v>
      </c>
      <c r="C1471" t="s">
        <v>569</v>
      </c>
      <c r="D1471" t="s">
        <v>677</v>
      </c>
      <c r="E1471" t="s">
        <v>1280</v>
      </c>
      <c r="F1471" t="s">
        <v>571</v>
      </c>
      <c r="G1471" s="204"/>
      <c r="H1471">
        <v>1430</v>
      </c>
      <c r="I1471">
        <v>265330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t="s">
        <v>468</v>
      </c>
      <c r="B1472" t="s">
        <v>562</v>
      </c>
      <c r="C1472" t="s">
        <v>569</v>
      </c>
      <c r="D1472" t="s">
        <v>677</v>
      </c>
      <c r="E1472" t="s">
        <v>1343</v>
      </c>
      <c r="F1472" t="s">
        <v>571</v>
      </c>
      <c r="G1472" s="204"/>
      <c r="J1472">
        <v>39</v>
      </c>
      <c r="K1472">
        <v>10466.4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7" x14ac:dyDescent="0.25">
      <c r="A1473" t="s">
        <v>283</v>
      </c>
      <c r="B1473" t="s">
        <v>562</v>
      </c>
      <c r="C1473" t="s">
        <v>1860</v>
      </c>
      <c r="D1473" t="s">
        <v>623</v>
      </c>
      <c r="E1473" t="s">
        <v>1179</v>
      </c>
      <c r="F1473" t="s">
        <v>571</v>
      </c>
      <c r="G1473" s="204"/>
      <c r="J1473">
        <v>12</v>
      </c>
      <c r="K1473">
        <v>58939.439999999995</v>
      </c>
      <c r="L1473">
        <v>10</v>
      </c>
      <c r="M1473">
        <v>50147.65</v>
      </c>
      <c r="N1473">
        <v>6</v>
      </c>
      <c r="O1473">
        <v>30353.82</v>
      </c>
      <c r="P1473">
        <v>6</v>
      </c>
      <c r="Q1473">
        <v>16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7" x14ac:dyDescent="0.25">
      <c r="A1474" t="s">
        <v>283</v>
      </c>
      <c r="B1474" t="s">
        <v>562</v>
      </c>
      <c r="C1474" t="s">
        <v>1860</v>
      </c>
      <c r="D1474" t="s">
        <v>623</v>
      </c>
      <c r="E1474" t="s">
        <v>1203</v>
      </c>
      <c r="F1474" t="s">
        <v>571</v>
      </c>
      <c r="G1474" s="204"/>
      <c r="H1474">
        <v>9</v>
      </c>
      <c r="I1474">
        <v>41679.18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7" x14ac:dyDescent="0.25">
      <c r="A1475" t="s">
        <v>283</v>
      </c>
      <c r="B1475" t="s">
        <v>562</v>
      </c>
      <c r="C1475" t="s">
        <v>1860</v>
      </c>
      <c r="D1475" t="s">
        <v>623</v>
      </c>
      <c r="E1475" t="s">
        <v>1173</v>
      </c>
      <c r="F1475" t="s">
        <v>571</v>
      </c>
      <c r="G1475" s="204"/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T1475">
        <v>0</v>
      </c>
      <c r="U1475">
        <v>0</v>
      </c>
      <c r="V1475">
        <v>12</v>
      </c>
      <c r="W1475">
        <v>72837.48</v>
      </c>
      <c r="X1475">
        <v>12</v>
      </c>
      <c r="Y1475">
        <v>12</v>
      </c>
      <c r="Z1475">
        <v>72837.48</v>
      </c>
      <c r="AA1475">
        <v>6069.79</v>
      </c>
    </row>
    <row r="1476" spans="1:27" x14ac:dyDescent="0.25">
      <c r="A1476" t="s">
        <v>373</v>
      </c>
      <c r="B1476" t="s">
        <v>562</v>
      </c>
      <c r="C1476" t="s">
        <v>1858</v>
      </c>
      <c r="D1476" t="s">
        <v>584</v>
      </c>
      <c r="E1476" t="s">
        <v>1343</v>
      </c>
      <c r="F1476" t="s">
        <v>571</v>
      </c>
      <c r="G1476" s="204"/>
      <c r="J1476">
        <v>123</v>
      </c>
      <c r="K1476">
        <v>20512.8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7" x14ac:dyDescent="0.25">
      <c r="A1477" t="s">
        <v>373</v>
      </c>
      <c r="B1477" t="s">
        <v>562</v>
      </c>
      <c r="C1477" t="s">
        <v>1858</v>
      </c>
      <c r="D1477" t="s">
        <v>584</v>
      </c>
      <c r="E1477" t="s">
        <v>1244</v>
      </c>
      <c r="F1477" t="s">
        <v>571</v>
      </c>
      <c r="G1477" s="204"/>
      <c r="L1477">
        <v>752</v>
      </c>
      <c r="M1477">
        <v>69274.239999999991</v>
      </c>
      <c r="N1477">
        <v>0</v>
      </c>
      <c r="O1477">
        <v>0</v>
      </c>
      <c r="P1477">
        <v>0</v>
      </c>
      <c r="Q1477">
        <v>752</v>
      </c>
      <c r="R1477">
        <v>69274.239999999991</v>
      </c>
      <c r="S1477">
        <v>92.11999999999999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7" x14ac:dyDescent="0.25">
      <c r="A1478" t="s">
        <v>373</v>
      </c>
      <c r="B1478" t="s">
        <v>562</v>
      </c>
      <c r="C1478" t="s">
        <v>1858</v>
      </c>
      <c r="D1478" t="s">
        <v>584</v>
      </c>
      <c r="E1478" t="s">
        <v>1194</v>
      </c>
      <c r="F1478" t="s">
        <v>571</v>
      </c>
      <c r="G1478" s="204"/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T1478">
        <v>0</v>
      </c>
      <c r="U1478">
        <v>0</v>
      </c>
      <c r="V1478">
        <v>50</v>
      </c>
      <c r="W1478">
        <v>12532.5</v>
      </c>
      <c r="X1478">
        <v>50</v>
      </c>
      <c r="Y1478">
        <v>50</v>
      </c>
      <c r="Z1478">
        <v>12532.5</v>
      </c>
      <c r="AA1478">
        <v>250.65</v>
      </c>
    </row>
    <row r="1479" spans="1:27" x14ac:dyDescent="0.25">
      <c r="A1479" t="s">
        <v>267</v>
      </c>
      <c r="B1479" t="s">
        <v>562</v>
      </c>
      <c r="C1479" t="s">
        <v>1858</v>
      </c>
      <c r="D1479" t="s">
        <v>627</v>
      </c>
      <c r="E1479" t="s">
        <v>1188</v>
      </c>
      <c r="F1479" t="s">
        <v>571</v>
      </c>
      <c r="G1479" s="204"/>
      <c r="L1479">
        <v>750</v>
      </c>
      <c r="M1479">
        <v>90975</v>
      </c>
      <c r="N1479">
        <v>0</v>
      </c>
      <c r="O1479">
        <v>0</v>
      </c>
      <c r="P1479">
        <v>0</v>
      </c>
      <c r="Q1479">
        <v>750</v>
      </c>
      <c r="R1479">
        <v>90975</v>
      </c>
      <c r="S1479">
        <v>121.3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7" x14ac:dyDescent="0.25">
      <c r="A1480" t="s">
        <v>374</v>
      </c>
      <c r="B1480" t="s">
        <v>565</v>
      </c>
      <c r="C1480" t="s">
        <v>1858</v>
      </c>
      <c r="D1480" t="s">
        <v>628</v>
      </c>
      <c r="E1480" t="s">
        <v>1181</v>
      </c>
      <c r="F1480" t="s">
        <v>571</v>
      </c>
      <c r="G1480" s="204"/>
      <c r="J1480">
        <v>218</v>
      </c>
      <c r="K1480">
        <v>36537.86</v>
      </c>
      <c r="L1480">
        <v>404</v>
      </c>
      <c r="M1480">
        <v>84173.4</v>
      </c>
      <c r="N1480">
        <v>0</v>
      </c>
      <c r="O1480">
        <v>0</v>
      </c>
      <c r="P1480">
        <v>0</v>
      </c>
      <c r="Q1480">
        <v>404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7" x14ac:dyDescent="0.25">
      <c r="A1481" t="s">
        <v>1659</v>
      </c>
      <c r="B1481" t="s">
        <v>562</v>
      </c>
      <c r="C1481" t="s">
        <v>1860</v>
      </c>
      <c r="D1481" t="s">
        <v>611</v>
      </c>
      <c r="E1481" t="s">
        <v>1745</v>
      </c>
      <c r="F1481" t="s">
        <v>571</v>
      </c>
      <c r="G1481" s="204"/>
      <c r="J1481">
        <v>3</v>
      </c>
      <c r="K1481">
        <v>10500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7" x14ac:dyDescent="0.25">
      <c r="A1482" t="s">
        <v>284</v>
      </c>
      <c r="B1482" t="s">
        <v>562</v>
      </c>
      <c r="C1482" t="s">
        <v>1860</v>
      </c>
      <c r="D1482" t="s">
        <v>611</v>
      </c>
      <c r="E1482" t="s">
        <v>1331</v>
      </c>
      <c r="F1482" t="s">
        <v>571</v>
      </c>
      <c r="G1482" s="204"/>
      <c r="L1482">
        <v>50</v>
      </c>
      <c r="M1482">
        <v>249750</v>
      </c>
      <c r="N1482">
        <v>0</v>
      </c>
      <c r="O1482">
        <v>0</v>
      </c>
      <c r="P1482">
        <v>0</v>
      </c>
      <c r="Q1482">
        <v>50</v>
      </c>
      <c r="R1482">
        <v>249750</v>
      </c>
      <c r="S1482">
        <v>4995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7" x14ac:dyDescent="0.25">
      <c r="A1483" t="s">
        <v>1660</v>
      </c>
      <c r="B1483" t="s">
        <v>562</v>
      </c>
      <c r="C1483" t="s">
        <v>1860</v>
      </c>
      <c r="D1483" t="s">
        <v>586</v>
      </c>
      <c r="E1483" t="s">
        <v>1807</v>
      </c>
      <c r="F1483" t="s">
        <v>571</v>
      </c>
      <c r="G1483" s="204"/>
      <c r="H1483">
        <v>1</v>
      </c>
      <c r="I1483">
        <v>2000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7" x14ac:dyDescent="0.25">
      <c r="A1484" t="s">
        <v>1661</v>
      </c>
      <c r="B1484" t="s">
        <v>562</v>
      </c>
      <c r="C1484" t="s">
        <v>1858</v>
      </c>
      <c r="D1484" t="s">
        <v>584</v>
      </c>
      <c r="E1484" t="s">
        <v>1186</v>
      </c>
      <c r="F1484" t="s">
        <v>571</v>
      </c>
      <c r="G1484" s="204"/>
      <c r="H1484">
        <v>6</v>
      </c>
      <c r="I1484">
        <v>1254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7" x14ac:dyDescent="0.25">
      <c r="A1485" t="s">
        <v>1662</v>
      </c>
      <c r="B1485" t="s">
        <v>562</v>
      </c>
      <c r="C1485" t="s">
        <v>1858</v>
      </c>
      <c r="D1485" t="s">
        <v>584</v>
      </c>
      <c r="E1485" t="s">
        <v>1186</v>
      </c>
      <c r="F1485" t="s">
        <v>571</v>
      </c>
      <c r="G1485" s="204"/>
      <c r="H1485">
        <v>6</v>
      </c>
      <c r="I1485">
        <v>1254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7" x14ac:dyDescent="0.25">
      <c r="A1486" t="s">
        <v>268</v>
      </c>
      <c r="B1486" t="s">
        <v>562</v>
      </c>
      <c r="C1486" t="s">
        <v>1858</v>
      </c>
      <c r="D1486" t="s">
        <v>644</v>
      </c>
      <c r="E1486" t="s">
        <v>1180</v>
      </c>
      <c r="F1486" t="s">
        <v>571</v>
      </c>
      <c r="G1486" s="204"/>
      <c r="L1486">
        <v>0</v>
      </c>
      <c r="M1486">
        <v>0</v>
      </c>
      <c r="N1486">
        <v>149</v>
      </c>
      <c r="O1486">
        <v>42238.52</v>
      </c>
      <c r="P1486">
        <v>149</v>
      </c>
      <c r="Q1486">
        <v>149</v>
      </c>
      <c r="R1486">
        <v>42238.52</v>
      </c>
      <c r="S1486">
        <v>283.47999999999996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7" x14ac:dyDescent="0.25">
      <c r="A1487" t="s">
        <v>268</v>
      </c>
      <c r="B1487" t="s">
        <v>562</v>
      </c>
      <c r="C1487" t="s">
        <v>1858</v>
      </c>
      <c r="D1487" t="s">
        <v>644</v>
      </c>
      <c r="E1487" t="s">
        <v>1399</v>
      </c>
      <c r="F1487" t="s">
        <v>571</v>
      </c>
      <c r="G1487" s="204"/>
      <c r="L1487">
        <v>1</v>
      </c>
      <c r="M1487">
        <v>283.48</v>
      </c>
      <c r="N1487">
        <v>0</v>
      </c>
      <c r="O1487">
        <v>0</v>
      </c>
      <c r="P1487">
        <v>0</v>
      </c>
      <c r="Q1487">
        <v>1</v>
      </c>
      <c r="R1487">
        <v>283.48</v>
      </c>
      <c r="S1487">
        <v>283.48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7" x14ac:dyDescent="0.25">
      <c r="A1488" t="s">
        <v>473</v>
      </c>
      <c r="B1488" t="s">
        <v>562</v>
      </c>
      <c r="C1488" t="s">
        <v>1858</v>
      </c>
      <c r="D1488" t="s">
        <v>584</v>
      </c>
      <c r="E1488" t="s">
        <v>1808</v>
      </c>
      <c r="F1488" t="s">
        <v>571</v>
      </c>
      <c r="G1488" s="204"/>
      <c r="H1488">
        <v>50</v>
      </c>
      <c r="I1488">
        <v>30112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7" x14ac:dyDescent="0.25">
      <c r="A1489" t="s">
        <v>320</v>
      </c>
      <c r="B1489" t="s">
        <v>562</v>
      </c>
      <c r="C1489" t="s">
        <v>1859</v>
      </c>
      <c r="D1489" t="s">
        <v>668</v>
      </c>
      <c r="E1489" t="s">
        <v>1221</v>
      </c>
      <c r="F1489" t="s">
        <v>571</v>
      </c>
      <c r="G1489" s="204"/>
      <c r="H1489">
        <v>40</v>
      </c>
      <c r="I1489">
        <v>15646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7" x14ac:dyDescent="0.25">
      <c r="A1490" t="s">
        <v>320</v>
      </c>
      <c r="B1490" t="s">
        <v>562</v>
      </c>
      <c r="C1490" t="s">
        <v>1859</v>
      </c>
      <c r="D1490" t="s">
        <v>668</v>
      </c>
      <c r="E1490" t="s">
        <v>1167</v>
      </c>
      <c r="F1490" t="s">
        <v>571</v>
      </c>
      <c r="G1490" s="204"/>
      <c r="L1490">
        <v>42</v>
      </c>
      <c r="M1490">
        <v>14306.04</v>
      </c>
      <c r="N1490">
        <v>0</v>
      </c>
      <c r="O1490">
        <v>0</v>
      </c>
      <c r="P1490">
        <v>0</v>
      </c>
      <c r="Q1490">
        <v>42</v>
      </c>
      <c r="R1490">
        <v>14306.04</v>
      </c>
      <c r="S1490">
        <v>340.62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7" x14ac:dyDescent="0.25">
      <c r="A1491" t="s">
        <v>321</v>
      </c>
      <c r="B1491" t="s">
        <v>556</v>
      </c>
      <c r="C1491" t="s">
        <v>1859</v>
      </c>
      <c r="D1491" t="s">
        <v>581</v>
      </c>
      <c r="E1491" t="s">
        <v>1346</v>
      </c>
      <c r="F1491" t="s">
        <v>571</v>
      </c>
      <c r="G1491" s="204"/>
      <c r="L1491">
        <v>112</v>
      </c>
      <c r="M1491">
        <v>54740</v>
      </c>
      <c r="N1491">
        <v>0</v>
      </c>
      <c r="O1491">
        <v>0</v>
      </c>
      <c r="P1491">
        <v>0</v>
      </c>
      <c r="Q1491">
        <v>112</v>
      </c>
      <c r="R1491">
        <v>54740</v>
      </c>
      <c r="S1491">
        <v>488.75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7" x14ac:dyDescent="0.25">
      <c r="A1492" t="s">
        <v>321</v>
      </c>
      <c r="B1492" t="s">
        <v>556</v>
      </c>
      <c r="C1492" t="s">
        <v>1859</v>
      </c>
      <c r="D1492" t="s">
        <v>581</v>
      </c>
      <c r="E1492" t="s">
        <v>1169</v>
      </c>
      <c r="F1492" t="s">
        <v>578</v>
      </c>
      <c r="G1492" s="204">
        <v>46022</v>
      </c>
      <c r="J1492">
        <v>27</v>
      </c>
      <c r="K1492">
        <v>13196.25</v>
      </c>
      <c r="L1492">
        <v>35</v>
      </c>
      <c r="M1492">
        <v>17106.25</v>
      </c>
      <c r="N1492">
        <v>34</v>
      </c>
      <c r="O1492">
        <v>16617.5</v>
      </c>
      <c r="P1492">
        <v>34</v>
      </c>
      <c r="Q1492">
        <v>69</v>
      </c>
      <c r="T1492">
        <v>0</v>
      </c>
      <c r="U1492">
        <v>0</v>
      </c>
      <c r="V1492">
        <v>608</v>
      </c>
      <c r="W1492">
        <v>297160</v>
      </c>
      <c r="X1492">
        <v>608</v>
      </c>
      <c r="Y1492">
        <v>608</v>
      </c>
    </row>
    <row r="1493" spans="1:27" x14ac:dyDescent="0.25">
      <c r="A1493" t="s">
        <v>1663</v>
      </c>
      <c r="B1493" t="s">
        <v>562</v>
      </c>
      <c r="C1493" t="s">
        <v>564</v>
      </c>
      <c r="D1493" t="s">
        <v>682</v>
      </c>
      <c r="E1493" t="s">
        <v>1252</v>
      </c>
      <c r="F1493" t="s">
        <v>571</v>
      </c>
      <c r="G1493" s="204"/>
      <c r="H1493">
        <v>100</v>
      </c>
      <c r="I1493">
        <v>15021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7" x14ac:dyDescent="0.25">
      <c r="A1494" t="s">
        <v>322</v>
      </c>
      <c r="B1494" t="s">
        <v>556</v>
      </c>
      <c r="C1494" t="s">
        <v>1859</v>
      </c>
      <c r="D1494" t="s">
        <v>610</v>
      </c>
      <c r="E1494" t="s">
        <v>1169</v>
      </c>
      <c r="F1494" t="s">
        <v>578</v>
      </c>
      <c r="G1494" s="204">
        <v>46022</v>
      </c>
      <c r="L1494">
        <v>131</v>
      </c>
      <c r="M1494">
        <v>20357.400000000001</v>
      </c>
      <c r="N1494">
        <v>0</v>
      </c>
      <c r="O1494">
        <v>0</v>
      </c>
      <c r="P1494">
        <v>0</v>
      </c>
      <c r="Q1494">
        <v>131</v>
      </c>
      <c r="R1494">
        <v>20357.400000000001</v>
      </c>
      <c r="S1494">
        <v>155.4</v>
      </c>
      <c r="T1494">
        <v>0</v>
      </c>
      <c r="U1494">
        <v>0</v>
      </c>
      <c r="V1494">
        <v>619</v>
      </c>
      <c r="W1494">
        <v>96192.6</v>
      </c>
      <c r="X1494">
        <v>619</v>
      </c>
      <c r="Y1494">
        <v>619</v>
      </c>
    </row>
    <row r="1495" spans="1:27" x14ac:dyDescent="0.25">
      <c r="A1495" t="s">
        <v>322</v>
      </c>
      <c r="B1495" t="s">
        <v>556</v>
      </c>
      <c r="C1495" t="s">
        <v>1859</v>
      </c>
      <c r="D1495" t="s">
        <v>610</v>
      </c>
      <c r="E1495" t="s">
        <v>1111</v>
      </c>
      <c r="F1495" t="s">
        <v>571</v>
      </c>
      <c r="G1495" s="204"/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T1495">
        <v>0</v>
      </c>
      <c r="U1495">
        <v>0</v>
      </c>
      <c r="V1495">
        <v>1992</v>
      </c>
      <c r="W1495">
        <v>0.16</v>
      </c>
      <c r="X1495">
        <v>0</v>
      </c>
      <c r="Y1495">
        <v>0</v>
      </c>
      <c r="Z1495">
        <v>0.16</v>
      </c>
    </row>
    <row r="1496" spans="1:27" x14ac:dyDescent="0.25">
      <c r="A1496" t="s">
        <v>465</v>
      </c>
      <c r="B1496" t="s">
        <v>556</v>
      </c>
      <c r="C1496" t="s">
        <v>1859</v>
      </c>
      <c r="D1496" t="s">
        <v>610</v>
      </c>
      <c r="E1496" t="s">
        <v>1173</v>
      </c>
      <c r="F1496" t="s">
        <v>571</v>
      </c>
      <c r="G1496" s="204"/>
      <c r="L1496">
        <v>1107</v>
      </c>
      <c r="M1496">
        <v>208425.96000000002</v>
      </c>
      <c r="N1496">
        <v>0</v>
      </c>
      <c r="O1496">
        <v>0</v>
      </c>
      <c r="P1496">
        <v>0</v>
      </c>
      <c r="Q1496">
        <v>1107</v>
      </c>
      <c r="R1496">
        <v>208425.96000000002</v>
      </c>
      <c r="S1496">
        <v>188.28000000000003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7" x14ac:dyDescent="0.25">
      <c r="A1497" t="s">
        <v>142</v>
      </c>
      <c r="B1497" t="s">
        <v>565</v>
      </c>
      <c r="C1497" t="s">
        <v>1859</v>
      </c>
      <c r="D1497" t="s">
        <v>601</v>
      </c>
      <c r="E1497" t="s">
        <v>1167</v>
      </c>
      <c r="F1497" t="s">
        <v>571</v>
      </c>
      <c r="G1497" s="204"/>
      <c r="L1497">
        <v>107</v>
      </c>
      <c r="M1497">
        <v>7614.119999999999</v>
      </c>
      <c r="N1497">
        <v>94</v>
      </c>
      <c r="O1497">
        <v>6689.04</v>
      </c>
      <c r="P1497">
        <v>94</v>
      </c>
      <c r="Q1497">
        <v>201</v>
      </c>
      <c r="R1497">
        <v>14303.16</v>
      </c>
      <c r="S1497">
        <v>71.16</v>
      </c>
      <c r="T1497">
        <v>0</v>
      </c>
      <c r="U1497">
        <v>0</v>
      </c>
      <c r="V1497">
        <v>218</v>
      </c>
      <c r="W1497">
        <v>15512.88</v>
      </c>
      <c r="X1497">
        <v>218</v>
      </c>
      <c r="Y1497">
        <v>218</v>
      </c>
    </row>
    <row r="1498" spans="1:27" x14ac:dyDescent="0.25">
      <c r="A1498" t="s">
        <v>492</v>
      </c>
      <c r="B1498" t="s">
        <v>565</v>
      </c>
      <c r="C1498" t="s">
        <v>564</v>
      </c>
      <c r="D1498" t="s">
        <v>675</v>
      </c>
      <c r="E1498" t="s">
        <v>1252</v>
      </c>
      <c r="F1498" t="s">
        <v>571</v>
      </c>
      <c r="G1498" s="204"/>
      <c r="L1498">
        <v>0</v>
      </c>
      <c r="M1498">
        <v>0</v>
      </c>
      <c r="N1498">
        <v>190</v>
      </c>
      <c r="O1498">
        <v>16516.7</v>
      </c>
      <c r="P1498">
        <v>190</v>
      </c>
      <c r="Q1498">
        <v>190</v>
      </c>
      <c r="R1498">
        <v>16516.7</v>
      </c>
      <c r="S1498">
        <v>86.93</v>
      </c>
      <c r="T1498">
        <v>0</v>
      </c>
      <c r="U1498">
        <v>0</v>
      </c>
      <c r="V1498">
        <v>202</v>
      </c>
      <c r="W1498">
        <v>17559.86</v>
      </c>
      <c r="X1498">
        <v>202</v>
      </c>
      <c r="Y1498">
        <v>202</v>
      </c>
    </row>
    <row r="1499" spans="1:27" x14ac:dyDescent="0.25">
      <c r="A1499" t="s">
        <v>487</v>
      </c>
      <c r="B1499" t="s">
        <v>565</v>
      </c>
      <c r="C1499" t="s">
        <v>564</v>
      </c>
      <c r="D1499" t="s">
        <v>675</v>
      </c>
      <c r="E1499" t="s">
        <v>1252</v>
      </c>
      <c r="F1499" t="s">
        <v>571</v>
      </c>
      <c r="G1499" s="204"/>
      <c r="L1499">
        <v>0</v>
      </c>
      <c r="M1499">
        <v>0</v>
      </c>
      <c r="N1499">
        <v>280</v>
      </c>
      <c r="O1499">
        <v>24956.400000000001</v>
      </c>
      <c r="P1499">
        <v>280</v>
      </c>
      <c r="Q1499">
        <v>280</v>
      </c>
      <c r="T1499">
        <v>0</v>
      </c>
      <c r="U1499">
        <v>0</v>
      </c>
      <c r="V1499">
        <v>260</v>
      </c>
      <c r="W1499">
        <v>23173.8</v>
      </c>
      <c r="X1499">
        <v>260</v>
      </c>
      <c r="Y1499">
        <v>260</v>
      </c>
      <c r="Z1499">
        <v>23173.8</v>
      </c>
      <c r="AA1499">
        <v>89.13</v>
      </c>
    </row>
    <row r="1500" spans="1:27" x14ac:dyDescent="0.25">
      <c r="A1500" t="s">
        <v>1664</v>
      </c>
      <c r="B1500" t="s">
        <v>562</v>
      </c>
      <c r="C1500" t="s">
        <v>564</v>
      </c>
      <c r="D1500" t="s">
        <v>682</v>
      </c>
      <c r="E1500" t="s">
        <v>1252</v>
      </c>
      <c r="F1500" t="s">
        <v>571</v>
      </c>
      <c r="G1500" s="204"/>
      <c r="H1500">
        <v>98</v>
      </c>
      <c r="I1500">
        <v>15652.56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7" x14ac:dyDescent="0.25">
      <c r="A1501" t="s">
        <v>486</v>
      </c>
      <c r="B1501" t="s">
        <v>556</v>
      </c>
      <c r="C1501" t="s">
        <v>564</v>
      </c>
      <c r="D1501" t="s">
        <v>675</v>
      </c>
      <c r="E1501" t="s">
        <v>1252</v>
      </c>
      <c r="F1501" t="s">
        <v>571</v>
      </c>
      <c r="G1501" s="204"/>
      <c r="L1501">
        <v>0</v>
      </c>
      <c r="M1501">
        <v>0</v>
      </c>
      <c r="N1501">
        <v>220</v>
      </c>
      <c r="O1501">
        <v>22444.400000000001</v>
      </c>
      <c r="P1501">
        <v>220</v>
      </c>
      <c r="Q1501">
        <v>220</v>
      </c>
      <c r="T1501">
        <v>0</v>
      </c>
      <c r="U1501">
        <v>0</v>
      </c>
      <c r="V1501">
        <v>195</v>
      </c>
      <c r="W1501">
        <v>19893.900000000001</v>
      </c>
      <c r="X1501">
        <v>195</v>
      </c>
      <c r="Y1501">
        <v>195</v>
      </c>
      <c r="Z1501">
        <v>19893.900000000001</v>
      </c>
      <c r="AA1501">
        <v>102.02000000000001</v>
      </c>
    </row>
    <row r="1502" spans="1:27" x14ac:dyDescent="0.25">
      <c r="A1502" t="s">
        <v>503</v>
      </c>
      <c r="B1502" t="s">
        <v>556</v>
      </c>
      <c r="C1502" t="s">
        <v>564</v>
      </c>
      <c r="D1502" t="s">
        <v>675</v>
      </c>
      <c r="E1502" t="s">
        <v>1252</v>
      </c>
      <c r="F1502" t="s">
        <v>571</v>
      </c>
      <c r="G1502" s="204"/>
      <c r="L1502">
        <v>0</v>
      </c>
      <c r="M1502">
        <v>0</v>
      </c>
      <c r="N1502">
        <v>109</v>
      </c>
      <c r="O1502">
        <v>12357.33</v>
      </c>
      <c r="P1502">
        <v>109</v>
      </c>
      <c r="Q1502">
        <v>109</v>
      </c>
      <c r="R1502">
        <v>12357.33</v>
      </c>
      <c r="S1502">
        <v>113.37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7" x14ac:dyDescent="0.25">
      <c r="A1503" t="s">
        <v>323</v>
      </c>
      <c r="B1503" t="s">
        <v>556</v>
      </c>
      <c r="C1503" t="s">
        <v>1859</v>
      </c>
      <c r="D1503" t="s">
        <v>581</v>
      </c>
      <c r="E1503" t="s">
        <v>1265</v>
      </c>
      <c r="F1503" t="s">
        <v>571</v>
      </c>
      <c r="G1503" s="204"/>
      <c r="H1503">
        <v>6375</v>
      </c>
      <c r="I1503">
        <v>246131.04</v>
      </c>
      <c r="L1503">
        <v>17271</v>
      </c>
      <c r="M1503">
        <v>805168.3</v>
      </c>
      <c r="N1503">
        <v>5700</v>
      </c>
      <c r="O1503">
        <v>265734</v>
      </c>
      <c r="P1503">
        <v>5700</v>
      </c>
      <c r="Q1503">
        <v>22971</v>
      </c>
      <c r="T1503">
        <v>0</v>
      </c>
      <c r="U1503">
        <v>0</v>
      </c>
      <c r="V1503">
        <v>23700</v>
      </c>
      <c r="W1503">
        <v>1104894</v>
      </c>
      <c r="X1503">
        <v>23700</v>
      </c>
      <c r="Y1503">
        <v>23700</v>
      </c>
    </row>
    <row r="1504" spans="1:27" x14ac:dyDescent="0.25">
      <c r="A1504" t="s">
        <v>893</v>
      </c>
      <c r="C1504" t="s">
        <v>1859</v>
      </c>
      <c r="D1504" t="s">
        <v>663</v>
      </c>
      <c r="E1504" t="s">
        <v>1167</v>
      </c>
      <c r="F1504" t="s">
        <v>571</v>
      </c>
      <c r="G1504" s="204"/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T1504">
        <v>0</v>
      </c>
      <c r="U1504">
        <v>0</v>
      </c>
      <c r="V1504">
        <v>917</v>
      </c>
      <c r="W1504">
        <v>17037.86</v>
      </c>
      <c r="X1504">
        <v>917</v>
      </c>
      <c r="Y1504">
        <v>917</v>
      </c>
      <c r="Z1504">
        <v>17037.86</v>
      </c>
      <c r="AA1504">
        <v>18.580000000000002</v>
      </c>
    </row>
    <row r="1505" spans="1:25" x14ac:dyDescent="0.25">
      <c r="A1505" t="s">
        <v>324</v>
      </c>
      <c r="B1505" t="s">
        <v>556</v>
      </c>
      <c r="C1505" t="s">
        <v>1859</v>
      </c>
      <c r="D1505" t="s">
        <v>610</v>
      </c>
      <c r="E1505" t="s">
        <v>1169</v>
      </c>
      <c r="F1505" t="s">
        <v>578</v>
      </c>
      <c r="G1505" s="204">
        <v>46022</v>
      </c>
      <c r="L1505">
        <v>54</v>
      </c>
      <c r="M1505">
        <v>2768.85</v>
      </c>
      <c r="N1505">
        <v>0</v>
      </c>
      <c r="O1505">
        <v>0</v>
      </c>
      <c r="P1505">
        <v>0</v>
      </c>
      <c r="Q1505">
        <v>54</v>
      </c>
      <c r="R1505">
        <v>2768.85</v>
      </c>
      <c r="S1505">
        <v>51.274999999999999</v>
      </c>
      <c r="T1505">
        <v>0</v>
      </c>
      <c r="U1505">
        <v>0</v>
      </c>
      <c r="V1505">
        <v>451</v>
      </c>
      <c r="W1505">
        <v>23136.3</v>
      </c>
      <c r="X1505">
        <v>451</v>
      </c>
      <c r="Y1505">
        <v>451</v>
      </c>
    </row>
    <row r="1506" spans="1:25" x14ac:dyDescent="0.25">
      <c r="A1506" t="s">
        <v>1665</v>
      </c>
      <c r="B1506" t="s">
        <v>562</v>
      </c>
      <c r="C1506" t="s">
        <v>1859</v>
      </c>
      <c r="D1506" t="s">
        <v>1887</v>
      </c>
      <c r="E1506" t="s">
        <v>1238</v>
      </c>
      <c r="F1506" t="s">
        <v>571</v>
      </c>
      <c r="G1506" s="204"/>
      <c r="J1506">
        <v>55</v>
      </c>
      <c r="K1506">
        <v>21250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t="s">
        <v>1666</v>
      </c>
      <c r="B1507" t="s">
        <v>554</v>
      </c>
      <c r="C1507" t="s">
        <v>555</v>
      </c>
      <c r="D1507" t="s">
        <v>1888</v>
      </c>
      <c r="E1507" t="s">
        <v>1269</v>
      </c>
      <c r="F1507" t="s">
        <v>571</v>
      </c>
      <c r="G1507" s="204"/>
      <c r="J1507">
        <v>24</v>
      </c>
      <c r="K1507">
        <v>34999.919999999998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t="s">
        <v>1667</v>
      </c>
      <c r="B1508" t="s">
        <v>554</v>
      </c>
      <c r="C1508" t="s">
        <v>555</v>
      </c>
      <c r="D1508" t="s">
        <v>1888</v>
      </c>
      <c r="E1508" t="s">
        <v>1269</v>
      </c>
      <c r="F1508" t="s">
        <v>571</v>
      </c>
      <c r="G1508" s="204"/>
      <c r="J1508">
        <v>32</v>
      </c>
      <c r="K1508">
        <v>35000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t="s">
        <v>1668</v>
      </c>
      <c r="B1509" t="s">
        <v>554</v>
      </c>
      <c r="C1509" t="s">
        <v>555</v>
      </c>
      <c r="D1509" t="s">
        <v>1888</v>
      </c>
      <c r="E1509" t="s">
        <v>1269</v>
      </c>
      <c r="F1509" t="s">
        <v>571</v>
      </c>
      <c r="G1509" s="204"/>
      <c r="J1509">
        <v>24</v>
      </c>
      <c r="K1509">
        <v>34999.919999999998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t="s">
        <v>505</v>
      </c>
      <c r="B1510" t="s">
        <v>556</v>
      </c>
      <c r="C1510" t="s">
        <v>564</v>
      </c>
      <c r="D1510" t="s">
        <v>682</v>
      </c>
      <c r="E1510" t="s">
        <v>1252</v>
      </c>
      <c r="F1510" t="s">
        <v>571</v>
      </c>
      <c r="G1510" s="204"/>
      <c r="H1510">
        <v>132</v>
      </c>
      <c r="I1510">
        <v>82368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t="s">
        <v>532</v>
      </c>
      <c r="B1511" t="s">
        <v>554</v>
      </c>
      <c r="C1511" t="s">
        <v>564</v>
      </c>
      <c r="D1511" t="s">
        <v>685</v>
      </c>
      <c r="E1511" t="s">
        <v>1252</v>
      </c>
      <c r="F1511" t="s">
        <v>571</v>
      </c>
      <c r="G1511" s="204"/>
      <c r="J1511">
        <v>50</v>
      </c>
      <c r="K1511">
        <v>16250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t="s">
        <v>541</v>
      </c>
      <c r="B1512" t="s">
        <v>554</v>
      </c>
      <c r="C1512" t="s">
        <v>564</v>
      </c>
      <c r="D1512" t="s">
        <v>685</v>
      </c>
      <c r="E1512" t="s">
        <v>1252</v>
      </c>
      <c r="F1512" t="s">
        <v>571</v>
      </c>
      <c r="G1512" s="204"/>
      <c r="J1512">
        <v>25</v>
      </c>
      <c r="K1512">
        <v>12375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t="s">
        <v>524</v>
      </c>
      <c r="B1513" t="s">
        <v>562</v>
      </c>
      <c r="C1513" t="s">
        <v>564</v>
      </c>
      <c r="D1513" t="s">
        <v>682</v>
      </c>
      <c r="E1513" t="s">
        <v>1252</v>
      </c>
      <c r="F1513" t="s">
        <v>571</v>
      </c>
      <c r="G1513" s="204"/>
      <c r="H1513">
        <v>9</v>
      </c>
      <c r="I1513">
        <v>17235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t="s">
        <v>530</v>
      </c>
      <c r="B1514" t="s">
        <v>554</v>
      </c>
      <c r="C1514" t="s">
        <v>564</v>
      </c>
      <c r="D1514" t="s">
        <v>685</v>
      </c>
      <c r="E1514" t="s">
        <v>1252</v>
      </c>
      <c r="F1514" t="s">
        <v>571</v>
      </c>
      <c r="G1514" s="204"/>
      <c r="J1514">
        <v>25</v>
      </c>
      <c r="K1514">
        <v>18150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t="s">
        <v>1669</v>
      </c>
      <c r="B1515" t="s">
        <v>562</v>
      </c>
      <c r="C1515" t="s">
        <v>555</v>
      </c>
      <c r="D1515" t="s">
        <v>600</v>
      </c>
      <c r="E1515" t="s">
        <v>1434</v>
      </c>
      <c r="F1515" t="s">
        <v>571</v>
      </c>
      <c r="G1515" s="204"/>
      <c r="J1515">
        <v>175</v>
      </c>
      <c r="K1515">
        <v>62576.500000000007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t="s">
        <v>1542</v>
      </c>
      <c r="B1516" t="s">
        <v>556</v>
      </c>
      <c r="C1516" t="s">
        <v>1859</v>
      </c>
      <c r="D1516" t="s">
        <v>1889</v>
      </c>
      <c r="E1516" t="s">
        <v>1295</v>
      </c>
      <c r="F1516" t="s">
        <v>571</v>
      </c>
      <c r="G1516" s="204"/>
      <c r="H1516">
        <v>717</v>
      </c>
      <c r="I1516">
        <v>43471.71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t="s">
        <v>501</v>
      </c>
      <c r="B1517" t="s">
        <v>562</v>
      </c>
      <c r="C1517" t="s">
        <v>1860</v>
      </c>
      <c r="D1517" t="s">
        <v>623</v>
      </c>
      <c r="E1517" t="s">
        <v>1280</v>
      </c>
      <c r="F1517" t="s">
        <v>571</v>
      </c>
      <c r="G1517" s="204"/>
      <c r="L1517">
        <v>10</v>
      </c>
      <c r="M1517">
        <v>58500</v>
      </c>
      <c r="N1517">
        <v>0</v>
      </c>
      <c r="O1517">
        <v>0</v>
      </c>
      <c r="P1517">
        <v>0</v>
      </c>
      <c r="Q1517">
        <v>10</v>
      </c>
      <c r="R1517">
        <v>58500</v>
      </c>
      <c r="S1517">
        <v>5850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t="s">
        <v>501</v>
      </c>
      <c r="B1518" t="s">
        <v>562</v>
      </c>
      <c r="C1518" t="s">
        <v>1860</v>
      </c>
      <c r="D1518" t="s">
        <v>623</v>
      </c>
      <c r="E1518" t="s">
        <v>1179</v>
      </c>
      <c r="F1518" t="s">
        <v>571</v>
      </c>
      <c r="G1518" s="204"/>
      <c r="L1518">
        <v>6</v>
      </c>
      <c r="M1518">
        <v>37908</v>
      </c>
      <c r="N1518">
        <v>0</v>
      </c>
      <c r="O1518">
        <v>0</v>
      </c>
      <c r="P1518">
        <v>0</v>
      </c>
      <c r="Q1518">
        <v>6</v>
      </c>
      <c r="R1518">
        <v>37908</v>
      </c>
      <c r="S1518">
        <v>6318</v>
      </c>
      <c r="T1518">
        <v>0</v>
      </c>
      <c r="U1518">
        <v>0</v>
      </c>
      <c r="V1518">
        <v>12</v>
      </c>
      <c r="W1518">
        <v>75816</v>
      </c>
      <c r="X1518">
        <v>12</v>
      </c>
      <c r="Y1518">
        <v>12</v>
      </c>
    </row>
    <row r="1519" spans="1:25" x14ac:dyDescent="0.25">
      <c r="A1519" t="s">
        <v>533</v>
      </c>
      <c r="B1519" t="s">
        <v>562</v>
      </c>
      <c r="C1519" t="s">
        <v>1860</v>
      </c>
      <c r="D1519" t="s">
        <v>623</v>
      </c>
      <c r="E1519" t="s">
        <v>1179</v>
      </c>
      <c r="F1519" t="s">
        <v>571</v>
      </c>
      <c r="G1519" s="204"/>
      <c r="L1519">
        <v>2</v>
      </c>
      <c r="M1519">
        <v>9893.1200000000008</v>
      </c>
      <c r="N1519">
        <v>0</v>
      </c>
      <c r="O1519">
        <v>0</v>
      </c>
      <c r="P1519">
        <v>0</v>
      </c>
      <c r="Q1519">
        <v>2</v>
      </c>
      <c r="R1519">
        <v>9893.1200000000008</v>
      </c>
      <c r="S1519">
        <v>4946.5600000000004</v>
      </c>
      <c r="T1519">
        <v>0</v>
      </c>
      <c r="U1519">
        <v>0</v>
      </c>
      <c r="V1519">
        <v>15</v>
      </c>
      <c r="W1519">
        <v>71557.5</v>
      </c>
      <c r="X1519">
        <v>15</v>
      </c>
      <c r="Y1519">
        <v>15</v>
      </c>
    </row>
    <row r="1520" spans="1:25" x14ac:dyDescent="0.25">
      <c r="A1520" t="s">
        <v>520</v>
      </c>
      <c r="B1520" t="s">
        <v>556</v>
      </c>
      <c r="C1520" t="s">
        <v>1858</v>
      </c>
      <c r="D1520" t="s">
        <v>687</v>
      </c>
      <c r="E1520" t="s">
        <v>1809</v>
      </c>
      <c r="F1520" t="s">
        <v>571</v>
      </c>
      <c r="G1520" s="204"/>
      <c r="J1520">
        <v>500</v>
      </c>
      <c r="K1520">
        <v>79003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7" x14ac:dyDescent="0.25">
      <c r="A1521" t="s">
        <v>520</v>
      </c>
      <c r="B1521" t="s">
        <v>556</v>
      </c>
      <c r="C1521" t="s">
        <v>1858</v>
      </c>
      <c r="D1521" t="s">
        <v>687</v>
      </c>
      <c r="E1521" t="s">
        <v>1138</v>
      </c>
      <c r="F1521" t="s">
        <v>571</v>
      </c>
      <c r="G1521" s="204"/>
      <c r="H1521">
        <v>400</v>
      </c>
      <c r="I1521">
        <v>52364.000000000007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7" x14ac:dyDescent="0.25">
      <c r="A1522" t="s">
        <v>536</v>
      </c>
      <c r="B1522" t="s">
        <v>565</v>
      </c>
      <c r="C1522" t="s">
        <v>1858</v>
      </c>
      <c r="D1522" t="s">
        <v>688</v>
      </c>
      <c r="E1522" t="s">
        <v>1312</v>
      </c>
      <c r="F1522" t="s">
        <v>571</v>
      </c>
      <c r="G1522" s="204"/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T1522">
        <v>0</v>
      </c>
      <c r="U1522">
        <v>0</v>
      </c>
      <c r="V1522">
        <v>500</v>
      </c>
      <c r="W1522">
        <v>211655</v>
      </c>
      <c r="X1522">
        <v>500</v>
      </c>
      <c r="Y1522">
        <v>500</v>
      </c>
      <c r="Z1522">
        <v>211655</v>
      </c>
      <c r="AA1522">
        <v>423.31</v>
      </c>
    </row>
    <row r="1523" spans="1:27" x14ac:dyDescent="0.25">
      <c r="A1523" t="s">
        <v>536</v>
      </c>
      <c r="B1523" t="s">
        <v>565</v>
      </c>
      <c r="C1523" t="s">
        <v>1858</v>
      </c>
      <c r="D1523" t="s">
        <v>688</v>
      </c>
      <c r="E1523" t="s">
        <v>1333</v>
      </c>
      <c r="F1523" t="s">
        <v>571</v>
      </c>
      <c r="G1523" s="204"/>
      <c r="L1523">
        <v>19</v>
      </c>
      <c r="M1523">
        <v>7315</v>
      </c>
      <c r="N1523">
        <v>0</v>
      </c>
      <c r="O1523">
        <v>0</v>
      </c>
      <c r="P1523">
        <v>0</v>
      </c>
      <c r="Q1523">
        <v>19</v>
      </c>
      <c r="R1523">
        <v>7315</v>
      </c>
      <c r="S1523">
        <v>385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7" x14ac:dyDescent="0.25">
      <c r="A1524" t="s">
        <v>723</v>
      </c>
      <c r="B1524" t="s">
        <v>562</v>
      </c>
      <c r="C1524" t="s">
        <v>555</v>
      </c>
      <c r="D1524" t="s">
        <v>969</v>
      </c>
      <c r="E1524" t="s">
        <v>1434</v>
      </c>
      <c r="F1524" t="s">
        <v>571</v>
      </c>
      <c r="G1524" s="204"/>
      <c r="L1524">
        <v>2</v>
      </c>
      <c r="M1524">
        <v>9263.02</v>
      </c>
      <c r="N1524">
        <v>0</v>
      </c>
      <c r="O1524">
        <v>0</v>
      </c>
      <c r="P1524">
        <v>0</v>
      </c>
      <c r="Q1524">
        <v>2</v>
      </c>
      <c r="R1524">
        <v>9263.02</v>
      </c>
      <c r="S1524">
        <v>4631.51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7" x14ac:dyDescent="0.25">
      <c r="A1525" t="s">
        <v>898</v>
      </c>
      <c r="B1525" t="s">
        <v>554</v>
      </c>
      <c r="C1525" t="s">
        <v>555</v>
      </c>
      <c r="D1525" t="s">
        <v>969</v>
      </c>
      <c r="E1525" t="s">
        <v>1434</v>
      </c>
      <c r="F1525" t="s">
        <v>571</v>
      </c>
      <c r="G1525" s="204"/>
      <c r="L1525">
        <v>2</v>
      </c>
      <c r="M1525">
        <v>13747.26</v>
      </c>
      <c r="N1525">
        <v>0</v>
      </c>
      <c r="O1525">
        <v>0</v>
      </c>
      <c r="P1525">
        <v>0</v>
      </c>
      <c r="Q1525">
        <v>2</v>
      </c>
      <c r="R1525">
        <v>13747.26</v>
      </c>
      <c r="S1525">
        <v>6873.63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7" x14ac:dyDescent="0.25">
      <c r="A1526" t="s">
        <v>724</v>
      </c>
      <c r="B1526" t="s">
        <v>562</v>
      </c>
      <c r="C1526" t="s">
        <v>555</v>
      </c>
      <c r="D1526" t="s">
        <v>600</v>
      </c>
      <c r="E1526" t="s">
        <v>1258</v>
      </c>
      <c r="F1526" t="s">
        <v>571</v>
      </c>
      <c r="G1526" s="204"/>
      <c r="L1526">
        <v>0</v>
      </c>
      <c r="M1526">
        <v>0</v>
      </c>
      <c r="N1526">
        <v>2</v>
      </c>
      <c r="O1526">
        <v>14312.08</v>
      </c>
      <c r="P1526">
        <v>2</v>
      </c>
      <c r="Q1526">
        <v>2</v>
      </c>
      <c r="R1526">
        <v>14312.08</v>
      </c>
      <c r="S1526">
        <v>7156.04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7" x14ac:dyDescent="0.25">
      <c r="A1527" t="s">
        <v>144</v>
      </c>
      <c r="B1527" t="s">
        <v>556</v>
      </c>
      <c r="C1527" t="s">
        <v>1859</v>
      </c>
      <c r="D1527" t="s">
        <v>593</v>
      </c>
      <c r="E1527" t="s">
        <v>1167</v>
      </c>
      <c r="F1527" t="s">
        <v>571</v>
      </c>
      <c r="G1527" s="204"/>
      <c r="H1527">
        <v>212</v>
      </c>
      <c r="I1527">
        <v>18064.520000000004</v>
      </c>
      <c r="L1527">
        <v>167</v>
      </c>
      <c r="M1527">
        <v>14230.07</v>
      </c>
      <c r="N1527">
        <v>522</v>
      </c>
      <c r="O1527">
        <v>44479.62</v>
      </c>
      <c r="P1527">
        <v>522</v>
      </c>
      <c r="Q1527">
        <v>689</v>
      </c>
      <c r="T1527">
        <v>0</v>
      </c>
      <c r="U1527">
        <v>0</v>
      </c>
      <c r="V1527">
        <v>1298</v>
      </c>
      <c r="W1527">
        <v>110602.58000000002</v>
      </c>
      <c r="X1527">
        <v>1298</v>
      </c>
      <c r="Y1527">
        <v>1298</v>
      </c>
    </row>
    <row r="1528" spans="1:27" x14ac:dyDescent="0.25">
      <c r="A1528" t="s">
        <v>1290</v>
      </c>
      <c r="B1528" t="s">
        <v>562</v>
      </c>
      <c r="C1528" t="s">
        <v>1860</v>
      </c>
      <c r="D1528" t="s">
        <v>1890</v>
      </c>
      <c r="E1528" t="s">
        <v>1288</v>
      </c>
      <c r="F1528" t="s">
        <v>571</v>
      </c>
      <c r="G1528" s="204"/>
      <c r="H1528">
        <v>100</v>
      </c>
      <c r="L1528">
        <v>98</v>
      </c>
      <c r="M1528">
        <v>14876.4</v>
      </c>
      <c r="N1528">
        <v>0</v>
      </c>
      <c r="O1528">
        <v>0</v>
      </c>
      <c r="P1528">
        <v>0</v>
      </c>
      <c r="Q1528">
        <v>98</v>
      </c>
      <c r="R1528">
        <v>14876.4</v>
      </c>
      <c r="S1528">
        <v>151.79999999999998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7" x14ac:dyDescent="0.25">
      <c r="A1529" t="s">
        <v>1290</v>
      </c>
      <c r="B1529" t="s">
        <v>562</v>
      </c>
      <c r="C1529" t="s">
        <v>1860</v>
      </c>
      <c r="D1529" t="s">
        <v>1890</v>
      </c>
      <c r="E1529" t="s">
        <v>1289</v>
      </c>
      <c r="F1529" t="s">
        <v>571</v>
      </c>
      <c r="G1529" s="204"/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T1529">
        <v>0</v>
      </c>
      <c r="U1529">
        <v>0</v>
      </c>
      <c r="V1529">
        <v>125</v>
      </c>
      <c r="W1529">
        <v>26475</v>
      </c>
      <c r="X1529">
        <v>125</v>
      </c>
      <c r="Y1529">
        <v>125</v>
      </c>
      <c r="Z1529">
        <v>26475</v>
      </c>
      <c r="AA1529">
        <v>211.8</v>
      </c>
    </row>
    <row r="1530" spans="1:27" x14ac:dyDescent="0.25">
      <c r="A1530" t="s">
        <v>40</v>
      </c>
      <c r="B1530" t="s">
        <v>565</v>
      </c>
      <c r="C1530" t="s">
        <v>1860</v>
      </c>
      <c r="D1530" t="s">
        <v>658</v>
      </c>
      <c r="E1530" t="s">
        <v>1288</v>
      </c>
      <c r="F1530" t="s">
        <v>571</v>
      </c>
      <c r="G1530" s="204"/>
      <c r="J1530">
        <v>68</v>
      </c>
      <c r="K1530">
        <v>8371.48</v>
      </c>
      <c r="L1530">
        <v>60</v>
      </c>
      <c r="M1530">
        <v>7386.6</v>
      </c>
      <c r="N1530">
        <v>72</v>
      </c>
      <c r="O1530">
        <v>8863.92</v>
      </c>
      <c r="P1530">
        <v>72</v>
      </c>
      <c r="Q1530">
        <v>132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7" x14ac:dyDescent="0.25">
      <c r="A1531" t="s">
        <v>40</v>
      </c>
      <c r="B1531" t="s">
        <v>565</v>
      </c>
      <c r="C1531" t="s">
        <v>1860</v>
      </c>
      <c r="D1531" t="s">
        <v>658</v>
      </c>
      <c r="E1531" t="s">
        <v>1289</v>
      </c>
      <c r="F1531" t="s">
        <v>571</v>
      </c>
      <c r="G1531" s="204"/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T1531">
        <v>0</v>
      </c>
      <c r="U1531">
        <v>0</v>
      </c>
      <c r="V1531">
        <v>250</v>
      </c>
      <c r="W1531">
        <v>36932.5</v>
      </c>
      <c r="X1531">
        <v>250</v>
      </c>
      <c r="Y1531">
        <v>250</v>
      </c>
      <c r="Z1531">
        <v>36932.5</v>
      </c>
      <c r="AA1531">
        <v>147.72999999999999</v>
      </c>
    </row>
    <row r="1532" spans="1:27" x14ac:dyDescent="0.25">
      <c r="A1532" t="s">
        <v>40</v>
      </c>
      <c r="B1532" t="s">
        <v>565</v>
      </c>
      <c r="C1532" t="s">
        <v>1860</v>
      </c>
      <c r="D1532" t="s">
        <v>658</v>
      </c>
      <c r="E1532" t="s">
        <v>1216</v>
      </c>
      <c r="F1532" t="s">
        <v>571</v>
      </c>
      <c r="G1532" s="204"/>
      <c r="H1532">
        <v>25</v>
      </c>
      <c r="I1532">
        <v>2855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7" x14ac:dyDescent="0.25">
      <c r="A1533" t="s">
        <v>481</v>
      </c>
      <c r="B1533" t="s">
        <v>556</v>
      </c>
      <c r="C1533" t="s">
        <v>1859</v>
      </c>
      <c r="D1533" t="s">
        <v>593</v>
      </c>
      <c r="E1533" t="s">
        <v>1279</v>
      </c>
      <c r="F1533" t="s">
        <v>571</v>
      </c>
      <c r="G1533" s="204"/>
      <c r="J1533">
        <v>500</v>
      </c>
      <c r="K1533">
        <v>39765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T1533">
        <v>0</v>
      </c>
      <c r="U1533">
        <v>0</v>
      </c>
      <c r="V1533">
        <v>500</v>
      </c>
      <c r="W1533">
        <v>39765</v>
      </c>
      <c r="X1533">
        <v>500</v>
      </c>
      <c r="Y1533">
        <v>500</v>
      </c>
      <c r="Z1533">
        <v>39765</v>
      </c>
      <c r="AA1533">
        <v>79.53</v>
      </c>
    </row>
    <row r="1534" spans="1:27" x14ac:dyDescent="0.25">
      <c r="A1534" t="s">
        <v>481</v>
      </c>
      <c r="B1534" t="s">
        <v>556</v>
      </c>
      <c r="C1534" t="s">
        <v>1859</v>
      </c>
      <c r="D1534" t="s">
        <v>593</v>
      </c>
      <c r="E1534" t="s">
        <v>1111</v>
      </c>
      <c r="F1534" t="s">
        <v>571</v>
      </c>
      <c r="G1534" s="204"/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T1534">
        <v>0</v>
      </c>
      <c r="U1534">
        <v>0</v>
      </c>
      <c r="V1534">
        <v>1237</v>
      </c>
      <c r="W1534">
        <v>0</v>
      </c>
      <c r="X1534">
        <v>0</v>
      </c>
      <c r="Y1534">
        <v>0</v>
      </c>
      <c r="Z1534">
        <v>0</v>
      </c>
    </row>
    <row r="1535" spans="1:27" x14ac:dyDescent="0.25">
      <c r="A1535" t="s">
        <v>1670</v>
      </c>
      <c r="B1535" t="s">
        <v>565</v>
      </c>
      <c r="C1535" t="s">
        <v>1860</v>
      </c>
      <c r="D1535" t="s">
        <v>1891</v>
      </c>
      <c r="E1535" t="s">
        <v>1288</v>
      </c>
      <c r="F1535" t="s">
        <v>571</v>
      </c>
      <c r="G1535" s="204"/>
      <c r="J1535">
        <v>273</v>
      </c>
      <c r="K1535">
        <v>23183.16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7" x14ac:dyDescent="0.25">
      <c r="A1536" t="s">
        <v>1291</v>
      </c>
      <c r="B1536" t="s">
        <v>562</v>
      </c>
      <c r="C1536" t="s">
        <v>1860</v>
      </c>
      <c r="D1536" t="s">
        <v>1890</v>
      </c>
      <c r="E1536" t="s">
        <v>1288</v>
      </c>
      <c r="F1536" t="s">
        <v>571</v>
      </c>
      <c r="G1536" s="204"/>
      <c r="H1536">
        <v>100</v>
      </c>
      <c r="I1536">
        <v>12650</v>
      </c>
      <c r="L1536">
        <v>118</v>
      </c>
      <c r="M1536">
        <v>20240.54</v>
      </c>
      <c r="N1536">
        <v>0</v>
      </c>
      <c r="O1536">
        <v>0</v>
      </c>
      <c r="P1536">
        <v>0</v>
      </c>
      <c r="Q1536">
        <v>118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7" x14ac:dyDescent="0.25">
      <c r="A1537" t="s">
        <v>1291</v>
      </c>
      <c r="B1537" t="s">
        <v>562</v>
      </c>
      <c r="C1537" t="s">
        <v>1860</v>
      </c>
      <c r="D1537" t="s">
        <v>1890</v>
      </c>
      <c r="E1537" t="s">
        <v>1289</v>
      </c>
      <c r="F1537" t="s">
        <v>571</v>
      </c>
      <c r="G1537" s="204"/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T1537">
        <v>0</v>
      </c>
      <c r="U1537">
        <v>0</v>
      </c>
      <c r="V1537">
        <v>125</v>
      </c>
      <c r="W1537">
        <v>28062.5</v>
      </c>
      <c r="X1537">
        <v>125</v>
      </c>
      <c r="Y1537">
        <v>125</v>
      </c>
      <c r="Z1537">
        <v>28062.5</v>
      </c>
      <c r="AA1537">
        <v>224.5</v>
      </c>
    </row>
    <row r="1538" spans="1:27" x14ac:dyDescent="0.25">
      <c r="A1538" t="s">
        <v>42</v>
      </c>
      <c r="B1538" t="s">
        <v>565</v>
      </c>
      <c r="C1538" t="s">
        <v>1860</v>
      </c>
      <c r="D1538" t="s">
        <v>658</v>
      </c>
      <c r="E1538" t="s">
        <v>1288</v>
      </c>
      <c r="F1538" t="s">
        <v>571</v>
      </c>
      <c r="G1538" s="204"/>
      <c r="J1538">
        <v>80</v>
      </c>
      <c r="K1538">
        <v>12311.2</v>
      </c>
      <c r="L1538">
        <v>60</v>
      </c>
      <c r="M1538">
        <v>9233.4</v>
      </c>
      <c r="N1538">
        <v>72</v>
      </c>
      <c r="O1538">
        <v>11080.08</v>
      </c>
      <c r="P1538">
        <v>72</v>
      </c>
      <c r="Q1538">
        <v>132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7" x14ac:dyDescent="0.25">
      <c r="A1539" t="s">
        <v>42</v>
      </c>
      <c r="B1539" t="s">
        <v>565</v>
      </c>
      <c r="C1539" t="s">
        <v>1860</v>
      </c>
      <c r="D1539" t="s">
        <v>658</v>
      </c>
      <c r="E1539" t="s">
        <v>1289</v>
      </c>
      <c r="F1539" t="s">
        <v>571</v>
      </c>
      <c r="G1539" s="204"/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T1539">
        <v>0</v>
      </c>
      <c r="U1539">
        <v>0</v>
      </c>
      <c r="V1539">
        <v>250</v>
      </c>
      <c r="W1539">
        <v>46167.5</v>
      </c>
      <c r="X1539">
        <v>250</v>
      </c>
      <c r="Y1539">
        <v>250</v>
      </c>
      <c r="Z1539">
        <v>46167.5</v>
      </c>
      <c r="AA1539">
        <v>184.67</v>
      </c>
    </row>
    <row r="1540" spans="1:27" x14ac:dyDescent="0.25">
      <c r="A1540" t="s">
        <v>42</v>
      </c>
      <c r="B1540" t="s">
        <v>565</v>
      </c>
      <c r="C1540" t="s">
        <v>1860</v>
      </c>
      <c r="D1540" t="s">
        <v>658</v>
      </c>
      <c r="E1540" t="s">
        <v>1216</v>
      </c>
      <c r="F1540" t="s">
        <v>571</v>
      </c>
      <c r="G1540" s="204"/>
      <c r="L1540">
        <v>10</v>
      </c>
      <c r="M1540">
        <v>1847.8</v>
      </c>
      <c r="N1540">
        <v>0</v>
      </c>
      <c r="O1540">
        <v>0</v>
      </c>
      <c r="P1540">
        <v>0</v>
      </c>
      <c r="Q1540">
        <v>10</v>
      </c>
      <c r="R1540">
        <v>1847.8</v>
      </c>
      <c r="S1540">
        <v>184.78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7" x14ac:dyDescent="0.25">
      <c r="A1541" t="s">
        <v>1671</v>
      </c>
      <c r="B1541" t="s">
        <v>565</v>
      </c>
      <c r="C1541" t="s">
        <v>1860</v>
      </c>
      <c r="D1541" t="s">
        <v>1891</v>
      </c>
      <c r="E1541" t="s">
        <v>1402</v>
      </c>
      <c r="F1541" t="s">
        <v>571</v>
      </c>
      <c r="G1541" s="204"/>
      <c r="J1541">
        <v>30</v>
      </c>
      <c r="K1541">
        <v>1954.5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7" x14ac:dyDescent="0.25">
      <c r="A1542" t="s">
        <v>725</v>
      </c>
      <c r="B1542" t="s">
        <v>554</v>
      </c>
      <c r="C1542" t="s">
        <v>555</v>
      </c>
      <c r="D1542" t="s">
        <v>969</v>
      </c>
      <c r="E1542" t="s">
        <v>1434</v>
      </c>
      <c r="F1542" t="s">
        <v>571</v>
      </c>
      <c r="G1542" s="204"/>
      <c r="L1542">
        <v>36</v>
      </c>
      <c r="M1542">
        <v>131360.76</v>
      </c>
      <c r="N1542">
        <v>0</v>
      </c>
      <c r="O1542">
        <v>0</v>
      </c>
      <c r="P1542">
        <v>0</v>
      </c>
      <c r="Q1542">
        <v>36</v>
      </c>
      <c r="R1542">
        <v>131360.76</v>
      </c>
      <c r="S1542">
        <v>3648.9100000000003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7" x14ac:dyDescent="0.25">
      <c r="A1543" t="s">
        <v>506</v>
      </c>
      <c r="B1543" t="s">
        <v>562</v>
      </c>
      <c r="C1543" t="s">
        <v>1859</v>
      </c>
      <c r="D1543" t="s">
        <v>593</v>
      </c>
      <c r="E1543" t="s">
        <v>1279</v>
      </c>
      <c r="F1543" t="s">
        <v>571</v>
      </c>
      <c r="G1543" s="204"/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T1543">
        <v>0</v>
      </c>
      <c r="U1543">
        <v>0</v>
      </c>
      <c r="V1543">
        <v>250</v>
      </c>
      <c r="W1543">
        <v>26787.5</v>
      </c>
      <c r="X1543">
        <v>250</v>
      </c>
      <c r="Y1543">
        <v>250</v>
      </c>
      <c r="Z1543">
        <v>26787.5</v>
      </c>
      <c r="AA1543">
        <v>107.15</v>
      </c>
    </row>
    <row r="1544" spans="1:27" x14ac:dyDescent="0.25">
      <c r="A1544" t="s">
        <v>1672</v>
      </c>
      <c r="B1544" t="s">
        <v>565</v>
      </c>
      <c r="C1544" t="s">
        <v>1860</v>
      </c>
      <c r="D1544" t="s">
        <v>1891</v>
      </c>
      <c r="E1544" t="s">
        <v>1288</v>
      </c>
      <c r="F1544" t="s">
        <v>571</v>
      </c>
      <c r="G1544" s="204"/>
      <c r="J1544">
        <v>60</v>
      </c>
      <c r="K1544">
        <v>11700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7" x14ac:dyDescent="0.25">
      <c r="A1545" t="s">
        <v>1673</v>
      </c>
      <c r="B1545" t="s">
        <v>565</v>
      </c>
      <c r="C1545" t="s">
        <v>1860</v>
      </c>
      <c r="D1545" t="s">
        <v>1891</v>
      </c>
      <c r="E1545" t="s">
        <v>1295</v>
      </c>
      <c r="F1545" t="s">
        <v>571</v>
      </c>
      <c r="G1545" s="204"/>
      <c r="J1545">
        <v>100</v>
      </c>
      <c r="K1545">
        <v>11609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7" x14ac:dyDescent="0.25">
      <c r="A1546" t="s">
        <v>1674</v>
      </c>
      <c r="B1546" t="s">
        <v>562</v>
      </c>
      <c r="C1546" t="s">
        <v>555</v>
      </c>
      <c r="D1546" t="s">
        <v>1892</v>
      </c>
      <c r="E1546" t="s">
        <v>1263</v>
      </c>
      <c r="F1546" t="s">
        <v>571</v>
      </c>
      <c r="G1546" s="204"/>
      <c r="J1546">
        <v>25</v>
      </c>
      <c r="K1546">
        <v>21250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7" x14ac:dyDescent="0.25">
      <c r="A1547" t="s">
        <v>16</v>
      </c>
      <c r="B1547" t="s">
        <v>556</v>
      </c>
      <c r="C1547" t="s">
        <v>564</v>
      </c>
      <c r="D1547" t="s">
        <v>605</v>
      </c>
      <c r="E1547" t="s">
        <v>1293</v>
      </c>
      <c r="F1547" t="s">
        <v>571</v>
      </c>
      <c r="G1547" s="204"/>
      <c r="H1547">
        <v>163</v>
      </c>
      <c r="I1547">
        <v>27990.36</v>
      </c>
      <c r="L1547">
        <v>994</v>
      </c>
      <c r="M1547">
        <v>175619.91999999995</v>
      </c>
      <c r="N1547">
        <v>94</v>
      </c>
      <c r="O1547">
        <v>16607.919999999998</v>
      </c>
      <c r="P1547">
        <v>94</v>
      </c>
      <c r="Q1547">
        <v>1088</v>
      </c>
      <c r="T1547">
        <v>0</v>
      </c>
      <c r="U1547">
        <v>0</v>
      </c>
      <c r="V1547">
        <v>413</v>
      </c>
      <c r="W1547">
        <v>72968.84</v>
      </c>
      <c r="X1547">
        <v>413</v>
      </c>
      <c r="Y1547">
        <v>413</v>
      </c>
    </row>
    <row r="1548" spans="1:27" x14ac:dyDescent="0.25">
      <c r="A1548" t="s">
        <v>16</v>
      </c>
      <c r="B1548" t="s">
        <v>556</v>
      </c>
      <c r="C1548" t="s">
        <v>564</v>
      </c>
      <c r="D1548" t="s">
        <v>605</v>
      </c>
      <c r="E1548" t="s">
        <v>1355</v>
      </c>
      <c r="F1548" t="s">
        <v>571</v>
      </c>
      <c r="G1548" s="204"/>
      <c r="H1548">
        <v>541</v>
      </c>
      <c r="I1548">
        <v>91986.840000000011</v>
      </c>
      <c r="L1548">
        <v>1022</v>
      </c>
      <c r="M1548">
        <v>180566.96</v>
      </c>
      <c r="N1548">
        <v>0</v>
      </c>
      <c r="O1548">
        <v>0</v>
      </c>
      <c r="P1548">
        <v>0</v>
      </c>
      <c r="Q1548">
        <v>1022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7" x14ac:dyDescent="0.25">
      <c r="A1549" t="s">
        <v>16</v>
      </c>
      <c r="B1549" t="s">
        <v>556</v>
      </c>
      <c r="C1549" t="s">
        <v>564</v>
      </c>
      <c r="D1549" t="s">
        <v>605</v>
      </c>
      <c r="E1549" t="s">
        <v>1205</v>
      </c>
      <c r="F1549" t="s">
        <v>571</v>
      </c>
      <c r="G1549" s="204"/>
      <c r="L1549">
        <v>0</v>
      </c>
      <c r="M1549">
        <v>0</v>
      </c>
      <c r="N1549">
        <v>188</v>
      </c>
      <c r="O1549">
        <v>33215.839999999997</v>
      </c>
      <c r="P1549">
        <v>188</v>
      </c>
      <c r="Q1549">
        <v>188</v>
      </c>
      <c r="R1549">
        <v>33215.839999999997</v>
      </c>
      <c r="S1549">
        <v>176.67999999999998</v>
      </c>
      <c r="T1549">
        <v>0</v>
      </c>
      <c r="U1549">
        <v>0</v>
      </c>
      <c r="V1549">
        <v>421</v>
      </c>
      <c r="W1549">
        <v>74382.28</v>
      </c>
      <c r="X1549">
        <v>421</v>
      </c>
      <c r="Y1549">
        <v>421</v>
      </c>
    </row>
    <row r="1550" spans="1:27" x14ac:dyDescent="0.25">
      <c r="A1550" t="s">
        <v>16</v>
      </c>
      <c r="B1550" t="s">
        <v>556</v>
      </c>
      <c r="C1550" t="s">
        <v>564</v>
      </c>
      <c r="D1550" t="s">
        <v>605</v>
      </c>
      <c r="E1550" t="s">
        <v>1111</v>
      </c>
      <c r="F1550" t="s">
        <v>571</v>
      </c>
      <c r="G1550" s="204"/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T1550">
        <v>0</v>
      </c>
      <c r="U1550">
        <v>0</v>
      </c>
      <c r="V1550">
        <v>47</v>
      </c>
      <c r="W1550">
        <v>0</v>
      </c>
      <c r="X1550">
        <v>0</v>
      </c>
      <c r="Y1550">
        <v>0</v>
      </c>
      <c r="Z1550">
        <v>0</v>
      </c>
    </row>
    <row r="1551" spans="1:27" x14ac:dyDescent="0.25">
      <c r="A1551" t="s">
        <v>16</v>
      </c>
      <c r="B1551" t="s">
        <v>556</v>
      </c>
      <c r="C1551" t="s">
        <v>564</v>
      </c>
      <c r="D1551" t="s">
        <v>605</v>
      </c>
      <c r="E1551" t="s">
        <v>1148</v>
      </c>
      <c r="F1551" t="s">
        <v>571</v>
      </c>
      <c r="G1551" s="204"/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T1551">
        <v>0</v>
      </c>
      <c r="U1551">
        <v>0</v>
      </c>
      <c r="V1551">
        <v>47</v>
      </c>
      <c r="W1551">
        <v>8303.9599999999991</v>
      </c>
      <c r="X1551">
        <v>47</v>
      </c>
      <c r="Y1551">
        <v>47</v>
      </c>
      <c r="Z1551">
        <v>8303.9599999999991</v>
      </c>
      <c r="AA1551">
        <v>176.67999999999998</v>
      </c>
    </row>
    <row r="1552" spans="1:27" x14ac:dyDescent="0.25">
      <c r="A1552" t="s">
        <v>18</v>
      </c>
      <c r="B1552" t="s">
        <v>556</v>
      </c>
      <c r="C1552" t="s">
        <v>564</v>
      </c>
      <c r="D1552" t="s">
        <v>664</v>
      </c>
      <c r="E1552" t="s">
        <v>1293</v>
      </c>
      <c r="F1552" t="s">
        <v>571</v>
      </c>
      <c r="G1552" s="204"/>
      <c r="L1552">
        <v>94</v>
      </c>
      <c r="M1552">
        <v>23476.5</v>
      </c>
      <c r="N1552">
        <v>0</v>
      </c>
      <c r="O1552">
        <v>0</v>
      </c>
      <c r="P1552">
        <v>0</v>
      </c>
      <c r="Q1552">
        <v>94</v>
      </c>
      <c r="R1552">
        <v>23476.5</v>
      </c>
      <c r="S1552">
        <v>249.75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7" x14ac:dyDescent="0.25">
      <c r="A1553" t="s">
        <v>18</v>
      </c>
      <c r="B1553" t="s">
        <v>556</v>
      </c>
      <c r="C1553" t="s">
        <v>564</v>
      </c>
      <c r="D1553" t="s">
        <v>664</v>
      </c>
      <c r="E1553" t="s">
        <v>1412</v>
      </c>
      <c r="F1553" t="s">
        <v>571</v>
      </c>
      <c r="G1553" s="204"/>
      <c r="L1553">
        <v>141</v>
      </c>
      <c r="M1553">
        <v>35214.75</v>
      </c>
      <c r="N1553">
        <v>0</v>
      </c>
      <c r="O1553">
        <v>0</v>
      </c>
      <c r="P1553">
        <v>0</v>
      </c>
      <c r="Q1553">
        <v>141</v>
      </c>
      <c r="R1553">
        <v>35214.75</v>
      </c>
      <c r="S1553">
        <v>249.75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7" x14ac:dyDescent="0.25">
      <c r="A1554" t="s">
        <v>285</v>
      </c>
      <c r="B1554" t="s">
        <v>562</v>
      </c>
      <c r="C1554" t="s">
        <v>1860</v>
      </c>
      <c r="D1554" t="s">
        <v>619</v>
      </c>
      <c r="E1554" t="s">
        <v>1280</v>
      </c>
      <c r="F1554" t="s">
        <v>571</v>
      </c>
      <c r="G1554" s="204"/>
      <c r="L1554">
        <v>6</v>
      </c>
      <c r="M1554">
        <v>54750</v>
      </c>
      <c r="N1554">
        <v>24</v>
      </c>
      <c r="O1554">
        <v>219000</v>
      </c>
      <c r="P1554">
        <v>24</v>
      </c>
      <c r="Q1554">
        <v>30</v>
      </c>
      <c r="R1554">
        <v>273750</v>
      </c>
      <c r="S1554">
        <v>9125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7" x14ac:dyDescent="0.25">
      <c r="A1555" t="s">
        <v>285</v>
      </c>
      <c r="B1555" t="s">
        <v>562</v>
      </c>
      <c r="C1555" t="s">
        <v>1860</v>
      </c>
      <c r="D1555" t="s">
        <v>619</v>
      </c>
      <c r="E1555" t="s">
        <v>1343</v>
      </c>
      <c r="F1555" t="s">
        <v>571</v>
      </c>
      <c r="G1555" s="204"/>
      <c r="J1555">
        <v>7</v>
      </c>
      <c r="K1555">
        <v>57561.98</v>
      </c>
      <c r="L1555">
        <v>17</v>
      </c>
      <c r="M1555">
        <v>139793.38</v>
      </c>
      <c r="N1555">
        <v>0</v>
      </c>
      <c r="O1555">
        <v>0</v>
      </c>
      <c r="P1555">
        <v>0</v>
      </c>
      <c r="Q1555">
        <v>17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7" x14ac:dyDescent="0.25">
      <c r="A1556" t="s">
        <v>285</v>
      </c>
      <c r="B1556" t="s">
        <v>562</v>
      </c>
      <c r="C1556" t="s">
        <v>1860</v>
      </c>
      <c r="D1556" t="s">
        <v>619</v>
      </c>
      <c r="E1556" t="s">
        <v>1266</v>
      </c>
      <c r="F1556" t="s">
        <v>571</v>
      </c>
      <c r="G1556" s="204"/>
      <c r="J1556">
        <v>17</v>
      </c>
      <c r="K1556">
        <v>130448.82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7" x14ac:dyDescent="0.25">
      <c r="A1557" t="s">
        <v>285</v>
      </c>
      <c r="B1557" t="s">
        <v>562</v>
      </c>
      <c r="C1557" t="s">
        <v>1860</v>
      </c>
      <c r="D1557" t="s">
        <v>619</v>
      </c>
      <c r="E1557" t="s">
        <v>1111</v>
      </c>
      <c r="F1557" t="s">
        <v>571</v>
      </c>
      <c r="G1557" s="204"/>
      <c r="L1557">
        <v>0</v>
      </c>
      <c r="M1557">
        <v>0</v>
      </c>
      <c r="N1557">
        <v>40</v>
      </c>
      <c r="O1557">
        <v>9418.4</v>
      </c>
      <c r="P1557">
        <v>40</v>
      </c>
      <c r="Q1557">
        <v>40</v>
      </c>
      <c r="R1557">
        <v>9418.4</v>
      </c>
      <c r="S1557">
        <v>235.45999999999998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7" x14ac:dyDescent="0.25">
      <c r="A1558" t="s">
        <v>285</v>
      </c>
      <c r="B1558" t="s">
        <v>562</v>
      </c>
      <c r="C1558" t="s">
        <v>1860</v>
      </c>
      <c r="D1558" t="s">
        <v>619</v>
      </c>
      <c r="E1558" t="s">
        <v>1179</v>
      </c>
      <c r="F1558" t="s">
        <v>571</v>
      </c>
      <c r="G1558" s="204"/>
      <c r="H1558">
        <v>14</v>
      </c>
      <c r="I1558">
        <v>105322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7" x14ac:dyDescent="0.25">
      <c r="A1559" t="s">
        <v>1534</v>
      </c>
      <c r="B1559" t="s">
        <v>565</v>
      </c>
      <c r="C1559" t="s">
        <v>1859</v>
      </c>
      <c r="D1559" t="s">
        <v>662</v>
      </c>
      <c r="E1559" t="s">
        <v>1351</v>
      </c>
      <c r="F1559" t="s">
        <v>571</v>
      </c>
      <c r="G1559" s="204"/>
      <c r="J1559">
        <v>20</v>
      </c>
      <c r="K1559">
        <v>3457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7" x14ac:dyDescent="0.25">
      <c r="A1560" t="s">
        <v>1534</v>
      </c>
      <c r="B1560" t="s">
        <v>565</v>
      </c>
      <c r="C1560" t="s">
        <v>1859</v>
      </c>
      <c r="D1560" t="s">
        <v>662</v>
      </c>
      <c r="E1560" t="s">
        <v>1216</v>
      </c>
      <c r="F1560" t="s">
        <v>571</v>
      </c>
      <c r="G1560" s="204"/>
      <c r="J1560">
        <v>25</v>
      </c>
      <c r="K1560">
        <v>2810.75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7" x14ac:dyDescent="0.25">
      <c r="A1561" t="s">
        <v>912</v>
      </c>
      <c r="B1561" t="s">
        <v>562</v>
      </c>
      <c r="C1561" t="s">
        <v>1858</v>
      </c>
      <c r="D1561" t="s">
        <v>584</v>
      </c>
      <c r="E1561" t="s">
        <v>1177</v>
      </c>
      <c r="F1561" t="s">
        <v>571</v>
      </c>
      <c r="G1561" s="204"/>
      <c r="L1561">
        <v>24</v>
      </c>
      <c r="M1561">
        <v>5040</v>
      </c>
      <c r="N1561">
        <v>0</v>
      </c>
      <c r="O1561">
        <v>0</v>
      </c>
      <c r="P1561">
        <v>0</v>
      </c>
      <c r="Q1561">
        <v>24</v>
      </c>
      <c r="R1561">
        <v>5040</v>
      </c>
      <c r="S1561">
        <v>210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7" x14ac:dyDescent="0.25">
      <c r="A1562" t="s">
        <v>375</v>
      </c>
      <c r="B1562" t="s">
        <v>562</v>
      </c>
      <c r="C1562" t="s">
        <v>1858</v>
      </c>
      <c r="D1562" t="s">
        <v>582</v>
      </c>
      <c r="E1562" t="s">
        <v>1223</v>
      </c>
      <c r="F1562" t="s">
        <v>571</v>
      </c>
      <c r="G1562" s="204"/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T1562">
        <v>0</v>
      </c>
      <c r="U1562">
        <v>0</v>
      </c>
      <c r="V1562">
        <v>20</v>
      </c>
      <c r="W1562">
        <v>22412.799999999999</v>
      </c>
      <c r="X1562">
        <v>20</v>
      </c>
      <c r="Y1562">
        <v>20</v>
      </c>
      <c r="Z1562">
        <v>22412.799999999999</v>
      </c>
      <c r="AA1562">
        <v>1120.6399999999999</v>
      </c>
    </row>
    <row r="1563" spans="1:27" x14ac:dyDescent="0.25">
      <c r="A1563" t="s">
        <v>375</v>
      </c>
      <c r="B1563" t="s">
        <v>562</v>
      </c>
      <c r="C1563" t="s">
        <v>1858</v>
      </c>
      <c r="D1563" t="s">
        <v>582</v>
      </c>
      <c r="E1563" t="s">
        <v>1144</v>
      </c>
      <c r="F1563" t="s">
        <v>571</v>
      </c>
      <c r="G1563" s="204"/>
      <c r="L1563">
        <v>0</v>
      </c>
      <c r="M1563">
        <v>0</v>
      </c>
      <c r="N1563">
        <v>50</v>
      </c>
      <c r="O1563">
        <v>44702</v>
      </c>
      <c r="P1563">
        <v>50</v>
      </c>
      <c r="Q1563">
        <v>50</v>
      </c>
      <c r="R1563">
        <v>44702</v>
      </c>
      <c r="S1563">
        <v>894.04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7" x14ac:dyDescent="0.25">
      <c r="A1564" t="s">
        <v>375</v>
      </c>
      <c r="B1564" t="s">
        <v>562</v>
      </c>
      <c r="C1564" t="s">
        <v>1858</v>
      </c>
      <c r="D1564" t="s">
        <v>582</v>
      </c>
      <c r="E1564" t="s">
        <v>1435</v>
      </c>
      <c r="F1564" t="s">
        <v>571</v>
      </c>
      <c r="G1564" s="204"/>
      <c r="H1564">
        <v>50</v>
      </c>
      <c r="I1564">
        <v>43852</v>
      </c>
      <c r="L1564">
        <v>100</v>
      </c>
      <c r="M1564">
        <v>93858.999999999985</v>
      </c>
      <c r="N1564">
        <v>0</v>
      </c>
      <c r="O1564">
        <v>0</v>
      </c>
      <c r="P1564">
        <v>0</v>
      </c>
      <c r="Q1564">
        <v>100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7" x14ac:dyDescent="0.25">
      <c r="A1565" t="s">
        <v>376</v>
      </c>
      <c r="B1565" t="s">
        <v>562</v>
      </c>
      <c r="C1565" t="s">
        <v>1858</v>
      </c>
      <c r="D1565" t="s">
        <v>582</v>
      </c>
      <c r="E1565" t="s">
        <v>1709</v>
      </c>
      <c r="F1565" t="s">
        <v>571</v>
      </c>
      <c r="G1565" s="204"/>
      <c r="H1565">
        <v>4</v>
      </c>
      <c r="I1565">
        <v>4251.2</v>
      </c>
      <c r="J1565">
        <v>4</v>
      </c>
      <c r="K1565">
        <v>4251.2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7" x14ac:dyDescent="0.25">
      <c r="A1566" t="s">
        <v>376</v>
      </c>
      <c r="B1566" t="s">
        <v>562</v>
      </c>
      <c r="C1566" t="s">
        <v>1858</v>
      </c>
      <c r="D1566" t="s">
        <v>582</v>
      </c>
      <c r="E1566" t="s">
        <v>1331</v>
      </c>
      <c r="F1566" t="s">
        <v>571</v>
      </c>
      <c r="G1566" s="204"/>
      <c r="L1566">
        <v>20</v>
      </c>
      <c r="M1566">
        <v>21158.3</v>
      </c>
      <c r="N1566">
        <v>0</v>
      </c>
      <c r="O1566">
        <v>0</v>
      </c>
      <c r="P1566">
        <v>0</v>
      </c>
      <c r="Q1566">
        <v>20</v>
      </c>
      <c r="R1566">
        <v>21158.3</v>
      </c>
      <c r="S1566">
        <v>1057.915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7" x14ac:dyDescent="0.25">
      <c r="A1567" t="s">
        <v>376</v>
      </c>
      <c r="B1567" t="s">
        <v>562</v>
      </c>
      <c r="C1567" t="s">
        <v>1858</v>
      </c>
      <c r="D1567" t="s">
        <v>582</v>
      </c>
      <c r="E1567" t="s">
        <v>1142</v>
      </c>
      <c r="F1567" t="s">
        <v>571</v>
      </c>
      <c r="G1567" s="204"/>
      <c r="L1567">
        <v>124</v>
      </c>
      <c r="M1567">
        <v>36580</v>
      </c>
      <c r="N1567">
        <v>0</v>
      </c>
      <c r="O1567">
        <v>0</v>
      </c>
      <c r="P1567">
        <v>0</v>
      </c>
      <c r="Q1567">
        <v>124</v>
      </c>
      <c r="R1567">
        <v>36580</v>
      </c>
      <c r="S1567">
        <v>295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7" x14ac:dyDescent="0.25">
      <c r="A1568" t="s">
        <v>692</v>
      </c>
      <c r="B1568" t="s">
        <v>562</v>
      </c>
      <c r="C1568" t="s">
        <v>1860</v>
      </c>
      <c r="D1568" t="s">
        <v>623</v>
      </c>
      <c r="E1568" t="s">
        <v>1179</v>
      </c>
      <c r="F1568" t="s">
        <v>571</v>
      </c>
      <c r="G1568" s="204"/>
      <c r="L1568">
        <v>4</v>
      </c>
      <c r="M1568">
        <v>147892</v>
      </c>
      <c r="N1568">
        <v>0</v>
      </c>
      <c r="O1568">
        <v>0</v>
      </c>
      <c r="P1568">
        <v>0</v>
      </c>
      <c r="Q1568">
        <v>4</v>
      </c>
      <c r="R1568">
        <v>147892</v>
      </c>
      <c r="S1568">
        <v>36973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7" x14ac:dyDescent="0.25">
      <c r="A1569" t="s">
        <v>862</v>
      </c>
      <c r="B1569" t="s">
        <v>565</v>
      </c>
      <c r="C1569" t="s">
        <v>1858</v>
      </c>
      <c r="D1569" t="s">
        <v>584</v>
      </c>
      <c r="E1569" t="s">
        <v>1173</v>
      </c>
      <c r="F1569" t="s">
        <v>571</v>
      </c>
      <c r="G1569" s="204"/>
      <c r="J1569">
        <v>148</v>
      </c>
      <c r="K1569">
        <v>7050.7199999999993</v>
      </c>
      <c r="L1569">
        <v>148</v>
      </c>
      <c r="M1569">
        <v>7050.72</v>
      </c>
      <c r="N1569">
        <v>0</v>
      </c>
      <c r="O1569">
        <v>0</v>
      </c>
      <c r="P1569">
        <v>0</v>
      </c>
      <c r="Q1569">
        <v>148</v>
      </c>
      <c r="R1569">
        <v>7050.72</v>
      </c>
      <c r="S1569">
        <v>47.64</v>
      </c>
      <c r="T1569">
        <v>0</v>
      </c>
      <c r="U1569">
        <v>0</v>
      </c>
      <c r="V1569">
        <v>430</v>
      </c>
      <c r="W1569">
        <v>20485.2</v>
      </c>
      <c r="X1569">
        <v>430</v>
      </c>
      <c r="Y1569">
        <v>430</v>
      </c>
    </row>
    <row r="1570" spans="1:27" x14ac:dyDescent="0.25">
      <c r="A1570" t="s">
        <v>1675</v>
      </c>
      <c r="B1570" t="s">
        <v>562</v>
      </c>
      <c r="C1570" t="s">
        <v>1858</v>
      </c>
      <c r="D1570" t="s">
        <v>584</v>
      </c>
      <c r="E1570" t="s">
        <v>1186</v>
      </c>
      <c r="F1570" t="s">
        <v>571</v>
      </c>
      <c r="G1570" s="204"/>
      <c r="J1570">
        <v>6</v>
      </c>
      <c r="K1570">
        <v>3000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7" x14ac:dyDescent="0.25">
      <c r="A1571" t="s">
        <v>1022</v>
      </c>
      <c r="B1571" t="s">
        <v>562</v>
      </c>
      <c r="C1571" t="s">
        <v>920</v>
      </c>
      <c r="D1571" t="s">
        <v>920</v>
      </c>
      <c r="E1571" t="s">
        <v>1513</v>
      </c>
      <c r="F1571" t="s">
        <v>571</v>
      </c>
      <c r="G1571" s="204"/>
      <c r="L1571">
        <v>18</v>
      </c>
      <c r="M1571">
        <v>475.56</v>
      </c>
      <c r="N1571">
        <v>0</v>
      </c>
      <c r="O1571">
        <v>0</v>
      </c>
      <c r="P1571">
        <v>0</v>
      </c>
      <c r="Q1571">
        <v>18</v>
      </c>
      <c r="R1571">
        <v>475.56</v>
      </c>
      <c r="S1571">
        <v>26.42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7" x14ac:dyDescent="0.25">
      <c r="A1572" t="s">
        <v>325</v>
      </c>
      <c r="B1572" t="s">
        <v>556</v>
      </c>
      <c r="C1572" t="s">
        <v>1859</v>
      </c>
      <c r="D1572" t="s">
        <v>618</v>
      </c>
      <c r="E1572" t="s">
        <v>1810</v>
      </c>
      <c r="F1572" t="s">
        <v>571</v>
      </c>
      <c r="G1572" s="204"/>
      <c r="J1572">
        <v>40</v>
      </c>
      <c r="K1572">
        <v>19874.5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7" x14ac:dyDescent="0.25">
      <c r="A1573" t="s">
        <v>325</v>
      </c>
      <c r="B1573" t="s">
        <v>556</v>
      </c>
      <c r="C1573" t="s">
        <v>1859</v>
      </c>
      <c r="D1573" t="s">
        <v>618</v>
      </c>
      <c r="E1573" t="s">
        <v>1167</v>
      </c>
      <c r="F1573" t="s">
        <v>571</v>
      </c>
      <c r="G1573" s="204"/>
      <c r="J1573">
        <v>217</v>
      </c>
      <c r="K1573">
        <v>10669.89</v>
      </c>
      <c r="L1573">
        <v>234</v>
      </c>
      <c r="M1573">
        <v>11505.779999999999</v>
      </c>
      <c r="N1573">
        <v>245</v>
      </c>
      <c r="O1573">
        <v>12046.649999999998</v>
      </c>
      <c r="P1573">
        <v>245</v>
      </c>
      <c r="Q1573">
        <v>479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7" x14ac:dyDescent="0.25">
      <c r="A1574" t="s">
        <v>325</v>
      </c>
      <c r="B1574" t="s">
        <v>556</v>
      </c>
      <c r="C1574" t="s">
        <v>1859</v>
      </c>
      <c r="D1574" t="s">
        <v>618</v>
      </c>
      <c r="E1574" t="s">
        <v>1347</v>
      </c>
      <c r="F1574" t="s">
        <v>571</v>
      </c>
      <c r="G1574" s="204"/>
      <c r="J1574">
        <v>10</v>
      </c>
      <c r="K1574">
        <v>4679.8</v>
      </c>
      <c r="L1574">
        <v>220</v>
      </c>
      <c r="M1574">
        <v>29849.599999999999</v>
      </c>
      <c r="N1574">
        <v>0</v>
      </c>
      <c r="O1574">
        <v>0</v>
      </c>
      <c r="P1574">
        <v>0</v>
      </c>
      <c r="Q1574">
        <v>220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7" x14ac:dyDescent="0.25">
      <c r="A1575" t="s">
        <v>325</v>
      </c>
      <c r="B1575" t="s">
        <v>556</v>
      </c>
      <c r="C1575" t="s">
        <v>1859</v>
      </c>
      <c r="D1575" t="s">
        <v>618</v>
      </c>
      <c r="E1575" t="s">
        <v>1166</v>
      </c>
      <c r="F1575" t="s">
        <v>571</v>
      </c>
      <c r="G1575" s="204"/>
      <c r="H1575">
        <v>100</v>
      </c>
      <c r="I1575">
        <v>10890</v>
      </c>
      <c r="L1575">
        <v>220</v>
      </c>
      <c r="M1575">
        <v>26668.400000000001</v>
      </c>
      <c r="N1575">
        <v>120</v>
      </c>
      <c r="O1575">
        <v>15506.4</v>
      </c>
      <c r="P1575">
        <v>120</v>
      </c>
      <c r="Q1575">
        <v>340</v>
      </c>
      <c r="T1575">
        <v>0</v>
      </c>
      <c r="U1575">
        <v>0</v>
      </c>
      <c r="V1575">
        <v>390</v>
      </c>
      <c r="W1575">
        <v>50395.8</v>
      </c>
      <c r="X1575">
        <v>390</v>
      </c>
      <c r="Y1575">
        <v>390</v>
      </c>
    </row>
    <row r="1576" spans="1:27" x14ac:dyDescent="0.25">
      <c r="A1576" t="s">
        <v>325</v>
      </c>
      <c r="B1576" t="s">
        <v>556</v>
      </c>
      <c r="C1576" t="s">
        <v>1859</v>
      </c>
      <c r="D1576" t="s">
        <v>618</v>
      </c>
      <c r="E1576" t="s">
        <v>1373</v>
      </c>
      <c r="F1576" t="s">
        <v>571</v>
      </c>
      <c r="G1576" s="204"/>
      <c r="H1576">
        <v>100</v>
      </c>
      <c r="I1576">
        <v>4917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7" x14ac:dyDescent="0.25">
      <c r="A1577" t="s">
        <v>325</v>
      </c>
      <c r="B1577" t="s">
        <v>556</v>
      </c>
      <c r="C1577" t="s">
        <v>1859</v>
      </c>
      <c r="D1577" t="s">
        <v>618</v>
      </c>
      <c r="E1577" t="s">
        <v>1203</v>
      </c>
      <c r="F1577" t="s">
        <v>571</v>
      </c>
      <c r="G1577" s="204"/>
      <c r="L1577">
        <v>86</v>
      </c>
      <c r="M1577">
        <v>16413.099999999999</v>
      </c>
      <c r="N1577">
        <v>0</v>
      </c>
      <c r="O1577">
        <v>0</v>
      </c>
      <c r="P1577">
        <v>0</v>
      </c>
      <c r="Q1577">
        <v>86</v>
      </c>
      <c r="T1577">
        <v>0</v>
      </c>
      <c r="U1577">
        <v>0</v>
      </c>
      <c r="V1577">
        <v>50</v>
      </c>
      <c r="W1577">
        <v>14999.5</v>
      </c>
      <c r="X1577">
        <v>50</v>
      </c>
      <c r="Y1577">
        <v>50</v>
      </c>
      <c r="Z1577">
        <v>14999.5</v>
      </c>
      <c r="AA1577">
        <v>299.99</v>
      </c>
    </row>
    <row r="1578" spans="1:27" x14ac:dyDescent="0.25">
      <c r="A1578" t="s">
        <v>325</v>
      </c>
      <c r="B1578" t="s">
        <v>556</v>
      </c>
      <c r="C1578" t="s">
        <v>1859</v>
      </c>
      <c r="D1578" t="s">
        <v>618</v>
      </c>
      <c r="E1578" t="s">
        <v>1173</v>
      </c>
      <c r="F1578" t="s">
        <v>571</v>
      </c>
      <c r="G1578" s="204"/>
      <c r="L1578">
        <v>33</v>
      </c>
      <c r="M1578">
        <v>6298.05</v>
      </c>
      <c r="N1578">
        <v>0</v>
      </c>
      <c r="O1578">
        <v>0</v>
      </c>
      <c r="P1578">
        <v>0</v>
      </c>
      <c r="Q1578">
        <v>33</v>
      </c>
      <c r="R1578">
        <v>6298.05</v>
      </c>
      <c r="S1578">
        <v>190.85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7" x14ac:dyDescent="0.25">
      <c r="A1579" t="s">
        <v>146</v>
      </c>
      <c r="B1579" t="s">
        <v>556</v>
      </c>
      <c r="C1579" t="s">
        <v>1859</v>
      </c>
      <c r="D1579" t="s">
        <v>603</v>
      </c>
      <c r="E1579" t="s">
        <v>1169</v>
      </c>
      <c r="F1579" t="s">
        <v>578</v>
      </c>
      <c r="G1579" s="204">
        <v>46752</v>
      </c>
      <c r="H1579">
        <v>250</v>
      </c>
      <c r="I1579">
        <v>52500</v>
      </c>
      <c r="K1579">
        <v>54594</v>
      </c>
      <c r="L1579">
        <v>250</v>
      </c>
      <c r="M1579">
        <v>55530</v>
      </c>
      <c r="N1579">
        <v>50</v>
      </c>
      <c r="O1579">
        <v>11106</v>
      </c>
      <c r="P1579">
        <v>50</v>
      </c>
      <c r="Q1579">
        <v>300</v>
      </c>
      <c r="T1579">
        <v>0</v>
      </c>
      <c r="U1579">
        <v>0</v>
      </c>
      <c r="V1579">
        <v>550</v>
      </c>
      <c r="W1579">
        <v>122166</v>
      </c>
      <c r="X1579">
        <v>550</v>
      </c>
      <c r="Y1579">
        <v>550</v>
      </c>
    </row>
    <row r="1580" spans="1:27" x14ac:dyDescent="0.25">
      <c r="A1580" t="s">
        <v>499</v>
      </c>
      <c r="B1580" t="s">
        <v>556</v>
      </c>
      <c r="C1580" t="s">
        <v>1859</v>
      </c>
      <c r="D1580" t="s">
        <v>634</v>
      </c>
      <c r="E1580" t="s">
        <v>1215</v>
      </c>
      <c r="F1580" t="s">
        <v>571</v>
      </c>
      <c r="G1580" s="204"/>
      <c r="J1580">
        <v>806</v>
      </c>
      <c r="K1580">
        <v>46095.14</v>
      </c>
      <c r="L1580">
        <v>919</v>
      </c>
      <c r="M1580">
        <v>60451.82</v>
      </c>
      <c r="N1580">
        <v>0</v>
      </c>
      <c r="O1580">
        <v>0</v>
      </c>
      <c r="P1580">
        <v>0</v>
      </c>
      <c r="Q1580">
        <v>919</v>
      </c>
      <c r="T1580">
        <v>0</v>
      </c>
      <c r="U1580">
        <v>0</v>
      </c>
      <c r="V1580">
        <v>3181</v>
      </c>
      <c r="W1580">
        <v>209246.18</v>
      </c>
      <c r="X1580">
        <v>3181</v>
      </c>
      <c r="Y1580">
        <v>3181</v>
      </c>
    </row>
    <row r="1581" spans="1:27" x14ac:dyDescent="0.25">
      <c r="A1581" t="s">
        <v>148</v>
      </c>
      <c r="B1581" t="s">
        <v>556</v>
      </c>
      <c r="C1581" t="s">
        <v>1859</v>
      </c>
      <c r="D1581" t="s">
        <v>603</v>
      </c>
      <c r="E1581" t="s">
        <v>1169</v>
      </c>
      <c r="F1581" t="s">
        <v>578</v>
      </c>
      <c r="G1581" s="204">
        <v>46752</v>
      </c>
      <c r="H1581">
        <v>821</v>
      </c>
      <c r="I1581">
        <v>56891.85</v>
      </c>
      <c r="L1581">
        <v>750</v>
      </c>
      <c r="M1581">
        <v>54615</v>
      </c>
      <c r="N1581">
        <v>150</v>
      </c>
      <c r="O1581">
        <v>10923</v>
      </c>
      <c r="P1581">
        <v>150</v>
      </c>
      <c r="Q1581">
        <v>900</v>
      </c>
      <c r="T1581">
        <v>0</v>
      </c>
      <c r="U1581">
        <v>0</v>
      </c>
      <c r="V1581">
        <v>1350</v>
      </c>
      <c r="W1581">
        <v>98307</v>
      </c>
      <c r="X1581">
        <v>1350</v>
      </c>
      <c r="Y1581">
        <v>1350</v>
      </c>
    </row>
    <row r="1582" spans="1:27" x14ac:dyDescent="0.25">
      <c r="A1582" t="s">
        <v>326</v>
      </c>
      <c r="B1582" t="s">
        <v>562</v>
      </c>
      <c r="C1582" t="s">
        <v>1859</v>
      </c>
      <c r="D1582" t="s">
        <v>581</v>
      </c>
      <c r="E1582" t="s">
        <v>1292</v>
      </c>
      <c r="F1582" t="s">
        <v>571</v>
      </c>
      <c r="G1582" s="204"/>
      <c r="H1582">
        <v>100</v>
      </c>
      <c r="I1582">
        <v>8401</v>
      </c>
      <c r="L1582">
        <v>304</v>
      </c>
      <c r="M1582">
        <v>32614.799999999999</v>
      </c>
      <c r="N1582">
        <v>0</v>
      </c>
      <c r="O1582">
        <v>0</v>
      </c>
      <c r="P1582">
        <v>0</v>
      </c>
      <c r="Q1582">
        <v>304</v>
      </c>
      <c r="T1582">
        <v>0</v>
      </c>
      <c r="U1582">
        <v>0</v>
      </c>
      <c r="V1582">
        <v>100</v>
      </c>
      <c r="W1582">
        <v>11683</v>
      </c>
      <c r="X1582">
        <v>100</v>
      </c>
      <c r="Y1582">
        <v>100</v>
      </c>
      <c r="Z1582">
        <v>11683</v>
      </c>
      <c r="AA1582">
        <v>116.83</v>
      </c>
    </row>
    <row r="1583" spans="1:27" x14ac:dyDescent="0.25">
      <c r="A1583" t="s">
        <v>903</v>
      </c>
      <c r="B1583" t="s">
        <v>565</v>
      </c>
      <c r="C1583" t="s">
        <v>1859</v>
      </c>
      <c r="D1583" t="s">
        <v>637</v>
      </c>
      <c r="E1583" t="s">
        <v>1311</v>
      </c>
      <c r="F1583" t="s">
        <v>571</v>
      </c>
      <c r="G1583" s="204"/>
      <c r="L1583">
        <v>0</v>
      </c>
      <c r="M1583">
        <v>0</v>
      </c>
      <c r="N1583">
        <v>100</v>
      </c>
      <c r="O1583">
        <v>10018</v>
      </c>
      <c r="P1583">
        <v>100</v>
      </c>
      <c r="Q1583">
        <v>100</v>
      </c>
      <c r="R1583">
        <v>10018</v>
      </c>
      <c r="S1583">
        <v>100.18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7" x14ac:dyDescent="0.25">
      <c r="A1584" t="s">
        <v>327</v>
      </c>
      <c r="B1584" t="s">
        <v>565</v>
      </c>
      <c r="C1584" t="s">
        <v>1859</v>
      </c>
      <c r="D1584" t="s">
        <v>581</v>
      </c>
      <c r="E1584" t="s">
        <v>1292</v>
      </c>
      <c r="F1584" t="s">
        <v>571</v>
      </c>
      <c r="G1584" s="204"/>
      <c r="H1584">
        <v>71</v>
      </c>
      <c r="I1584">
        <v>13004.36</v>
      </c>
      <c r="L1584">
        <v>200</v>
      </c>
      <c r="M1584">
        <v>48354</v>
      </c>
      <c r="N1584">
        <v>0</v>
      </c>
      <c r="O1584">
        <v>0</v>
      </c>
      <c r="P1584">
        <v>0</v>
      </c>
      <c r="Q1584">
        <v>200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6" x14ac:dyDescent="0.25">
      <c r="A1585" t="s">
        <v>328</v>
      </c>
      <c r="B1585" t="s">
        <v>565</v>
      </c>
      <c r="C1585" t="s">
        <v>1859</v>
      </c>
      <c r="D1585" t="s">
        <v>581</v>
      </c>
      <c r="E1585" t="s">
        <v>1292</v>
      </c>
      <c r="F1585" t="s">
        <v>571</v>
      </c>
      <c r="G1585" s="204"/>
      <c r="H1585">
        <v>100</v>
      </c>
      <c r="I1585">
        <v>22344</v>
      </c>
      <c r="L1585">
        <v>300</v>
      </c>
      <c r="M1585">
        <v>81153</v>
      </c>
      <c r="N1585">
        <v>100</v>
      </c>
      <c r="O1585">
        <v>29080</v>
      </c>
      <c r="P1585">
        <v>100</v>
      </c>
      <c r="Q1585">
        <v>400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6" x14ac:dyDescent="0.25">
      <c r="A1586" t="s">
        <v>1676</v>
      </c>
      <c r="B1586" t="s">
        <v>562</v>
      </c>
      <c r="C1586" t="s">
        <v>564</v>
      </c>
      <c r="D1586" t="s">
        <v>1893</v>
      </c>
      <c r="E1586" t="s">
        <v>1169</v>
      </c>
      <c r="F1586" t="s">
        <v>571</v>
      </c>
      <c r="G1586" s="204"/>
      <c r="H1586">
        <v>494</v>
      </c>
      <c r="I1586">
        <v>74100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6" x14ac:dyDescent="0.25">
      <c r="A1587" t="s">
        <v>150</v>
      </c>
      <c r="B1587" t="s">
        <v>565</v>
      </c>
      <c r="C1587" t="s">
        <v>1859</v>
      </c>
      <c r="D1587" t="s">
        <v>595</v>
      </c>
      <c r="E1587" t="s">
        <v>1167</v>
      </c>
      <c r="F1587" t="s">
        <v>571</v>
      </c>
      <c r="G1587" s="204"/>
      <c r="J1587">
        <v>39</v>
      </c>
      <c r="K1587">
        <v>14966.64</v>
      </c>
      <c r="L1587">
        <v>44</v>
      </c>
      <c r="M1587">
        <v>17514.64</v>
      </c>
      <c r="N1587">
        <v>14</v>
      </c>
      <c r="O1587">
        <v>5572.84</v>
      </c>
      <c r="P1587">
        <v>14</v>
      </c>
      <c r="Q1587">
        <v>58</v>
      </c>
      <c r="T1587">
        <v>0</v>
      </c>
      <c r="U1587">
        <v>0</v>
      </c>
      <c r="V1587">
        <v>54</v>
      </c>
      <c r="W1587">
        <v>21495.24</v>
      </c>
      <c r="X1587">
        <v>54</v>
      </c>
      <c r="Y1587">
        <v>54</v>
      </c>
    </row>
    <row r="1588" spans="1:26" x14ac:dyDescent="0.25">
      <c r="A1588" t="s">
        <v>1522</v>
      </c>
      <c r="B1588" t="s">
        <v>556</v>
      </c>
      <c r="C1588" t="s">
        <v>1859</v>
      </c>
      <c r="D1588" t="s">
        <v>609</v>
      </c>
      <c r="E1588" t="s">
        <v>1811</v>
      </c>
      <c r="F1588" t="s">
        <v>571</v>
      </c>
      <c r="G1588" s="204"/>
      <c r="H1588">
        <v>1857</v>
      </c>
      <c r="I1588">
        <v>43769.489999999991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6" x14ac:dyDescent="0.25">
      <c r="A1589" t="s">
        <v>1522</v>
      </c>
      <c r="B1589" t="s">
        <v>556</v>
      </c>
      <c r="C1589" t="s">
        <v>1859</v>
      </c>
      <c r="D1589" t="s">
        <v>609</v>
      </c>
      <c r="E1589" t="s">
        <v>1303</v>
      </c>
      <c r="F1589" t="s">
        <v>571</v>
      </c>
      <c r="G1589" s="204"/>
      <c r="H1589">
        <v>800</v>
      </c>
      <c r="I1589">
        <v>18856.000000000004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6" x14ac:dyDescent="0.25">
      <c r="A1590" t="s">
        <v>152</v>
      </c>
      <c r="B1590" t="s">
        <v>556</v>
      </c>
      <c r="C1590" t="s">
        <v>1859</v>
      </c>
      <c r="D1590" t="s">
        <v>609</v>
      </c>
      <c r="E1590" t="s">
        <v>1811</v>
      </c>
      <c r="F1590" t="s">
        <v>571</v>
      </c>
      <c r="G1590" s="204"/>
      <c r="H1590">
        <v>4691</v>
      </c>
      <c r="I1590">
        <v>110566.87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6" x14ac:dyDescent="0.25">
      <c r="A1591" t="s">
        <v>152</v>
      </c>
      <c r="B1591" t="s">
        <v>556</v>
      </c>
      <c r="C1591" t="s">
        <v>1859</v>
      </c>
      <c r="D1591" t="s">
        <v>609</v>
      </c>
      <c r="E1591" t="s">
        <v>1303</v>
      </c>
      <c r="F1591" t="s">
        <v>571</v>
      </c>
      <c r="G1591" s="204"/>
      <c r="H1591">
        <v>904</v>
      </c>
      <c r="I1591">
        <v>21891.71</v>
      </c>
      <c r="L1591">
        <v>7776</v>
      </c>
      <c r="M1591">
        <v>185302.08</v>
      </c>
      <c r="N1591">
        <v>112</v>
      </c>
      <c r="O1591">
        <v>2717.12</v>
      </c>
      <c r="P1591">
        <v>112</v>
      </c>
      <c r="Q1591">
        <v>7888</v>
      </c>
      <c r="T1591">
        <v>0</v>
      </c>
      <c r="U1591">
        <v>0</v>
      </c>
      <c r="V1591">
        <v>1832</v>
      </c>
      <c r="W1591">
        <v>44444.32</v>
      </c>
      <c r="X1591">
        <v>1832</v>
      </c>
      <c r="Y1591">
        <v>1832</v>
      </c>
    </row>
    <row r="1592" spans="1:26" x14ac:dyDescent="0.25">
      <c r="A1592" t="s">
        <v>1523</v>
      </c>
      <c r="B1592" t="s">
        <v>556</v>
      </c>
      <c r="C1592" t="s">
        <v>1859</v>
      </c>
      <c r="D1592" t="s">
        <v>609</v>
      </c>
      <c r="E1592" t="s">
        <v>1303</v>
      </c>
      <c r="F1592" t="s">
        <v>571</v>
      </c>
      <c r="G1592" s="204"/>
      <c r="H1592">
        <v>650</v>
      </c>
      <c r="I1592">
        <v>15320.5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6" x14ac:dyDescent="0.25">
      <c r="A1593" t="s">
        <v>1524</v>
      </c>
      <c r="B1593" t="s">
        <v>556</v>
      </c>
      <c r="C1593" t="s">
        <v>1859</v>
      </c>
      <c r="D1593" t="s">
        <v>609</v>
      </c>
      <c r="E1593" t="s">
        <v>1811</v>
      </c>
      <c r="F1593" t="s">
        <v>571</v>
      </c>
      <c r="G1593" s="204"/>
      <c r="H1593">
        <v>1935</v>
      </c>
      <c r="I1593">
        <v>46343.25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6" x14ac:dyDescent="0.25">
      <c r="A1594" t="s">
        <v>1524</v>
      </c>
      <c r="B1594" t="s">
        <v>556</v>
      </c>
      <c r="C1594" t="s">
        <v>1859</v>
      </c>
      <c r="D1594" t="s">
        <v>609</v>
      </c>
      <c r="E1594" t="s">
        <v>1303</v>
      </c>
      <c r="F1594" t="s">
        <v>571</v>
      </c>
      <c r="G1594" s="204"/>
      <c r="H1594">
        <v>800</v>
      </c>
      <c r="I1594">
        <v>19160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6" x14ac:dyDescent="0.25">
      <c r="A1595" t="s">
        <v>154</v>
      </c>
      <c r="B1595" t="s">
        <v>556</v>
      </c>
      <c r="C1595" t="s">
        <v>1859</v>
      </c>
      <c r="D1595" t="s">
        <v>609</v>
      </c>
      <c r="E1595" t="s">
        <v>1811</v>
      </c>
      <c r="F1595" t="s">
        <v>571</v>
      </c>
      <c r="G1595" s="204"/>
      <c r="H1595">
        <v>4697</v>
      </c>
      <c r="I1595">
        <v>112493.15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6" x14ac:dyDescent="0.25">
      <c r="A1596" t="s">
        <v>154</v>
      </c>
      <c r="B1596" t="s">
        <v>556</v>
      </c>
      <c r="C1596" t="s">
        <v>1859</v>
      </c>
      <c r="D1596" t="s">
        <v>609</v>
      </c>
      <c r="E1596" t="s">
        <v>1303</v>
      </c>
      <c r="F1596" t="s">
        <v>571</v>
      </c>
      <c r="G1596" s="204"/>
      <c r="H1596">
        <v>799</v>
      </c>
      <c r="I1596">
        <v>19136.05</v>
      </c>
      <c r="L1596">
        <v>8186</v>
      </c>
      <c r="M1596">
        <v>194060.16</v>
      </c>
      <c r="N1596">
        <v>1084</v>
      </c>
      <c r="O1596">
        <v>26297.84</v>
      </c>
      <c r="P1596">
        <v>1084</v>
      </c>
      <c r="Q1596">
        <v>9270</v>
      </c>
      <c r="T1596">
        <v>0</v>
      </c>
      <c r="U1596">
        <v>0</v>
      </c>
      <c r="V1596">
        <v>860</v>
      </c>
      <c r="W1596">
        <v>20863.599999999999</v>
      </c>
      <c r="X1596">
        <v>860</v>
      </c>
      <c r="Y1596">
        <v>860</v>
      </c>
    </row>
    <row r="1597" spans="1:26" x14ac:dyDescent="0.25">
      <c r="A1597" t="s">
        <v>156</v>
      </c>
      <c r="B1597" t="s">
        <v>556</v>
      </c>
      <c r="C1597" t="s">
        <v>1859</v>
      </c>
      <c r="D1597" t="s">
        <v>585</v>
      </c>
      <c r="E1597" t="s">
        <v>1276</v>
      </c>
      <c r="F1597" t="s">
        <v>571</v>
      </c>
      <c r="G1597" s="204"/>
      <c r="L1597">
        <v>11370</v>
      </c>
      <c r="M1597">
        <v>267906</v>
      </c>
      <c r="N1597">
        <v>0</v>
      </c>
      <c r="O1597">
        <v>0</v>
      </c>
      <c r="P1597">
        <v>0</v>
      </c>
      <c r="Q1597">
        <v>11370</v>
      </c>
      <c r="R1597">
        <v>267906</v>
      </c>
      <c r="S1597">
        <v>23.562532981530342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6" x14ac:dyDescent="0.25">
      <c r="A1598" t="s">
        <v>156</v>
      </c>
      <c r="B1598" t="s">
        <v>556</v>
      </c>
      <c r="C1598" t="s">
        <v>1859</v>
      </c>
      <c r="D1598" t="s">
        <v>585</v>
      </c>
      <c r="E1598" t="s">
        <v>1167</v>
      </c>
      <c r="F1598" t="s">
        <v>571</v>
      </c>
      <c r="G1598" s="204"/>
      <c r="H1598">
        <v>22</v>
      </c>
      <c r="I1598">
        <v>510.4</v>
      </c>
      <c r="L1598">
        <v>397</v>
      </c>
      <c r="M1598">
        <v>9767.25</v>
      </c>
      <c r="N1598">
        <v>0</v>
      </c>
      <c r="O1598">
        <v>0</v>
      </c>
      <c r="P1598">
        <v>0</v>
      </c>
      <c r="Q1598">
        <v>397</v>
      </c>
      <c r="T1598">
        <v>0</v>
      </c>
      <c r="U1598">
        <v>0</v>
      </c>
      <c r="V1598">
        <v>154</v>
      </c>
      <c r="W1598">
        <v>3857.7</v>
      </c>
      <c r="X1598">
        <v>154</v>
      </c>
      <c r="Y1598">
        <v>154</v>
      </c>
    </row>
    <row r="1599" spans="1:26" x14ac:dyDescent="0.25">
      <c r="A1599" t="s">
        <v>156</v>
      </c>
      <c r="B1599" t="s">
        <v>556</v>
      </c>
      <c r="C1599" t="s">
        <v>1859</v>
      </c>
      <c r="D1599" t="s">
        <v>585</v>
      </c>
      <c r="E1599" t="s">
        <v>1111</v>
      </c>
      <c r="F1599" t="s">
        <v>571</v>
      </c>
      <c r="G1599" s="204"/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T1599">
        <v>0</v>
      </c>
      <c r="U1599">
        <v>0</v>
      </c>
      <c r="V1599">
        <v>32448</v>
      </c>
      <c r="W1599">
        <v>0</v>
      </c>
      <c r="X1599">
        <v>0</v>
      </c>
      <c r="Y1599">
        <v>0</v>
      </c>
      <c r="Z1599">
        <v>0</v>
      </c>
    </row>
    <row r="1600" spans="1:26" x14ac:dyDescent="0.25">
      <c r="A1600" t="s">
        <v>156</v>
      </c>
      <c r="B1600" t="s">
        <v>556</v>
      </c>
      <c r="C1600" t="s">
        <v>1859</v>
      </c>
      <c r="D1600" t="s">
        <v>585</v>
      </c>
      <c r="E1600" t="s">
        <v>1277</v>
      </c>
      <c r="F1600" t="s">
        <v>571</v>
      </c>
      <c r="G1600" s="204"/>
      <c r="L1600">
        <v>0</v>
      </c>
      <c r="M1600">
        <v>0</v>
      </c>
      <c r="N1600">
        <v>5800</v>
      </c>
      <c r="O1600">
        <v>145290</v>
      </c>
      <c r="P1600">
        <v>5800</v>
      </c>
      <c r="Q1600">
        <v>5800</v>
      </c>
      <c r="R1600">
        <v>145290</v>
      </c>
      <c r="S1600">
        <v>25.05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6" x14ac:dyDescent="0.25">
      <c r="A1601" t="s">
        <v>156</v>
      </c>
      <c r="B1601" t="s">
        <v>556</v>
      </c>
      <c r="C1601" t="s">
        <v>1859</v>
      </c>
      <c r="D1601" t="s">
        <v>585</v>
      </c>
      <c r="E1601" t="s">
        <v>1303</v>
      </c>
      <c r="F1601" t="s">
        <v>571</v>
      </c>
      <c r="G1601" s="204"/>
      <c r="J1601">
        <v>23530</v>
      </c>
      <c r="K1601">
        <v>545381</v>
      </c>
      <c r="L1601">
        <v>33501</v>
      </c>
      <c r="M1601">
        <v>796148.2</v>
      </c>
      <c r="N1601">
        <v>4020</v>
      </c>
      <c r="O1601">
        <v>100701</v>
      </c>
      <c r="P1601">
        <v>4020</v>
      </c>
      <c r="Q1601">
        <v>37521</v>
      </c>
      <c r="T1601">
        <v>0</v>
      </c>
      <c r="U1601">
        <v>0</v>
      </c>
      <c r="V1601">
        <v>57017</v>
      </c>
      <c r="W1601">
        <v>1428275.85</v>
      </c>
      <c r="X1601">
        <v>57017</v>
      </c>
      <c r="Y1601">
        <v>57017</v>
      </c>
    </row>
    <row r="1602" spans="1:26" x14ac:dyDescent="0.25">
      <c r="A1602" t="s">
        <v>158</v>
      </c>
      <c r="B1602" t="s">
        <v>556</v>
      </c>
      <c r="C1602" t="s">
        <v>1859</v>
      </c>
      <c r="D1602" t="s">
        <v>962</v>
      </c>
      <c r="E1602" t="s">
        <v>1167</v>
      </c>
      <c r="F1602" t="s">
        <v>571</v>
      </c>
      <c r="G1602" s="204"/>
      <c r="L1602">
        <v>5</v>
      </c>
      <c r="M1602">
        <v>116</v>
      </c>
      <c r="N1602">
        <v>0</v>
      </c>
      <c r="O1602">
        <v>0</v>
      </c>
      <c r="P1602">
        <v>0</v>
      </c>
      <c r="Q1602">
        <v>5</v>
      </c>
      <c r="R1602">
        <v>116</v>
      </c>
      <c r="S1602">
        <v>23.2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6" x14ac:dyDescent="0.25">
      <c r="A1603" t="s">
        <v>1525</v>
      </c>
      <c r="B1603" t="s">
        <v>556</v>
      </c>
      <c r="C1603" t="s">
        <v>1859</v>
      </c>
      <c r="D1603" t="s">
        <v>585</v>
      </c>
      <c r="E1603" t="s">
        <v>1811</v>
      </c>
      <c r="F1603" t="s">
        <v>571</v>
      </c>
      <c r="G1603" s="204"/>
      <c r="J1603">
        <v>630</v>
      </c>
      <c r="K1603">
        <v>14490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6" x14ac:dyDescent="0.25">
      <c r="A1604" t="s">
        <v>1525</v>
      </c>
      <c r="B1604" t="s">
        <v>556</v>
      </c>
      <c r="C1604" t="s">
        <v>1859</v>
      </c>
      <c r="D1604" t="s">
        <v>585</v>
      </c>
      <c r="E1604" t="s">
        <v>1303</v>
      </c>
      <c r="F1604" t="s">
        <v>571</v>
      </c>
      <c r="G1604" s="204"/>
      <c r="J1604">
        <v>800</v>
      </c>
      <c r="K1604">
        <v>18400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6" x14ac:dyDescent="0.25">
      <c r="A1605" t="s">
        <v>160</v>
      </c>
      <c r="B1605" t="s">
        <v>556</v>
      </c>
      <c r="C1605" t="s">
        <v>1859</v>
      </c>
      <c r="D1605" t="s">
        <v>585</v>
      </c>
      <c r="E1605" t="s">
        <v>1276</v>
      </c>
      <c r="F1605" t="s">
        <v>571</v>
      </c>
      <c r="G1605" s="204"/>
      <c r="L1605">
        <v>8255</v>
      </c>
      <c r="M1605">
        <v>181615</v>
      </c>
      <c r="N1605">
        <v>4380</v>
      </c>
      <c r="O1605">
        <v>100740</v>
      </c>
      <c r="P1605">
        <v>4380</v>
      </c>
      <c r="Q1605">
        <v>12635</v>
      </c>
      <c r="R1605">
        <v>282355</v>
      </c>
      <c r="S1605">
        <v>22.347051840126632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6" x14ac:dyDescent="0.25">
      <c r="A1606" t="s">
        <v>160</v>
      </c>
      <c r="B1606" t="s">
        <v>556</v>
      </c>
      <c r="C1606" t="s">
        <v>1859</v>
      </c>
      <c r="D1606" t="s">
        <v>585</v>
      </c>
      <c r="E1606" t="s">
        <v>1111</v>
      </c>
      <c r="F1606" t="s">
        <v>571</v>
      </c>
      <c r="G1606" s="204"/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T1606">
        <v>0</v>
      </c>
      <c r="U1606">
        <v>0</v>
      </c>
      <c r="V1606">
        <v>29434</v>
      </c>
      <c r="W1606">
        <v>0</v>
      </c>
      <c r="X1606">
        <v>0</v>
      </c>
      <c r="Y1606">
        <v>0</v>
      </c>
      <c r="Z1606">
        <v>0</v>
      </c>
    </row>
    <row r="1607" spans="1:26" x14ac:dyDescent="0.25">
      <c r="A1607" t="s">
        <v>160</v>
      </c>
      <c r="B1607" t="s">
        <v>556</v>
      </c>
      <c r="C1607" t="s">
        <v>1859</v>
      </c>
      <c r="D1607" t="s">
        <v>585</v>
      </c>
      <c r="E1607" t="s">
        <v>1277</v>
      </c>
      <c r="F1607" t="s">
        <v>571</v>
      </c>
      <c r="G1607" s="204"/>
      <c r="L1607">
        <v>0</v>
      </c>
      <c r="M1607">
        <v>0</v>
      </c>
      <c r="N1607">
        <v>6800</v>
      </c>
      <c r="O1607">
        <v>156400</v>
      </c>
      <c r="P1607">
        <v>6800</v>
      </c>
      <c r="Q1607">
        <v>6800</v>
      </c>
      <c r="R1607">
        <v>156400</v>
      </c>
      <c r="S1607">
        <v>23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6" x14ac:dyDescent="0.25">
      <c r="A1608" t="s">
        <v>160</v>
      </c>
      <c r="B1608" t="s">
        <v>556</v>
      </c>
      <c r="C1608" t="s">
        <v>1859</v>
      </c>
      <c r="D1608" t="s">
        <v>585</v>
      </c>
      <c r="E1608" t="s">
        <v>1303</v>
      </c>
      <c r="F1608" t="s">
        <v>571</v>
      </c>
      <c r="G1608" s="204"/>
      <c r="J1608">
        <v>39897</v>
      </c>
      <c r="K1608">
        <v>913631</v>
      </c>
      <c r="L1608">
        <v>38600</v>
      </c>
      <c r="M1608">
        <v>863800</v>
      </c>
      <c r="N1608">
        <v>5000</v>
      </c>
      <c r="O1608">
        <v>115000</v>
      </c>
      <c r="P1608">
        <v>5000</v>
      </c>
      <c r="Q1608">
        <v>43600</v>
      </c>
      <c r="T1608">
        <v>0</v>
      </c>
      <c r="U1608">
        <v>0</v>
      </c>
      <c r="V1608">
        <v>64600</v>
      </c>
      <c r="W1608">
        <v>1485800</v>
      </c>
      <c r="X1608">
        <v>64600</v>
      </c>
      <c r="Y1608">
        <v>64600</v>
      </c>
    </row>
    <row r="1609" spans="1:26" x14ac:dyDescent="0.25">
      <c r="A1609" t="s">
        <v>1526</v>
      </c>
      <c r="B1609" t="s">
        <v>556</v>
      </c>
      <c r="C1609" t="s">
        <v>1859</v>
      </c>
      <c r="D1609" t="s">
        <v>585</v>
      </c>
      <c r="E1609" t="s">
        <v>1303</v>
      </c>
      <c r="F1609" t="s">
        <v>571</v>
      </c>
      <c r="G1609" s="204"/>
      <c r="H1609">
        <v>718</v>
      </c>
      <c r="I1609">
        <v>16514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6" x14ac:dyDescent="0.25">
      <c r="A1610" t="s">
        <v>1527</v>
      </c>
      <c r="B1610" t="s">
        <v>556</v>
      </c>
      <c r="C1610" t="s">
        <v>1859</v>
      </c>
      <c r="D1610" t="s">
        <v>585</v>
      </c>
      <c r="E1610" t="s">
        <v>1811</v>
      </c>
      <c r="F1610" t="s">
        <v>571</v>
      </c>
      <c r="G1610" s="204"/>
      <c r="H1610">
        <v>5747</v>
      </c>
      <c r="I1610">
        <v>126434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6" x14ac:dyDescent="0.25">
      <c r="A1611" t="s">
        <v>1527</v>
      </c>
      <c r="B1611" t="s">
        <v>556</v>
      </c>
      <c r="C1611" t="s">
        <v>1859</v>
      </c>
      <c r="D1611" t="s">
        <v>585</v>
      </c>
      <c r="E1611" t="s">
        <v>1303</v>
      </c>
      <c r="F1611" t="s">
        <v>571</v>
      </c>
      <c r="G1611" s="204"/>
      <c r="H1611">
        <v>503</v>
      </c>
      <c r="I1611">
        <v>11066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6" x14ac:dyDescent="0.25">
      <c r="A1612" t="s">
        <v>162</v>
      </c>
      <c r="B1612" t="s">
        <v>556</v>
      </c>
      <c r="C1612" t="s">
        <v>1859</v>
      </c>
      <c r="D1612" t="s">
        <v>585</v>
      </c>
      <c r="E1612" t="s">
        <v>1276</v>
      </c>
      <c r="F1612" t="s">
        <v>571</v>
      </c>
      <c r="G1612" s="204"/>
      <c r="L1612">
        <v>12466</v>
      </c>
      <c r="M1612">
        <v>277093</v>
      </c>
      <c r="N1612">
        <v>0</v>
      </c>
      <c r="O1612">
        <v>0</v>
      </c>
      <c r="P1612">
        <v>0</v>
      </c>
      <c r="Q1612">
        <v>12466</v>
      </c>
      <c r="R1612">
        <v>277093</v>
      </c>
      <c r="S1612">
        <v>22.22789988769453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6" x14ac:dyDescent="0.25">
      <c r="A1613" t="s">
        <v>162</v>
      </c>
      <c r="B1613" t="s">
        <v>556</v>
      </c>
      <c r="C1613" t="s">
        <v>1859</v>
      </c>
      <c r="D1613" t="s">
        <v>585</v>
      </c>
      <c r="E1613" t="s">
        <v>1111</v>
      </c>
      <c r="F1613" t="s">
        <v>571</v>
      </c>
      <c r="G1613" s="204"/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T1613">
        <v>0</v>
      </c>
      <c r="U1613">
        <v>0</v>
      </c>
      <c r="V1613">
        <v>34213</v>
      </c>
      <c r="W1613">
        <v>0</v>
      </c>
      <c r="X1613">
        <v>0</v>
      </c>
      <c r="Y1613">
        <v>0</v>
      </c>
      <c r="Z1613">
        <v>0</v>
      </c>
    </row>
    <row r="1614" spans="1:26" x14ac:dyDescent="0.25">
      <c r="A1614" t="s">
        <v>162</v>
      </c>
      <c r="B1614" t="s">
        <v>556</v>
      </c>
      <c r="C1614" t="s">
        <v>1859</v>
      </c>
      <c r="D1614" t="s">
        <v>585</v>
      </c>
      <c r="E1614" t="s">
        <v>1277</v>
      </c>
      <c r="F1614" t="s">
        <v>571</v>
      </c>
      <c r="G1614" s="204"/>
      <c r="L1614">
        <v>0</v>
      </c>
      <c r="M1614">
        <v>0</v>
      </c>
      <c r="N1614">
        <v>7600</v>
      </c>
      <c r="O1614">
        <v>174800</v>
      </c>
      <c r="P1614">
        <v>7600</v>
      </c>
      <c r="Q1614">
        <v>7600</v>
      </c>
      <c r="R1614">
        <v>174800</v>
      </c>
      <c r="S1614">
        <v>23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6" x14ac:dyDescent="0.25">
      <c r="A1615" t="s">
        <v>162</v>
      </c>
      <c r="B1615" t="s">
        <v>556</v>
      </c>
      <c r="C1615" t="s">
        <v>1859</v>
      </c>
      <c r="D1615" t="s">
        <v>585</v>
      </c>
      <c r="E1615" t="s">
        <v>1303</v>
      </c>
      <c r="F1615" t="s">
        <v>571</v>
      </c>
      <c r="G1615" s="204"/>
      <c r="J1615">
        <v>38006</v>
      </c>
      <c r="K1615">
        <v>832807</v>
      </c>
      <c r="L1615">
        <v>36017</v>
      </c>
      <c r="M1615">
        <v>781124</v>
      </c>
      <c r="N1615">
        <v>16368</v>
      </c>
      <c r="O1615">
        <v>376464</v>
      </c>
      <c r="P1615">
        <v>16368</v>
      </c>
      <c r="Q1615">
        <v>52385</v>
      </c>
      <c r="T1615">
        <v>0</v>
      </c>
      <c r="U1615">
        <v>0</v>
      </c>
      <c r="V1615">
        <v>77554</v>
      </c>
      <c r="W1615">
        <v>1783742</v>
      </c>
      <c r="X1615">
        <v>77554</v>
      </c>
      <c r="Y1615">
        <v>77554</v>
      </c>
    </row>
    <row r="1616" spans="1:26" x14ac:dyDescent="0.25">
      <c r="A1616" t="s">
        <v>164</v>
      </c>
      <c r="B1616" t="s">
        <v>565</v>
      </c>
      <c r="C1616" t="s">
        <v>1859</v>
      </c>
      <c r="D1616" t="s">
        <v>962</v>
      </c>
      <c r="E1616" t="s">
        <v>1167</v>
      </c>
      <c r="F1616" t="s">
        <v>571</v>
      </c>
      <c r="G1616" s="204"/>
      <c r="H1616">
        <v>32</v>
      </c>
      <c r="I1616">
        <v>736</v>
      </c>
      <c r="L1616">
        <v>1777</v>
      </c>
      <c r="M1616">
        <v>40871</v>
      </c>
      <c r="N1616">
        <v>1066</v>
      </c>
      <c r="O1616">
        <v>24518</v>
      </c>
      <c r="P1616">
        <v>1066</v>
      </c>
      <c r="Q1616">
        <v>2843</v>
      </c>
      <c r="T1616">
        <v>0</v>
      </c>
      <c r="U1616">
        <v>0</v>
      </c>
      <c r="V1616">
        <v>2256</v>
      </c>
      <c r="W1616">
        <v>51888</v>
      </c>
      <c r="X1616">
        <v>2256</v>
      </c>
      <c r="Y1616">
        <v>2256</v>
      </c>
    </row>
    <row r="1617" spans="1:27" x14ac:dyDescent="0.25">
      <c r="A1617" t="s">
        <v>164</v>
      </c>
      <c r="B1617" t="s">
        <v>565</v>
      </c>
      <c r="C1617" t="s">
        <v>1859</v>
      </c>
      <c r="D1617" t="s">
        <v>962</v>
      </c>
      <c r="E1617" t="s">
        <v>1303</v>
      </c>
      <c r="F1617" t="s">
        <v>571</v>
      </c>
      <c r="G1617" s="204"/>
      <c r="H1617">
        <v>600</v>
      </c>
      <c r="I1617">
        <v>13200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7" x14ac:dyDescent="0.25">
      <c r="A1618" t="s">
        <v>166</v>
      </c>
      <c r="B1618" t="s">
        <v>556</v>
      </c>
      <c r="C1618" t="s">
        <v>1859</v>
      </c>
      <c r="D1618" t="s">
        <v>585</v>
      </c>
      <c r="E1618" t="s">
        <v>1276</v>
      </c>
      <c r="F1618" t="s">
        <v>571</v>
      </c>
      <c r="G1618" s="204"/>
      <c r="H1618">
        <v>9090</v>
      </c>
      <c r="I1618">
        <v>199980</v>
      </c>
      <c r="L1618">
        <v>14892</v>
      </c>
      <c r="M1618">
        <v>324654</v>
      </c>
      <c r="N1618">
        <v>0</v>
      </c>
      <c r="O1618">
        <v>0</v>
      </c>
      <c r="P1618">
        <v>0</v>
      </c>
      <c r="Q1618">
        <v>14892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7" x14ac:dyDescent="0.25">
      <c r="A1619" t="s">
        <v>166</v>
      </c>
      <c r="B1619" t="s">
        <v>556</v>
      </c>
      <c r="C1619" t="s">
        <v>1859</v>
      </c>
      <c r="D1619" t="s">
        <v>585</v>
      </c>
      <c r="E1619" t="s">
        <v>1167</v>
      </c>
      <c r="F1619" t="s">
        <v>571</v>
      </c>
      <c r="G1619" s="204"/>
      <c r="L1619">
        <v>0</v>
      </c>
      <c r="M1619">
        <v>0</v>
      </c>
      <c r="N1619">
        <v>85</v>
      </c>
      <c r="O1619">
        <v>1870</v>
      </c>
      <c r="P1619">
        <v>85</v>
      </c>
      <c r="Q1619">
        <v>85</v>
      </c>
      <c r="T1619">
        <v>0</v>
      </c>
      <c r="U1619">
        <v>0</v>
      </c>
      <c r="V1619">
        <v>4</v>
      </c>
      <c r="W1619">
        <v>88</v>
      </c>
      <c r="X1619">
        <v>4</v>
      </c>
      <c r="Y1619">
        <v>4</v>
      </c>
      <c r="Z1619">
        <v>88</v>
      </c>
      <c r="AA1619">
        <v>22</v>
      </c>
    </row>
    <row r="1620" spans="1:27" x14ac:dyDescent="0.25">
      <c r="A1620" t="s">
        <v>166</v>
      </c>
      <c r="B1620" t="s">
        <v>556</v>
      </c>
      <c r="C1620" t="s">
        <v>1859</v>
      </c>
      <c r="D1620" t="s">
        <v>585</v>
      </c>
      <c r="E1620" t="s">
        <v>1111</v>
      </c>
      <c r="F1620" t="s">
        <v>571</v>
      </c>
      <c r="G1620" s="204"/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T1620">
        <v>0</v>
      </c>
      <c r="U1620">
        <v>0</v>
      </c>
      <c r="V1620">
        <v>37323</v>
      </c>
      <c r="W1620">
        <v>0</v>
      </c>
      <c r="X1620">
        <v>0</v>
      </c>
      <c r="Y1620">
        <v>0</v>
      </c>
      <c r="Z1620">
        <v>0</v>
      </c>
    </row>
    <row r="1621" spans="1:27" x14ac:dyDescent="0.25">
      <c r="A1621" t="s">
        <v>166</v>
      </c>
      <c r="B1621" t="s">
        <v>556</v>
      </c>
      <c r="C1621" t="s">
        <v>1859</v>
      </c>
      <c r="D1621" t="s">
        <v>585</v>
      </c>
      <c r="E1621" t="s">
        <v>1277</v>
      </c>
      <c r="F1621" t="s">
        <v>571</v>
      </c>
      <c r="G1621" s="204"/>
      <c r="L1621">
        <v>0</v>
      </c>
      <c r="M1621">
        <v>0</v>
      </c>
      <c r="N1621">
        <v>8000</v>
      </c>
      <c r="O1621">
        <v>176000</v>
      </c>
      <c r="P1621">
        <v>8000</v>
      </c>
      <c r="Q1621">
        <v>8000</v>
      </c>
      <c r="R1621">
        <v>176000</v>
      </c>
      <c r="S1621">
        <v>22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7" x14ac:dyDescent="0.25">
      <c r="A1622" t="s">
        <v>166</v>
      </c>
      <c r="B1622" t="s">
        <v>556</v>
      </c>
      <c r="C1622" t="s">
        <v>1859</v>
      </c>
      <c r="D1622" t="s">
        <v>585</v>
      </c>
      <c r="E1622" t="s">
        <v>1303</v>
      </c>
      <c r="F1622" t="s">
        <v>571</v>
      </c>
      <c r="G1622" s="204"/>
      <c r="H1622">
        <v>42070</v>
      </c>
      <c r="I1622">
        <v>936235</v>
      </c>
      <c r="L1622">
        <v>39200</v>
      </c>
      <c r="M1622">
        <v>853544</v>
      </c>
      <c r="N1622">
        <v>5000</v>
      </c>
      <c r="O1622">
        <v>110000</v>
      </c>
      <c r="P1622">
        <v>5000</v>
      </c>
      <c r="Q1622">
        <v>44200</v>
      </c>
      <c r="T1622">
        <v>0</v>
      </c>
      <c r="U1622">
        <v>0</v>
      </c>
      <c r="V1622">
        <v>70766</v>
      </c>
      <c r="W1622">
        <v>1556852</v>
      </c>
      <c r="X1622">
        <v>70766</v>
      </c>
      <c r="Y1622">
        <v>70766</v>
      </c>
    </row>
    <row r="1623" spans="1:27" x14ac:dyDescent="0.25">
      <c r="A1623" t="s">
        <v>329</v>
      </c>
      <c r="B1623" t="s">
        <v>556</v>
      </c>
      <c r="C1623" t="s">
        <v>1859</v>
      </c>
      <c r="D1623" t="s">
        <v>610</v>
      </c>
      <c r="E1623" t="s">
        <v>1169</v>
      </c>
      <c r="F1623" t="s">
        <v>578</v>
      </c>
      <c r="G1623" s="204">
        <v>46022</v>
      </c>
      <c r="L1623">
        <v>60</v>
      </c>
      <c r="M1623">
        <v>5266.2</v>
      </c>
      <c r="N1623">
        <v>24</v>
      </c>
      <c r="O1623">
        <v>2108.88</v>
      </c>
      <c r="P1623">
        <v>24</v>
      </c>
      <c r="Q1623">
        <v>84</v>
      </c>
      <c r="R1623">
        <v>7375.08</v>
      </c>
      <c r="S1623">
        <v>87.798571428571421</v>
      </c>
      <c r="T1623">
        <v>0</v>
      </c>
      <c r="U1623">
        <v>0</v>
      </c>
      <c r="V1623">
        <v>161</v>
      </c>
      <c r="W1623">
        <v>14147.07</v>
      </c>
      <c r="X1623">
        <v>161</v>
      </c>
      <c r="Y1623">
        <v>161</v>
      </c>
    </row>
    <row r="1624" spans="1:27" x14ac:dyDescent="0.25">
      <c r="A1624" t="s">
        <v>495</v>
      </c>
      <c r="B1624" t="s">
        <v>556</v>
      </c>
      <c r="C1624" t="s">
        <v>1859</v>
      </c>
      <c r="D1624" t="s">
        <v>610</v>
      </c>
      <c r="E1624" t="s">
        <v>1173</v>
      </c>
      <c r="F1624" t="s">
        <v>571</v>
      </c>
      <c r="G1624" s="204"/>
      <c r="J1624">
        <v>1539</v>
      </c>
      <c r="K1624">
        <v>95704.7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7" x14ac:dyDescent="0.25">
      <c r="A1625" t="s">
        <v>906</v>
      </c>
      <c r="C1625" t="s">
        <v>1859</v>
      </c>
      <c r="D1625" t="s">
        <v>663</v>
      </c>
      <c r="E1625" t="s">
        <v>1167</v>
      </c>
      <c r="F1625" t="s">
        <v>571</v>
      </c>
      <c r="G1625" s="204"/>
      <c r="L1625">
        <v>0</v>
      </c>
      <c r="M1625">
        <v>0</v>
      </c>
      <c r="N1625">
        <v>47</v>
      </c>
      <c r="O1625">
        <v>6816.4100000000008</v>
      </c>
      <c r="P1625">
        <v>47</v>
      </c>
      <c r="Q1625">
        <v>47</v>
      </c>
      <c r="R1625">
        <v>6816.4100000000008</v>
      </c>
      <c r="S1625">
        <v>145.03000000000003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7" x14ac:dyDescent="0.25">
      <c r="A1626" t="s">
        <v>512</v>
      </c>
      <c r="B1626" t="s">
        <v>556</v>
      </c>
      <c r="C1626" t="s">
        <v>564</v>
      </c>
      <c r="D1626" t="s">
        <v>682</v>
      </c>
      <c r="E1626" t="s">
        <v>1252</v>
      </c>
      <c r="F1626" t="s">
        <v>571</v>
      </c>
      <c r="G1626" s="204"/>
      <c r="H1626">
        <v>264</v>
      </c>
      <c r="I1626">
        <v>77616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7" x14ac:dyDescent="0.25">
      <c r="A1627" t="s">
        <v>534</v>
      </c>
      <c r="B1627" t="s">
        <v>554</v>
      </c>
      <c r="C1627" t="s">
        <v>564</v>
      </c>
      <c r="D1627" t="s">
        <v>685</v>
      </c>
      <c r="E1627" t="s">
        <v>1252</v>
      </c>
      <c r="F1627" t="s">
        <v>571</v>
      </c>
      <c r="G1627" s="204"/>
      <c r="J1627">
        <v>60</v>
      </c>
      <c r="K1627">
        <v>15420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7" x14ac:dyDescent="0.25">
      <c r="A1628" t="s">
        <v>545</v>
      </c>
      <c r="B1628" t="s">
        <v>554</v>
      </c>
      <c r="C1628" t="s">
        <v>564</v>
      </c>
      <c r="D1628" t="s">
        <v>685</v>
      </c>
      <c r="E1628" t="s">
        <v>1252</v>
      </c>
      <c r="F1628" t="s">
        <v>571</v>
      </c>
      <c r="G1628" s="204"/>
      <c r="J1628">
        <v>25</v>
      </c>
      <c r="K1628">
        <v>10125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7" x14ac:dyDescent="0.25">
      <c r="A1629" t="s">
        <v>513</v>
      </c>
      <c r="B1629" t="s">
        <v>554</v>
      </c>
      <c r="C1629" t="s">
        <v>564</v>
      </c>
      <c r="D1629" t="s">
        <v>685</v>
      </c>
      <c r="E1629" t="s">
        <v>1252</v>
      </c>
      <c r="F1629" t="s">
        <v>571</v>
      </c>
      <c r="G1629" s="204"/>
      <c r="J1629">
        <v>130</v>
      </c>
      <c r="K1629">
        <v>48620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7" x14ac:dyDescent="0.25">
      <c r="A1630" t="s">
        <v>168</v>
      </c>
      <c r="B1630" t="s">
        <v>556</v>
      </c>
      <c r="C1630" t="s">
        <v>1859</v>
      </c>
      <c r="D1630" t="s">
        <v>646</v>
      </c>
      <c r="E1630" t="s">
        <v>1152</v>
      </c>
      <c r="F1630" t="s">
        <v>571</v>
      </c>
      <c r="G1630" s="204"/>
      <c r="J1630">
        <v>198</v>
      </c>
      <c r="K1630">
        <v>14256</v>
      </c>
      <c r="L1630">
        <v>702</v>
      </c>
      <c r="M1630">
        <v>50544</v>
      </c>
      <c r="N1630">
        <v>0</v>
      </c>
      <c r="O1630">
        <v>0</v>
      </c>
      <c r="P1630">
        <v>0</v>
      </c>
      <c r="Q1630">
        <v>702</v>
      </c>
      <c r="T1630">
        <v>0</v>
      </c>
      <c r="U1630">
        <v>0</v>
      </c>
      <c r="V1630">
        <v>800</v>
      </c>
      <c r="W1630">
        <v>57600</v>
      </c>
      <c r="X1630">
        <v>800</v>
      </c>
      <c r="Y1630">
        <v>800</v>
      </c>
    </row>
    <row r="1631" spans="1:27" x14ac:dyDescent="0.25">
      <c r="A1631" t="s">
        <v>711</v>
      </c>
      <c r="B1631" t="s">
        <v>556</v>
      </c>
      <c r="C1631" t="s">
        <v>1859</v>
      </c>
      <c r="D1631" t="s">
        <v>606</v>
      </c>
      <c r="E1631" t="s">
        <v>1167</v>
      </c>
      <c r="F1631" t="s">
        <v>571</v>
      </c>
      <c r="G1631" s="204"/>
      <c r="L1631">
        <v>23</v>
      </c>
      <c r="M1631">
        <v>9409.07</v>
      </c>
      <c r="N1631">
        <v>0</v>
      </c>
      <c r="O1631">
        <v>0</v>
      </c>
      <c r="P1631">
        <v>0</v>
      </c>
      <c r="Q1631">
        <v>23</v>
      </c>
      <c r="R1631">
        <v>9409.07</v>
      </c>
      <c r="S1631">
        <v>409.09</v>
      </c>
      <c r="T1631">
        <v>0</v>
      </c>
      <c r="U1631">
        <v>0</v>
      </c>
      <c r="V1631">
        <v>59</v>
      </c>
      <c r="W1631">
        <v>24136.31</v>
      </c>
      <c r="X1631">
        <v>59</v>
      </c>
      <c r="Y1631">
        <v>59</v>
      </c>
    </row>
    <row r="1632" spans="1:27" x14ac:dyDescent="0.25">
      <c r="A1632" t="s">
        <v>712</v>
      </c>
      <c r="B1632" t="s">
        <v>556</v>
      </c>
      <c r="C1632" t="s">
        <v>1859</v>
      </c>
      <c r="D1632" t="s">
        <v>606</v>
      </c>
      <c r="E1632" t="s">
        <v>1167</v>
      </c>
      <c r="F1632" t="s">
        <v>571</v>
      </c>
      <c r="G1632" s="204"/>
      <c r="K1632">
        <v>16000</v>
      </c>
      <c r="L1632">
        <v>26</v>
      </c>
      <c r="M1632">
        <v>9750</v>
      </c>
      <c r="N1632">
        <v>0</v>
      </c>
      <c r="O1632">
        <v>0</v>
      </c>
      <c r="P1632">
        <v>0</v>
      </c>
      <c r="Q1632">
        <v>26</v>
      </c>
      <c r="T1632">
        <v>0</v>
      </c>
      <c r="U1632">
        <v>0</v>
      </c>
      <c r="V1632">
        <v>146</v>
      </c>
      <c r="W1632">
        <v>54750</v>
      </c>
      <c r="X1632">
        <v>146</v>
      </c>
      <c r="Y1632">
        <v>146</v>
      </c>
    </row>
    <row r="1633" spans="1:27" x14ac:dyDescent="0.25">
      <c r="A1633" t="s">
        <v>170</v>
      </c>
      <c r="B1633" t="s">
        <v>565</v>
      </c>
      <c r="C1633" t="s">
        <v>1859</v>
      </c>
      <c r="D1633" t="s">
        <v>646</v>
      </c>
      <c r="E1633" t="s">
        <v>1167</v>
      </c>
      <c r="F1633" t="s">
        <v>571</v>
      </c>
      <c r="G1633" s="204"/>
      <c r="H1633">
        <v>23</v>
      </c>
      <c r="I1633">
        <v>8339.57</v>
      </c>
      <c r="L1633">
        <v>38</v>
      </c>
      <c r="M1633">
        <v>13778.420000000002</v>
      </c>
      <c r="N1633">
        <v>10</v>
      </c>
      <c r="O1633">
        <v>3625.9</v>
      </c>
      <c r="P1633">
        <v>10</v>
      </c>
      <c r="Q1633">
        <v>48</v>
      </c>
      <c r="T1633">
        <v>0</v>
      </c>
      <c r="U1633">
        <v>0</v>
      </c>
      <c r="V1633">
        <v>119</v>
      </c>
      <c r="W1633">
        <v>43148.210000000006</v>
      </c>
      <c r="X1633">
        <v>119</v>
      </c>
      <c r="Y1633">
        <v>119</v>
      </c>
    </row>
    <row r="1634" spans="1:27" x14ac:dyDescent="0.25">
      <c r="A1634" t="s">
        <v>1535</v>
      </c>
      <c r="B1634" t="s">
        <v>565</v>
      </c>
      <c r="C1634" t="s">
        <v>1859</v>
      </c>
      <c r="D1634" t="s">
        <v>731</v>
      </c>
      <c r="E1634" t="s">
        <v>1152</v>
      </c>
      <c r="F1634" t="s">
        <v>571</v>
      </c>
      <c r="G1634" s="204"/>
      <c r="J1634">
        <v>125</v>
      </c>
      <c r="K1634">
        <v>15625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7" x14ac:dyDescent="0.25">
      <c r="A1635" t="s">
        <v>172</v>
      </c>
      <c r="B1635" t="s">
        <v>556</v>
      </c>
      <c r="C1635" t="s">
        <v>1859</v>
      </c>
      <c r="D1635" t="s">
        <v>646</v>
      </c>
      <c r="E1635" t="s">
        <v>1152</v>
      </c>
      <c r="F1635" t="s">
        <v>571</v>
      </c>
      <c r="G1635" s="204"/>
      <c r="J1635">
        <v>200</v>
      </c>
      <c r="K1635">
        <v>26330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T1635">
        <v>0</v>
      </c>
      <c r="U1635">
        <v>0</v>
      </c>
      <c r="V1635">
        <v>250</v>
      </c>
      <c r="W1635">
        <v>32912.5</v>
      </c>
      <c r="X1635">
        <v>250</v>
      </c>
      <c r="Y1635">
        <v>250</v>
      </c>
    </row>
    <row r="1636" spans="1:27" x14ac:dyDescent="0.25">
      <c r="A1636" t="s">
        <v>172</v>
      </c>
      <c r="B1636" t="s">
        <v>556</v>
      </c>
      <c r="C1636" t="s">
        <v>1859</v>
      </c>
      <c r="D1636" t="s">
        <v>646</v>
      </c>
      <c r="E1636" t="s">
        <v>1167</v>
      </c>
      <c r="F1636" t="s">
        <v>571</v>
      </c>
      <c r="G1636" s="204"/>
      <c r="L1636">
        <v>0</v>
      </c>
      <c r="M1636">
        <v>0</v>
      </c>
      <c r="N1636">
        <v>25</v>
      </c>
      <c r="O1636">
        <v>3291.25</v>
      </c>
      <c r="P1636">
        <v>25</v>
      </c>
      <c r="Q1636">
        <v>25</v>
      </c>
      <c r="R1636">
        <v>3291.25</v>
      </c>
      <c r="S1636">
        <v>131.65</v>
      </c>
      <c r="T1636">
        <v>0</v>
      </c>
      <c r="U1636">
        <v>0</v>
      </c>
      <c r="V1636">
        <v>50</v>
      </c>
      <c r="W1636">
        <v>6582.5</v>
      </c>
      <c r="X1636">
        <v>50</v>
      </c>
      <c r="Y1636">
        <v>50</v>
      </c>
    </row>
    <row r="1637" spans="1:27" x14ac:dyDescent="0.25">
      <c r="A1637" t="s">
        <v>1306</v>
      </c>
      <c r="B1637" t="s">
        <v>554</v>
      </c>
      <c r="C1637" t="s">
        <v>1859</v>
      </c>
      <c r="D1637" t="s">
        <v>1894</v>
      </c>
      <c r="E1637" t="s">
        <v>1305</v>
      </c>
      <c r="F1637" t="s">
        <v>571</v>
      </c>
      <c r="G1637" s="204"/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T1637">
        <v>0</v>
      </c>
      <c r="U1637">
        <v>0</v>
      </c>
      <c r="V1637">
        <v>100</v>
      </c>
      <c r="W1637">
        <v>20000</v>
      </c>
      <c r="X1637">
        <v>100</v>
      </c>
      <c r="Y1637">
        <v>100</v>
      </c>
      <c r="Z1637">
        <v>20000</v>
      </c>
      <c r="AA1637">
        <v>200</v>
      </c>
    </row>
    <row r="1638" spans="1:27" x14ac:dyDescent="0.25">
      <c r="A1638" t="s">
        <v>1124</v>
      </c>
      <c r="B1638" t="s">
        <v>556</v>
      </c>
      <c r="C1638" t="s">
        <v>1859</v>
      </c>
      <c r="D1638" t="s">
        <v>608</v>
      </c>
      <c r="E1638" t="s">
        <v>1305</v>
      </c>
      <c r="F1638" t="s">
        <v>571</v>
      </c>
      <c r="G1638" s="204"/>
      <c r="L1638">
        <v>0</v>
      </c>
      <c r="M1638">
        <v>0</v>
      </c>
      <c r="N1638">
        <v>1364</v>
      </c>
      <c r="O1638">
        <v>181562.04</v>
      </c>
      <c r="P1638">
        <v>1364</v>
      </c>
      <c r="Q1638">
        <v>1364</v>
      </c>
      <c r="R1638">
        <v>181562.04</v>
      </c>
      <c r="S1638">
        <v>133.11000000000001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7" x14ac:dyDescent="0.25">
      <c r="A1639" t="s">
        <v>1124</v>
      </c>
      <c r="B1639" t="s">
        <v>556</v>
      </c>
      <c r="C1639" t="s">
        <v>1859</v>
      </c>
      <c r="D1639" t="s">
        <v>608</v>
      </c>
      <c r="E1639" t="s">
        <v>1157</v>
      </c>
      <c r="F1639" t="s">
        <v>571</v>
      </c>
      <c r="G1639" s="204"/>
      <c r="H1639">
        <v>480</v>
      </c>
      <c r="I1639">
        <v>75111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7" x14ac:dyDescent="0.25">
      <c r="A1640" t="s">
        <v>1124</v>
      </c>
      <c r="B1640" t="s">
        <v>556</v>
      </c>
      <c r="C1640" t="s">
        <v>1859</v>
      </c>
      <c r="D1640" t="s">
        <v>608</v>
      </c>
      <c r="E1640" t="s">
        <v>1111</v>
      </c>
      <c r="F1640" t="s">
        <v>571</v>
      </c>
      <c r="G1640" s="204"/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T1640">
        <v>0</v>
      </c>
      <c r="U1640">
        <v>0</v>
      </c>
      <c r="V1640">
        <v>1500</v>
      </c>
      <c r="W1640">
        <v>0.15</v>
      </c>
      <c r="X1640">
        <v>0</v>
      </c>
      <c r="Y1640">
        <v>0</v>
      </c>
      <c r="Z1640">
        <v>0.15</v>
      </c>
    </row>
    <row r="1641" spans="1:27" x14ac:dyDescent="0.25">
      <c r="A1641" t="s">
        <v>330</v>
      </c>
      <c r="B1641" t="s">
        <v>556</v>
      </c>
      <c r="C1641" t="s">
        <v>1859</v>
      </c>
      <c r="D1641" t="s">
        <v>618</v>
      </c>
      <c r="E1641" t="s">
        <v>1343</v>
      </c>
      <c r="F1641" t="s">
        <v>571</v>
      </c>
      <c r="G1641" s="204"/>
      <c r="L1641">
        <v>4</v>
      </c>
      <c r="M1641">
        <v>523.48</v>
      </c>
      <c r="N1641">
        <v>0</v>
      </c>
      <c r="O1641">
        <v>0</v>
      </c>
      <c r="P1641">
        <v>0</v>
      </c>
      <c r="Q1641">
        <v>4</v>
      </c>
      <c r="R1641">
        <v>523.48</v>
      </c>
      <c r="S1641">
        <v>130.87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7" x14ac:dyDescent="0.25">
      <c r="A1642" t="s">
        <v>330</v>
      </c>
      <c r="B1642" t="s">
        <v>556</v>
      </c>
      <c r="C1642" t="s">
        <v>1859</v>
      </c>
      <c r="D1642" t="s">
        <v>618</v>
      </c>
      <c r="E1642" t="s">
        <v>1221</v>
      </c>
      <c r="F1642" t="s">
        <v>571</v>
      </c>
      <c r="G1642" s="204"/>
      <c r="H1642">
        <v>328</v>
      </c>
      <c r="I1642">
        <v>28926.32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T1642">
        <v>0</v>
      </c>
      <c r="U1642">
        <v>0</v>
      </c>
      <c r="V1642">
        <v>1320</v>
      </c>
      <c r="W1642">
        <v>82500</v>
      </c>
      <c r="X1642">
        <v>1320</v>
      </c>
      <c r="Y1642">
        <v>1320</v>
      </c>
    </row>
    <row r="1643" spans="1:27" x14ac:dyDescent="0.25">
      <c r="A1643" t="s">
        <v>330</v>
      </c>
      <c r="B1643" t="s">
        <v>556</v>
      </c>
      <c r="C1643" t="s">
        <v>1859</v>
      </c>
      <c r="D1643" t="s">
        <v>618</v>
      </c>
      <c r="E1643" t="s">
        <v>1167</v>
      </c>
      <c r="F1643" t="s">
        <v>571</v>
      </c>
      <c r="G1643" s="204"/>
      <c r="J1643">
        <v>13</v>
      </c>
      <c r="K1643">
        <v>812.5</v>
      </c>
      <c r="L1643">
        <v>0</v>
      </c>
      <c r="M1643">
        <v>0</v>
      </c>
      <c r="N1643">
        <v>101</v>
      </c>
      <c r="O1643">
        <v>6312.5</v>
      </c>
      <c r="P1643">
        <v>101</v>
      </c>
      <c r="Q1643">
        <v>101</v>
      </c>
      <c r="T1643">
        <v>0</v>
      </c>
      <c r="U1643">
        <v>0</v>
      </c>
      <c r="V1643">
        <v>26</v>
      </c>
      <c r="W1643">
        <v>1625</v>
      </c>
      <c r="X1643">
        <v>26</v>
      </c>
      <c r="Y1643">
        <v>26</v>
      </c>
    </row>
    <row r="1644" spans="1:27" x14ac:dyDescent="0.25">
      <c r="A1644" t="s">
        <v>330</v>
      </c>
      <c r="B1644" t="s">
        <v>556</v>
      </c>
      <c r="C1644" t="s">
        <v>1859</v>
      </c>
      <c r="D1644" t="s">
        <v>618</v>
      </c>
      <c r="E1644" t="s">
        <v>1203</v>
      </c>
      <c r="F1644" t="s">
        <v>571</v>
      </c>
      <c r="G1644" s="204"/>
      <c r="L1644">
        <v>136</v>
      </c>
      <c r="M1644">
        <v>17798.32</v>
      </c>
      <c r="N1644">
        <v>0</v>
      </c>
      <c r="O1644">
        <v>0</v>
      </c>
      <c r="P1644">
        <v>0</v>
      </c>
      <c r="Q1644">
        <v>136</v>
      </c>
      <c r="R1644">
        <v>17798.32</v>
      </c>
      <c r="S1644">
        <v>130.87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7" x14ac:dyDescent="0.25">
      <c r="A1645" t="s">
        <v>330</v>
      </c>
      <c r="B1645" t="s">
        <v>556</v>
      </c>
      <c r="C1645" t="s">
        <v>1859</v>
      </c>
      <c r="D1645" t="s">
        <v>618</v>
      </c>
      <c r="E1645" t="s">
        <v>1177</v>
      </c>
      <c r="F1645" t="s">
        <v>571</v>
      </c>
      <c r="G1645" s="204"/>
      <c r="H1645">
        <v>152</v>
      </c>
      <c r="L1645">
        <v>148</v>
      </c>
      <c r="M1645">
        <v>19368.760000000002</v>
      </c>
      <c r="N1645">
        <v>0</v>
      </c>
      <c r="O1645">
        <v>0</v>
      </c>
      <c r="P1645">
        <v>0</v>
      </c>
      <c r="Q1645">
        <v>148</v>
      </c>
      <c r="R1645">
        <v>19368.760000000002</v>
      </c>
      <c r="S1645">
        <v>130.87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7" x14ac:dyDescent="0.25">
      <c r="A1646" t="s">
        <v>331</v>
      </c>
      <c r="B1646" t="s">
        <v>556</v>
      </c>
      <c r="C1646" t="s">
        <v>1859</v>
      </c>
      <c r="D1646" t="s">
        <v>609</v>
      </c>
      <c r="E1646" t="s">
        <v>1152</v>
      </c>
      <c r="F1646" t="s">
        <v>571</v>
      </c>
      <c r="G1646" s="204"/>
      <c r="L1646">
        <v>600</v>
      </c>
      <c r="M1646">
        <v>37200</v>
      </c>
      <c r="N1646">
        <v>0</v>
      </c>
      <c r="O1646">
        <v>0</v>
      </c>
      <c r="P1646">
        <v>0</v>
      </c>
      <c r="Q1646">
        <v>600</v>
      </c>
      <c r="R1646">
        <v>37200</v>
      </c>
      <c r="S1646">
        <v>62</v>
      </c>
      <c r="T1646">
        <v>0</v>
      </c>
      <c r="U1646">
        <v>0</v>
      </c>
      <c r="V1646">
        <v>1400</v>
      </c>
      <c r="W1646">
        <v>86800</v>
      </c>
      <c r="X1646">
        <v>1400</v>
      </c>
      <c r="Y1646">
        <v>1400</v>
      </c>
    </row>
    <row r="1647" spans="1:27" x14ac:dyDescent="0.25">
      <c r="A1647" t="s">
        <v>331</v>
      </c>
      <c r="B1647" t="s">
        <v>556</v>
      </c>
      <c r="C1647" t="s">
        <v>1859</v>
      </c>
      <c r="D1647" t="s">
        <v>609</v>
      </c>
      <c r="E1647" t="s">
        <v>1167</v>
      </c>
      <c r="F1647" t="s">
        <v>571</v>
      </c>
      <c r="G1647" s="204"/>
      <c r="L1647">
        <v>72</v>
      </c>
      <c r="M1647">
        <v>4464</v>
      </c>
      <c r="N1647">
        <v>0</v>
      </c>
      <c r="O1647">
        <v>0</v>
      </c>
      <c r="P1647">
        <v>0</v>
      </c>
      <c r="Q1647">
        <v>72</v>
      </c>
      <c r="T1647">
        <v>0</v>
      </c>
      <c r="U1647">
        <v>0</v>
      </c>
      <c r="V1647">
        <v>30</v>
      </c>
      <c r="W1647">
        <v>1860</v>
      </c>
      <c r="X1647">
        <v>30</v>
      </c>
      <c r="Y1647">
        <v>30</v>
      </c>
      <c r="Z1647">
        <v>1860</v>
      </c>
      <c r="AA1647">
        <v>62</v>
      </c>
    </row>
    <row r="1648" spans="1:27" x14ac:dyDescent="0.25">
      <c r="A1648" t="s">
        <v>331</v>
      </c>
      <c r="B1648" t="s">
        <v>556</v>
      </c>
      <c r="C1648" t="s">
        <v>1859</v>
      </c>
      <c r="D1648" t="s">
        <v>609</v>
      </c>
      <c r="E1648" t="s">
        <v>1308</v>
      </c>
      <c r="F1648" t="s">
        <v>571</v>
      </c>
      <c r="G1648" s="204"/>
      <c r="J1648">
        <v>125</v>
      </c>
      <c r="K1648">
        <v>7750</v>
      </c>
      <c r="L1648">
        <v>275</v>
      </c>
      <c r="M1648">
        <v>17050</v>
      </c>
      <c r="N1648">
        <v>125</v>
      </c>
      <c r="O1648">
        <v>7750</v>
      </c>
      <c r="P1648">
        <v>125</v>
      </c>
      <c r="Q1648">
        <v>400</v>
      </c>
      <c r="T1648">
        <v>0</v>
      </c>
      <c r="U1648">
        <v>0</v>
      </c>
      <c r="V1648">
        <v>125</v>
      </c>
      <c r="W1648">
        <v>7750</v>
      </c>
      <c r="X1648">
        <v>125</v>
      </c>
      <c r="Y1648">
        <v>125</v>
      </c>
      <c r="Z1648">
        <v>7750</v>
      </c>
      <c r="AA1648">
        <v>62</v>
      </c>
    </row>
    <row r="1649" spans="1:27" x14ac:dyDescent="0.25">
      <c r="A1649" t="s">
        <v>332</v>
      </c>
      <c r="B1649" t="s">
        <v>556</v>
      </c>
      <c r="C1649" t="s">
        <v>1859</v>
      </c>
      <c r="D1649" t="s">
        <v>597</v>
      </c>
      <c r="E1649" t="s">
        <v>1167</v>
      </c>
      <c r="F1649" t="s">
        <v>571</v>
      </c>
      <c r="G1649" s="204"/>
      <c r="L1649">
        <v>0</v>
      </c>
      <c r="M1649">
        <v>0</v>
      </c>
      <c r="N1649">
        <v>2</v>
      </c>
      <c r="O1649">
        <v>212.52</v>
      </c>
      <c r="P1649">
        <v>2</v>
      </c>
      <c r="Q1649">
        <v>2</v>
      </c>
      <c r="R1649">
        <v>212.52</v>
      </c>
      <c r="S1649">
        <v>106.26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7" x14ac:dyDescent="0.25">
      <c r="A1650" t="s">
        <v>1677</v>
      </c>
      <c r="B1650" t="s">
        <v>556</v>
      </c>
      <c r="C1650" t="s">
        <v>1859</v>
      </c>
      <c r="D1650" t="s">
        <v>597</v>
      </c>
      <c r="E1650" t="s">
        <v>1343</v>
      </c>
      <c r="F1650" t="s">
        <v>571</v>
      </c>
      <c r="G1650" s="204"/>
      <c r="J1650">
        <v>14</v>
      </c>
      <c r="K1650">
        <v>3920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7" x14ac:dyDescent="0.25">
      <c r="A1651" t="s">
        <v>174</v>
      </c>
      <c r="B1651" t="s">
        <v>556</v>
      </c>
      <c r="C1651" t="s">
        <v>1859</v>
      </c>
      <c r="D1651" t="s">
        <v>607</v>
      </c>
      <c r="E1651" t="s">
        <v>1466</v>
      </c>
      <c r="F1651" t="s">
        <v>571</v>
      </c>
      <c r="G1651" s="204"/>
      <c r="L1651">
        <v>250</v>
      </c>
      <c r="M1651">
        <v>34850</v>
      </c>
      <c r="N1651">
        <v>0</v>
      </c>
      <c r="O1651">
        <v>0</v>
      </c>
      <c r="P1651">
        <v>0</v>
      </c>
      <c r="Q1651">
        <v>250</v>
      </c>
      <c r="R1651">
        <v>34850</v>
      </c>
      <c r="S1651">
        <v>139.4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7" x14ac:dyDescent="0.25">
      <c r="A1652" t="s">
        <v>174</v>
      </c>
      <c r="B1652" t="s">
        <v>556</v>
      </c>
      <c r="C1652" t="s">
        <v>1859</v>
      </c>
      <c r="D1652" t="s">
        <v>607</v>
      </c>
      <c r="E1652" t="s">
        <v>1295</v>
      </c>
      <c r="F1652" t="s">
        <v>571</v>
      </c>
      <c r="G1652" s="204"/>
      <c r="H1652">
        <v>1949</v>
      </c>
      <c r="I1652">
        <v>207175.62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7" x14ac:dyDescent="0.25">
      <c r="A1653" t="s">
        <v>174</v>
      </c>
      <c r="B1653" t="s">
        <v>556</v>
      </c>
      <c r="C1653" t="s">
        <v>1859</v>
      </c>
      <c r="D1653" t="s">
        <v>607</v>
      </c>
      <c r="E1653" t="s">
        <v>1212</v>
      </c>
      <c r="F1653" t="s">
        <v>571</v>
      </c>
      <c r="G1653" s="204"/>
      <c r="J1653">
        <v>250</v>
      </c>
      <c r="K1653">
        <v>29709.5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7" x14ac:dyDescent="0.25">
      <c r="A1654" t="s">
        <v>176</v>
      </c>
      <c r="B1654" t="s">
        <v>556</v>
      </c>
      <c r="C1654" t="s">
        <v>1859</v>
      </c>
      <c r="D1654" t="s">
        <v>585</v>
      </c>
      <c r="E1654" t="s">
        <v>1152</v>
      </c>
      <c r="F1654" t="s">
        <v>571</v>
      </c>
      <c r="G1654" s="204"/>
      <c r="H1654">
        <v>2722</v>
      </c>
      <c r="L1654">
        <v>3508</v>
      </c>
      <c r="M1654">
        <v>467125.28</v>
      </c>
      <c r="N1654">
        <v>1200</v>
      </c>
      <c r="O1654">
        <v>159792</v>
      </c>
      <c r="P1654">
        <v>1200</v>
      </c>
      <c r="Q1654">
        <v>4708</v>
      </c>
      <c r="T1654">
        <v>0</v>
      </c>
      <c r="U1654">
        <v>0</v>
      </c>
      <c r="V1654">
        <v>2306</v>
      </c>
      <c r="W1654">
        <v>307066.96000000002</v>
      </c>
      <c r="X1654">
        <v>2306</v>
      </c>
      <c r="Y1654">
        <v>2306</v>
      </c>
      <c r="Z1654">
        <v>307066.95999999996</v>
      </c>
      <c r="AA1654">
        <v>133.16</v>
      </c>
    </row>
    <row r="1655" spans="1:27" x14ac:dyDescent="0.25">
      <c r="A1655" t="s">
        <v>176</v>
      </c>
      <c r="B1655" t="s">
        <v>556</v>
      </c>
      <c r="C1655" t="s">
        <v>1859</v>
      </c>
      <c r="D1655" t="s">
        <v>585</v>
      </c>
      <c r="E1655" t="s">
        <v>1167</v>
      </c>
      <c r="F1655" t="s">
        <v>571</v>
      </c>
      <c r="G1655" s="204"/>
      <c r="L1655">
        <v>166</v>
      </c>
      <c r="M1655">
        <v>22104.559999999994</v>
      </c>
      <c r="N1655">
        <v>129</v>
      </c>
      <c r="O1655">
        <v>17177.64</v>
      </c>
      <c r="P1655">
        <v>129</v>
      </c>
      <c r="Q1655">
        <v>295</v>
      </c>
      <c r="R1655">
        <v>39282.199999999997</v>
      </c>
      <c r="S1655">
        <v>133.16</v>
      </c>
      <c r="T1655">
        <v>0</v>
      </c>
      <c r="U1655">
        <v>0</v>
      </c>
      <c r="V1655">
        <v>387</v>
      </c>
      <c r="W1655">
        <v>51532.919999999991</v>
      </c>
      <c r="X1655">
        <v>387</v>
      </c>
      <c r="Y1655">
        <v>387</v>
      </c>
    </row>
    <row r="1656" spans="1:27" x14ac:dyDescent="0.25">
      <c r="A1656" t="s">
        <v>176</v>
      </c>
      <c r="B1656" t="s">
        <v>556</v>
      </c>
      <c r="C1656" t="s">
        <v>1859</v>
      </c>
      <c r="D1656" t="s">
        <v>585</v>
      </c>
      <c r="E1656" t="s">
        <v>1308</v>
      </c>
      <c r="F1656" t="s">
        <v>571</v>
      </c>
      <c r="G1656" s="204"/>
      <c r="J1656">
        <v>300</v>
      </c>
      <c r="K1656">
        <v>39948</v>
      </c>
      <c r="L1656">
        <v>1205</v>
      </c>
      <c r="M1656">
        <v>160457.79999999999</v>
      </c>
      <c r="N1656">
        <v>300</v>
      </c>
      <c r="O1656">
        <v>38415</v>
      </c>
      <c r="P1656">
        <v>300</v>
      </c>
      <c r="Q1656">
        <v>1505</v>
      </c>
      <c r="T1656">
        <v>0</v>
      </c>
      <c r="U1656">
        <v>0</v>
      </c>
      <c r="V1656">
        <v>900</v>
      </c>
      <c r="W1656">
        <v>115245</v>
      </c>
      <c r="X1656">
        <v>900</v>
      </c>
      <c r="Y1656">
        <v>900</v>
      </c>
    </row>
    <row r="1657" spans="1:27" x14ac:dyDescent="0.25">
      <c r="A1657" t="s">
        <v>502</v>
      </c>
      <c r="B1657" t="s">
        <v>556</v>
      </c>
      <c r="C1657" t="s">
        <v>1859</v>
      </c>
      <c r="D1657" t="s">
        <v>607</v>
      </c>
      <c r="E1657" t="s">
        <v>1466</v>
      </c>
      <c r="F1657" t="s">
        <v>571</v>
      </c>
      <c r="G1657" s="204"/>
      <c r="H1657">
        <v>250</v>
      </c>
      <c r="I1657">
        <v>33997.5</v>
      </c>
      <c r="K1657">
        <v>37482.5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7" x14ac:dyDescent="0.25">
      <c r="A1658" t="s">
        <v>502</v>
      </c>
      <c r="B1658" t="s">
        <v>556</v>
      </c>
      <c r="C1658" t="s">
        <v>1859</v>
      </c>
      <c r="D1658" t="s">
        <v>607</v>
      </c>
      <c r="E1658" t="s">
        <v>1368</v>
      </c>
      <c r="F1658" t="s">
        <v>571</v>
      </c>
      <c r="G1658" s="204"/>
      <c r="J1658">
        <v>100</v>
      </c>
      <c r="K1658">
        <v>13599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7" x14ac:dyDescent="0.25">
      <c r="A1659" t="s">
        <v>502</v>
      </c>
      <c r="B1659" t="s">
        <v>556</v>
      </c>
      <c r="C1659" t="s">
        <v>1859</v>
      </c>
      <c r="D1659" t="s">
        <v>607</v>
      </c>
      <c r="E1659" t="s">
        <v>1295</v>
      </c>
      <c r="F1659" t="s">
        <v>571</v>
      </c>
      <c r="G1659" s="204"/>
      <c r="H1659">
        <v>400</v>
      </c>
      <c r="I1659">
        <v>31704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7" x14ac:dyDescent="0.25">
      <c r="A1660" t="s">
        <v>502</v>
      </c>
      <c r="B1660" t="s">
        <v>556</v>
      </c>
      <c r="C1660" t="s">
        <v>1859</v>
      </c>
      <c r="D1660" t="s">
        <v>607</v>
      </c>
      <c r="E1660" t="s">
        <v>1212</v>
      </c>
      <c r="F1660" t="s">
        <v>571</v>
      </c>
      <c r="G1660" s="204"/>
      <c r="J1660">
        <v>50</v>
      </c>
      <c r="K1660">
        <v>6799.5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7" x14ac:dyDescent="0.25">
      <c r="A1661" t="s">
        <v>178</v>
      </c>
      <c r="B1661" t="s">
        <v>556</v>
      </c>
      <c r="C1661" t="s">
        <v>1859</v>
      </c>
      <c r="D1661" t="s">
        <v>613</v>
      </c>
      <c r="E1661" t="s">
        <v>1167</v>
      </c>
      <c r="F1661" t="s">
        <v>571</v>
      </c>
      <c r="G1661" s="204"/>
      <c r="H1661">
        <v>276</v>
      </c>
      <c r="I1661">
        <v>22460.880000000005</v>
      </c>
      <c r="L1661">
        <v>936</v>
      </c>
      <c r="M1661">
        <v>76171.680000000008</v>
      </c>
      <c r="N1661">
        <v>0</v>
      </c>
      <c r="O1661">
        <v>0</v>
      </c>
      <c r="P1661">
        <v>0</v>
      </c>
      <c r="Q1661">
        <v>936</v>
      </c>
      <c r="T1661">
        <v>0</v>
      </c>
      <c r="U1661">
        <v>0</v>
      </c>
      <c r="V1661">
        <v>867</v>
      </c>
      <c r="W1661">
        <v>70556.460000000006</v>
      </c>
      <c r="X1661">
        <v>867</v>
      </c>
      <c r="Y1661">
        <v>867</v>
      </c>
    </row>
    <row r="1662" spans="1:27" x14ac:dyDescent="0.25">
      <c r="A1662" t="s">
        <v>180</v>
      </c>
      <c r="B1662" t="s">
        <v>556</v>
      </c>
      <c r="C1662" t="s">
        <v>1859</v>
      </c>
      <c r="D1662" t="s">
        <v>587</v>
      </c>
      <c r="E1662" t="s">
        <v>1152</v>
      </c>
      <c r="F1662" t="s">
        <v>571</v>
      </c>
      <c r="G1662" s="204"/>
      <c r="J1662">
        <v>200</v>
      </c>
      <c r="K1662">
        <v>20496</v>
      </c>
      <c r="L1662">
        <v>875</v>
      </c>
      <c r="M1662">
        <v>89670.000000000015</v>
      </c>
      <c r="N1662">
        <v>0</v>
      </c>
      <c r="O1662">
        <v>0</v>
      </c>
      <c r="P1662">
        <v>0</v>
      </c>
      <c r="Q1662">
        <v>875</v>
      </c>
      <c r="T1662">
        <v>0</v>
      </c>
      <c r="U1662">
        <v>0</v>
      </c>
      <c r="V1662">
        <v>575</v>
      </c>
      <c r="W1662">
        <v>58926</v>
      </c>
      <c r="X1662">
        <v>575</v>
      </c>
      <c r="Y1662">
        <v>575</v>
      </c>
    </row>
    <row r="1663" spans="1:27" x14ac:dyDescent="0.25">
      <c r="A1663" t="s">
        <v>180</v>
      </c>
      <c r="B1663" t="s">
        <v>556</v>
      </c>
      <c r="C1663" t="s">
        <v>1859</v>
      </c>
      <c r="D1663" t="s">
        <v>587</v>
      </c>
      <c r="E1663" t="s">
        <v>1167</v>
      </c>
      <c r="F1663" t="s">
        <v>571</v>
      </c>
      <c r="G1663" s="204"/>
      <c r="H1663">
        <v>60</v>
      </c>
      <c r="I1663">
        <v>6148.8</v>
      </c>
      <c r="L1663">
        <v>236</v>
      </c>
      <c r="M1663">
        <v>24185.280000000002</v>
      </c>
      <c r="N1663">
        <v>0</v>
      </c>
      <c r="O1663">
        <v>0</v>
      </c>
      <c r="P1663">
        <v>0</v>
      </c>
      <c r="Q1663">
        <v>236</v>
      </c>
      <c r="T1663">
        <v>0</v>
      </c>
      <c r="U1663">
        <v>0</v>
      </c>
      <c r="V1663">
        <v>160</v>
      </c>
      <c r="W1663">
        <v>16396.8</v>
      </c>
      <c r="X1663">
        <v>160</v>
      </c>
      <c r="Y1663">
        <v>160</v>
      </c>
    </row>
    <row r="1664" spans="1:27" x14ac:dyDescent="0.25">
      <c r="A1664" t="s">
        <v>180</v>
      </c>
      <c r="B1664" t="s">
        <v>556</v>
      </c>
      <c r="C1664" t="s">
        <v>1859</v>
      </c>
      <c r="D1664" t="s">
        <v>587</v>
      </c>
      <c r="E1664" t="s">
        <v>1308</v>
      </c>
      <c r="F1664" t="s">
        <v>571</v>
      </c>
      <c r="G1664" s="204"/>
      <c r="L1664">
        <v>190</v>
      </c>
      <c r="M1664">
        <v>19471.199999999997</v>
      </c>
      <c r="N1664">
        <v>100</v>
      </c>
      <c r="O1664">
        <v>10248</v>
      </c>
      <c r="P1664">
        <v>100</v>
      </c>
      <c r="Q1664">
        <v>290</v>
      </c>
      <c r="T1664">
        <v>0</v>
      </c>
      <c r="U1664">
        <v>0</v>
      </c>
      <c r="V1664">
        <v>100</v>
      </c>
      <c r="W1664">
        <v>10248</v>
      </c>
      <c r="X1664">
        <v>100</v>
      </c>
      <c r="Y1664">
        <v>100</v>
      </c>
      <c r="Z1664">
        <v>10248</v>
      </c>
      <c r="AA1664">
        <v>102.48</v>
      </c>
    </row>
    <row r="1665" spans="1:27" x14ac:dyDescent="0.25">
      <c r="A1665" t="s">
        <v>182</v>
      </c>
      <c r="B1665" t="s">
        <v>556</v>
      </c>
      <c r="C1665" t="s">
        <v>1859</v>
      </c>
      <c r="D1665" t="s">
        <v>587</v>
      </c>
      <c r="E1665" t="s">
        <v>1167</v>
      </c>
      <c r="F1665" t="s">
        <v>571</v>
      </c>
      <c r="G1665" s="204"/>
      <c r="H1665">
        <v>17</v>
      </c>
      <c r="I1665">
        <v>7108</v>
      </c>
      <c r="L1665">
        <v>284</v>
      </c>
      <c r="M1665">
        <v>120700</v>
      </c>
      <c r="N1665">
        <v>40</v>
      </c>
      <c r="O1665">
        <v>17000</v>
      </c>
      <c r="P1665">
        <v>40</v>
      </c>
      <c r="Q1665">
        <v>324</v>
      </c>
      <c r="T1665">
        <v>0</v>
      </c>
      <c r="U1665">
        <v>0</v>
      </c>
      <c r="V1665">
        <v>77</v>
      </c>
      <c r="W1665">
        <v>32725</v>
      </c>
      <c r="X1665">
        <v>77</v>
      </c>
      <c r="Y1665">
        <v>77</v>
      </c>
    </row>
    <row r="1666" spans="1:27" x14ac:dyDescent="0.25">
      <c r="A1666" t="s">
        <v>182</v>
      </c>
      <c r="B1666" t="s">
        <v>556</v>
      </c>
      <c r="C1666" t="s">
        <v>1859</v>
      </c>
      <c r="D1666" t="s">
        <v>587</v>
      </c>
      <c r="E1666" t="s">
        <v>1308</v>
      </c>
      <c r="F1666" t="s">
        <v>571</v>
      </c>
      <c r="G1666" s="204"/>
      <c r="L1666">
        <v>50</v>
      </c>
      <c r="M1666">
        <v>7408.5000000000009</v>
      </c>
      <c r="N1666">
        <v>0</v>
      </c>
      <c r="O1666">
        <v>0</v>
      </c>
      <c r="P1666">
        <v>0</v>
      </c>
      <c r="Q1666">
        <v>50</v>
      </c>
      <c r="T1666">
        <v>0</v>
      </c>
      <c r="U1666">
        <v>0</v>
      </c>
      <c r="V1666">
        <v>40</v>
      </c>
      <c r="W1666">
        <v>7099.2</v>
      </c>
      <c r="X1666">
        <v>40</v>
      </c>
      <c r="Y1666">
        <v>40</v>
      </c>
      <c r="Z1666">
        <v>7099.2</v>
      </c>
      <c r="AA1666">
        <v>177.48</v>
      </c>
    </row>
    <row r="1667" spans="1:27" x14ac:dyDescent="0.25">
      <c r="A1667" t="s">
        <v>713</v>
      </c>
      <c r="B1667" t="s">
        <v>554</v>
      </c>
      <c r="C1667" t="s">
        <v>564</v>
      </c>
      <c r="D1667" t="s">
        <v>730</v>
      </c>
      <c r="E1667" t="s">
        <v>1164</v>
      </c>
      <c r="F1667" t="s">
        <v>571</v>
      </c>
      <c r="G1667" s="204"/>
      <c r="L1667">
        <v>100</v>
      </c>
      <c r="M1667">
        <v>35186</v>
      </c>
      <c r="N1667">
        <v>0</v>
      </c>
      <c r="O1667">
        <v>0</v>
      </c>
      <c r="P1667">
        <v>0</v>
      </c>
      <c r="Q1667">
        <v>100</v>
      </c>
      <c r="T1667">
        <v>0</v>
      </c>
      <c r="U1667">
        <v>0</v>
      </c>
      <c r="V1667">
        <v>16</v>
      </c>
      <c r="W1667">
        <v>6627.2</v>
      </c>
      <c r="X1667">
        <v>16</v>
      </c>
      <c r="Y1667">
        <v>16</v>
      </c>
      <c r="Z1667">
        <v>6627.2</v>
      </c>
      <c r="AA1667">
        <v>414.2</v>
      </c>
    </row>
    <row r="1668" spans="1:27" x14ac:dyDescent="0.25">
      <c r="A1668" t="s">
        <v>184</v>
      </c>
      <c r="B1668" t="s">
        <v>554</v>
      </c>
      <c r="C1668" t="s">
        <v>1859</v>
      </c>
      <c r="D1668" t="s">
        <v>616</v>
      </c>
      <c r="E1668" t="s">
        <v>1210</v>
      </c>
      <c r="F1668" t="s">
        <v>571</v>
      </c>
      <c r="G1668" s="204"/>
      <c r="L1668">
        <v>0</v>
      </c>
      <c r="M1668">
        <v>0</v>
      </c>
      <c r="N1668">
        <v>150</v>
      </c>
      <c r="O1668">
        <v>78322.5</v>
      </c>
      <c r="P1668">
        <v>150</v>
      </c>
      <c r="Q1668">
        <v>150</v>
      </c>
      <c r="R1668">
        <v>78322.5</v>
      </c>
      <c r="S1668">
        <v>522.15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7" x14ac:dyDescent="0.25">
      <c r="A1669" t="s">
        <v>1478</v>
      </c>
      <c r="B1669" t="s">
        <v>554</v>
      </c>
      <c r="C1669" t="s">
        <v>555</v>
      </c>
      <c r="D1669" t="s">
        <v>600</v>
      </c>
      <c r="E1669" t="s">
        <v>1434</v>
      </c>
      <c r="F1669" t="s">
        <v>571</v>
      </c>
      <c r="G1669" s="204"/>
      <c r="L1669">
        <v>11</v>
      </c>
      <c r="M1669">
        <v>10285</v>
      </c>
      <c r="N1669">
        <v>0</v>
      </c>
      <c r="O1669">
        <v>0</v>
      </c>
      <c r="P1669">
        <v>0</v>
      </c>
      <c r="Q1669">
        <v>11</v>
      </c>
      <c r="R1669">
        <v>10285</v>
      </c>
      <c r="S1669">
        <v>935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7" x14ac:dyDescent="0.25">
      <c r="A1670" t="s">
        <v>424</v>
      </c>
      <c r="B1670" t="s">
        <v>556</v>
      </c>
      <c r="C1670" t="s">
        <v>555</v>
      </c>
      <c r="D1670" t="s">
        <v>583</v>
      </c>
      <c r="E1670" t="s">
        <v>1258</v>
      </c>
      <c r="F1670" t="s">
        <v>571</v>
      </c>
      <c r="G1670" s="204"/>
      <c r="L1670">
        <v>0</v>
      </c>
      <c r="M1670">
        <v>0</v>
      </c>
      <c r="N1670">
        <v>602</v>
      </c>
      <c r="O1670">
        <v>92190.28</v>
      </c>
      <c r="P1670">
        <v>602</v>
      </c>
      <c r="Q1670">
        <v>602</v>
      </c>
      <c r="T1670">
        <v>0</v>
      </c>
      <c r="U1670">
        <v>0</v>
      </c>
      <c r="V1670">
        <v>500</v>
      </c>
      <c r="W1670">
        <v>76570</v>
      </c>
      <c r="X1670">
        <v>500</v>
      </c>
      <c r="Y1670">
        <v>500</v>
      </c>
      <c r="Z1670">
        <v>76570</v>
      </c>
      <c r="AA1670">
        <v>153.13999999999999</v>
      </c>
    </row>
    <row r="1671" spans="1:27" x14ac:dyDescent="0.25">
      <c r="A1671" t="s">
        <v>424</v>
      </c>
      <c r="B1671" t="s">
        <v>556</v>
      </c>
      <c r="C1671" t="s">
        <v>555</v>
      </c>
      <c r="D1671" t="s">
        <v>583</v>
      </c>
      <c r="E1671" t="s">
        <v>1434</v>
      </c>
      <c r="F1671" t="s">
        <v>571</v>
      </c>
      <c r="G1671" s="204"/>
      <c r="J1671">
        <v>541</v>
      </c>
      <c r="K1671">
        <v>105983.24</v>
      </c>
      <c r="L1671">
        <v>807</v>
      </c>
      <c r="M1671">
        <v>123583.98</v>
      </c>
      <c r="N1671">
        <v>0</v>
      </c>
      <c r="O1671">
        <v>0</v>
      </c>
      <c r="P1671">
        <v>0</v>
      </c>
      <c r="Q1671">
        <v>807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7" x14ac:dyDescent="0.25">
      <c r="A1672" t="s">
        <v>528</v>
      </c>
      <c r="B1672" t="s">
        <v>554</v>
      </c>
      <c r="C1672" t="s">
        <v>555</v>
      </c>
      <c r="D1672" t="s">
        <v>583</v>
      </c>
      <c r="E1672" t="s">
        <v>1434</v>
      </c>
      <c r="F1672" t="s">
        <v>571</v>
      </c>
      <c r="G1672" s="204"/>
      <c r="J1672">
        <v>125</v>
      </c>
      <c r="K1672">
        <v>29625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7" x14ac:dyDescent="0.25">
      <c r="A1673" t="s">
        <v>425</v>
      </c>
      <c r="B1673" t="s">
        <v>554</v>
      </c>
      <c r="C1673" t="s">
        <v>555</v>
      </c>
      <c r="D1673" t="s">
        <v>583</v>
      </c>
      <c r="E1673" t="s">
        <v>1258</v>
      </c>
      <c r="F1673" t="s">
        <v>571</v>
      </c>
      <c r="G1673" s="204"/>
      <c r="L1673">
        <v>0</v>
      </c>
      <c r="M1673">
        <v>0</v>
      </c>
      <c r="N1673">
        <v>231</v>
      </c>
      <c r="O1673">
        <v>65259.81</v>
      </c>
      <c r="P1673">
        <v>231</v>
      </c>
      <c r="Q1673">
        <v>231</v>
      </c>
      <c r="R1673">
        <v>65259.81</v>
      </c>
      <c r="S1673">
        <v>282.51</v>
      </c>
      <c r="T1673">
        <v>0</v>
      </c>
      <c r="U1673">
        <v>0</v>
      </c>
      <c r="V1673">
        <v>335</v>
      </c>
      <c r="W1673">
        <v>94640.85</v>
      </c>
      <c r="X1673">
        <v>335</v>
      </c>
      <c r="Y1673">
        <v>335</v>
      </c>
    </row>
    <row r="1674" spans="1:27" x14ac:dyDescent="0.25">
      <c r="A1674" t="s">
        <v>425</v>
      </c>
      <c r="B1674" t="s">
        <v>554</v>
      </c>
      <c r="C1674" t="s">
        <v>555</v>
      </c>
      <c r="D1674" t="s">
        <v>583</v>
      </c>
      <c r="E1674" t="s">
        <v>1434</v>
      </c>
      <c r="F1674" t="s">
        <v>571</v>
      </c>
      <c r="G1674" s="204"/>
      <c r="L1674">
        <v>324</v>
      </c>
      <c r="M1674">
        <v>91533.24</v>
      </c>
      <c r="N1674">
        <v>0</v>
      </c>
      <c r="O1674">
        <v>0</v>
      </c>
      <c r="P1674">
        <v>0</v>
      </c>
      <c r="Q1674">
        <v>324</v>
      </c>
      <c r="R1674">
        <v>91533.24</v>
      </c>
      <c r="S1674">
        <v>282.51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7" x14ac:dyDescent="0.25">
      <c r="A1675" t="s">
        <v>426</v>
      </c>
      <c r="B1675" t="s">
        <v>554</v>
      </c>
      <c r="C1675" t="s">
        <v>555</v>
      </c>
      <c r="D1675" t="s">
        <v>583</v>
      </c>
      <c r="E1675" t="s">
        <v>1258</v>
      </c>
      <c r="F1675" t="s">
        <v>571</v>
      </c>
      <c r="G1675" s="204"/>
      <c r="L1675">
        <v>0</v>
      </c>
      <c r="M1675">
        <v>0</v>
      </c>
      <c r="N1675">
        <v>542</v>
      </c>
      <c r="O1675">
        <v>196035.97999999995</v>
      </c>
      <c r="P1675">
        <v>542</v>
      </c>
      <c r="Q1675">
        <v>542</v>
      </c>
      <c r="R1675">
        <v>196035.97999999998</v>
      </c>
      <c r="S1675">
        <v>361.68999999999994</v>
      </c>
      <c r="T1675">
        <v>0</v>
      </c>
      <c r="U1675">
        <v>0</v>
      </c>
      <c r="V1675">
        <v>795</v>
      </c>
      <c r="W1675">
        <v>287543.55</v>
      </c>
      <c r="X1675">
        <v>795</v>
      </c>
      <c r="Y1675">
        <v>795</v>
      </c>
    </row>
    <row r="1676" spans="1:27" x14ac:dyDescent="0.25">
      <c r="A1676" t="s">
        <v>426</v>
      </c>
      <c r="B1676" t="s">
        <v>554</v>
      </c>
      <c r="C1676" t="s">
        <v>555</v>
      </c>
      <c r="D1676" t="s">
        <v>583</v>
      </c>
      <c r="E1676" t="s">
        <v>1434</v>
      </c>
      <c r="F1676" t="s">
        <v>571</v>
      </c>
      <c r="G1676" s="204"/>
      <c r="L1676">
        <v>853</v>
      </c>
      <c r="M1676">
        <v>308521.56999999995</v>
      </c>
      <c r="N1676">
        <v>0</v>
      </c>
      <c r="O1676">
        <v>0</v>
      </c>
      <c r="P1676">
        <v>0</v>
      </c>
      <c r="Q1676">
        <v>853</v>
      </c>
      <c r="R1676">
        <v>308521.56999999995</v>
      </c>
      <c r="S1676">
        <v>361.68999999999994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7" x14ac:dyDescent="0.25">
      <c r="A1677" t="s">
        <v>905</v>
      </c>
      <c r="B1677" t="s">
        <v>562</v>
      </c>
      <c r="C1677" t="s">
        <v>555</v>
      </c>
      <c r="D1677" t="s">
        <v>591</v>
      </c>
      <c r="E1677" t="s">
        <v>1258</v>
      </c>
      <c r="F1677" t="s">
        <v>571</v>
      </c>
      <c r="G1677" s="204"/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T1677">
        <v>0</v>
      </c>
      <c r="U1677">
        <v>0</v>
      </c>
      <c r="V1677">
        <v>225</v>
      </c>
      <c r="W1677">
        <v>175259.25</v>
      </c>
      <c r="X1677">
        <v>225</v>
      </c>
      <c r="Y1677">
        <v>225</v>
      </c>
      <c r="Z1677">
        <v>175259.25</v>
      </c>
      <c r="AA1677">
        <v>778.93</v>
      </c>
    </row>
    <row r="1678" spans="1:27" x14ac:dyDescent="0.25">
      <c r="A1678" t="s">
        <v>905</v>
      </c>
      <c r="B1678" t="s">
        <v>562</v>
      </c>
      <c r="C1678" t="s">
        <v>555</v>
      </c>
      <c r="D1678" t="s">
        <v>591</v>
      </c>
      <c r="E1678" t="s">
        <v>1434</v>
      </c>
      <c r="F1678" t="s">
        <v>571</v>
      </c>
      <c r="G1678" s="204"/>
      <c r="L1678">
        <v>16</v>
      </c>
      <c r="M1678">
        <v>9897.1200000000008</v>
      </c>
      <c r="N1678">
        <v>0</v>
      </c>
      <c r="O1678">
        <v>0</v>
      </c>
      <c r="P1678">
        <v>0</v>
      </c>
      <c r="Q1678">
        <v>16</v>
      </c>
      <c r="R1678">
        <v>9897.1200000000008</v>
      </c>
      <c r="S1678">
        <v>618.57000000000005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7" x14ac:dyDescent="0.25">
      <c r="A1679" t="s">
        <v>941</v>
      </c>
      <c r="B1679" t="s">
        <v>554</v>
      </c>
      <c r="C1679" t="s">
        <v>555</v>
      </c>
      <c r="D1679" t="s">
        <v>583</v>
      </c>
      <c r="E1679" t="s">
        <v>1258</v>
      </c>
      <c r="F1679" t="s">
        <v>571</v>
      </c>
      <c r="G1679" s="204"/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T1679">
        <v>0</v>
      </c>
      <c r="U1679">
        <v>0</v>
      </c>
      <c r="V1679">
        <v>225</v>
      </c>
      <c r="W1679">
        <v>210807</v>
      </c>
      <c r="X1679">
        <v>225</v>
      </c>
      <c r="Y1679">
        <v>225</v>
      </c>
      <c r="Z1679">
        <v>210807</v>
      </c>
      <c r="AA1679">
        <v>936.92</v>
      </c>
    </row>
    <row r="1680" spans="1:27" x14ac:dyDescent="0.25">
      <c r="A1680" t="s">
        <v>469</v>
      </c>
      <c r="B1680" t="s">
        <v>565</v>
      </c>
      <c r="C1680" t="s">
        <v>555</v>
      </c>
      <c r="D1680" t="s">
        <v>591</v>
      </c>
      <c r="E1680" t="s">
        <v>1258</v>
      </c>
      <c r="F1680" t="s">
        <v>571</v>
      </c>
      <c r="G1680" s="204"/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T1680">
        <v>0</v>
      </c>
      <c r="U1680">
        <v>0</v>
      </c>
      <c r="V1680">
        <v>49</v>
      </c>
      <c r="W1680">
        <v>59736.39</v>
      </c>
      <c r="X1680">
        <v>49</v>
      </c>
      <c r="Y1680">
        <v>49</v>
      </c>
      <c r="Z1680">
        <v>59736.39</v>
      </c>
      <c r="AA1680">
        <v>1219.1099999999999</v>
      </c>
    </row>
    <row r="1681" spans="1:27" x14ac:dyDescent="0.25">
      <c r="A1681" t="s">
        <v>469</v>
      </c>
      <c r="B1681" t="s">
        <v>565</v>
      </c>
      <c r="C1681" t="s">
        <v>555</v>
      </c>
      <c r="D1681" t="s">
        <v>591</v>
      </c>
      <c r="E1681" t="s">
        <v>1434</v>
      </c>
      <c r="F1681" t="s">
        <v>571</v>
      </c>
      <c r="G1681" s="204"/>
      <c r="L1681">
        <v>1</v>
      </c>
      <c r="M1681">
        <v>1219.1099999999999</v>
      </c>
      <c r="N1681">
        <v>0</v>
      </c>
      <c r="O1681">
        <v>0</v>
      </c>
      <c r="P1681">
        <v>0</v>
      </c>
      <c r="Q1681">
        <v>1</v>
      </c>
      <c r="R1681">
        <v>1219.1099999999999</v>
      </c>
      <c r="S1681">
        <v>1219.1099999999999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7" x14ac:dyDescent="0.25">
      <c r="A1682" t="s">
        <v>1249</v>
      </c>
      <c r="B1682" t="s">
        <v>554</v>
      </c>
      <c r="C1682" t="s">
        <v>1860</v>
      </c>
      <c r="D1682" t="s">
        <v>973</v>
      </c>
      <c r="E1682" t="s">
        <v>1248</v>
      </c>
      <c r="F1682" t="s">
        <v>571</v>
      </c>
      <c r="G1682" s="204"/>
      <c r="L1682">
        <v>0</v>
      </c>
      <c r="M1682">
        <v>0</v>
      </c>
      <c r="N1682">
        <v>35</v>
      </c>
      <c r="O1682">
        <v>40833.449999999997</v>
      </c>
      <c r="P1682">
        <v>35</v>
      </c>
      <c r="Q1682">
        <v>35</v>
      </c>
      <c r="R1682">
        <v>40833.449999999997</v>
      </c>
      <c r="S1682">
        <v>1166.6699999999998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7" x14ac:dyDescent="0.25">
      <c r="A1683" t="s">
        <v>437</v>
      </c>
      <c r="B1683" t="s">
        <v>562</v>
      </c>
      <c r="C1683" t="s">
        <v>1858</v>
      </c>
      <c r="D1683" t="s">
        <v>625</v>
      </c>
      <c r="E1683" t="s">
        <v>1226</v>
      </c>
      <c r="F1683" t="s">
        <v>571</v>
      </c>
      <c r="G1683" s="204"/>
      <c r="L1683">
        <v>100</v>
      </c>
      <c r="M1683">
        <v>32500</v>
      </c>
      <c r="N1683">
        <v>0</v>
      </c>
      <c r="O1683">
        <v>0</v>
      </c>
      <c r="P1683">
        <v>0</v>
      </c>
      <c r="Q1683">
        <v>100</v>
      </c>
      <c r="R1683">
        <v>32500</v>
      </c>
      <c r="S1683">
        <v>325</v>
      </c>
      <c r="T1683">
        <v>0</v>
      </c>
      <c r="U1683">
        <v>0</v>
      </c>
      <c r="V1683">
        <v>100</v>
      </c>
      <c r="W1683">
        <v>32500</v>
      </c>
      <c r="X1683">
        <v>100</v>
      </c>
      <c r="Y1683">
        <v>100</v>
      </c>
      <c r="Z1683">
        <v>32500</v>
      </c>
      <c r="AA1683">
        <v>325</v>
      </c>
    </row>
    <row r="1684" spans="1:27" x14ac:dyDescent="0.25">
      <c r="A1684" t="s">
        <v>1678</v>
      </c>
      <c r="B1684" t="s">
        <v>565</v>
      </c>
      <c r="C1684" t="s">
        <v>1858</v>
      </c>
      <c r="D1684" t="s">
        <v>625</v>
      </c>
      <c r="E1684" t="s">
        <v>1335</v>
      </c>
      <c r="F1684" t="s">
        <v>571</v>
      </c>
      <c r="G1684" s="204"/>
      <c r="H1684">
        <v>100</v>
      </c>
      <c r="I1684">
        <v>37288</v>
      </c>
      <c r="J1684">
        <v>100</v>
      </c>
      <c r="K1684">
        <v>37288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7" x14ac:dyDescent="0.25">
      <c r="A1685" t="s">
        <v>1154</v>
      </c>
      <c r="B1685" t="s">
        <v>556</v>
      </c>
      <c r="C1685" t="s">
        <v>1859</v>
      </c>
      <c r="D1685" t="s">
        <v>593</v>
      </c>
      <c r="E1685" t="s">
        <v>1152</v>
      </c>
      <c r="F1685" t="s">
        <v>571</v>
      </c>
      <c r="G1685" s="204"/>
      <c r="L1685">
        <v>164</v>
      </c>
      <c r="M1685">
        <v>25328.16</v>
      </c>
      <c r="N1685">
        <v>0</v>
      </c>
      <c r="O1685">
        <v>0</v>
      </c>
      <c r="P1685">
        <v>0</v>
      </c>
      <c r="Q1685">
        <v>164</v>
      </c>
      <c r="R1685">
        <v>25328.16</v>
      </c>
      <c r="S1685">
        <v>154.44</v>
      </c>
      <c r="T1685">
        <v>0</v>
      </c>
      <c r="U1685">
        <v>0</v>
      </c>
      <c r="V1685">
        <v>596</v>
      </c>
      <c r="W1685">
        <v>92046.24</v>
      </c>
      <c r="X1685">
        <v>596</v>
      </c>
      <c r="Y1685">
        <v>596</v>
      </c>
    </row>
    <row r="1686" spans="1:27" x14ac:dyDescent="0.25">
      <c r="A1686" t="s">
        <v>286</v>
      </c>
      <c r="B1686" t="s">
        <v>562</v>
      </c>
      <c r="C1686" t="s">
        <v>1860</v>
      </c>
      <c r="D1686" t="s">
        <v>621</v>
      </c>
      <c r="E1686" t="s">
        <v>1173</v>
      </c>
      <c r="F1686" t="s">
        <v>571</v>
      </c>
      <c r="G1686" s="204"/>
      <c r="L1686">
        <v>5</v>
      </c>
      <c r="M1686">
        <v>26573.1</v>
      </c>
      <c r="N1686">
        <v>0</v>
      </c>
      <c r="O1686">
        <v>0</v>
      </c>
      <c r="P1686">
        <v>0</v>
      </c>
      <c r="Q1686">
        <v>5</v>
      </c>
      <c r="R1686">
        <v>26573.1</v>
      </c>
      <c r="S1686">
        <v>5314.62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7" x14ac:dyDescent="0.25">
      <c r="A1687" t="s">
        <v>286</v>
      </c>
      <c r="B1687" t="s">
        <v>562</v>
      </c>
      <c r="C1687" t="s">
        <v>1860</v>
      </c>
      <c r="D1687" t="s">
        <v>621</v>
      </c>
      <c r="E1687" t="s">
        <v>1216</v>
      </c>
      <c r="F1687" t="s">
        <v>571</v>
      </c>
      <c r="G1687" s="204"/>
      <c r="L1687">
        <v>25</v>
      </c>
      <c r="M1687">
        <v>131565</v>
      </c>
      <c r="N1687">
        <v>0</v>
      </c>
      <c r="O1687">
        <v>0</v>
      </c>
      <c r="P1687">
        <v>0</v>
      </c>
      <c r="Q1687">
        <v>25</v>
      </c>
      <c r="R1687">
        <v>131565</v>
      </c>
      <c r="S1687">
        <v>5262.6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7" x14ac:dyDescent="0.25">
      <c r="A1688" t="s">
        <v>1812</v>
      </c>
      <c r="C1688" t="s">
        <v>1859</v>
      </c>
      <c r="D1688" t="s">
        <v>569</v>
      </c>
      <c r="E1688" t="s">
        <v>1167</v>
      </c>
      <c r="F1688" t="s">
        <v>571</v>
      </c>
      <c r="G1688" s="204"/>
      <c r="H1688">
        <v>4</v>
      </c>
      <c r="I1688">
        <v>700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7" x14ac:dyDescent="0.25">
      <c r="A1689" t="s">
        <v>427</v>
      </c>
      <c r="B1689" t="s">
        <v>554</v>
      </c>
      <c r="C1689" t="s">
        <v>555</v>
      </c>
      <c r="D1689" t="s">
        <v>583</v>
      </c>
      <c r="E1689" t="s">
        <v>1258</v>
      </c>
      <c r="F1689" t="s">
        <v>571</v>
      </c>
      <c r="G1689" s="204"/>
      <c r="L1689">
        <v>0</v>
      </c>
      <c r="M1689">
        <v>0</v>
      </c>
      <c r="N1689">
        <v>50</v>
      </c>
      <c r="O1689">
        <v>35146</v>
      </c>
      <c r="P1689">
        <v>50</v>
      </c>
      <c r="Q1689">
        <v>50</v>
      </c>
      <c r="R1689">
        <v>35146</v>
      </c>
      <c r="S1689">
        <v>702.92</v>
      </c>
      <c r="T1689">
        <v>0</v>
      </c>
      <c r="U1689">
        <v>0</v>
      </c>
      <c r="V1689">
        <v>50</v>
      </c>
      <c r="W1689">
        <v>35146</v>
      </c>
      <c r="X1689">
        <v>50</v>
      </c>
      <c r="Y1689">
        <v>50</v>
      </c>
      <c r="Z1689">
        <v>35146</v>
      </c>
      <c r="AA1689">
        <v>702.92</v>
      </c>
    </row>
    <row r="1690" spans="1:27" x14ac:dyDescent="0.25">
      <c r="A1690" t="s">
        <v>20</v>
      </c>
      <c r="B1690" t="s">
        <v>556</v>
      </c>
      <c r="C1690" t="s">
        <v>564</v>
      </c>
      <c r="D1690" t="s">
        <v>605</v>
      </c>
      <c r="E1690" t="s">
        <v>1310</v>
      </c>
      <c r="F1690" t="s">
        <v>571</v>
      </c>
      <c r="G1690" s="204"/>
      <c r="J1690">
        <v>38</v>
      </c>
      <c r="K1690">
        <v>15270.68</v>
      </c>
      <c r="L1690">
        <v>112</v>
      </c>
      <c r="M1690">
        <v>48119.68</v>
      </c>
      <c r="N1690">
        <v>69</v>
      </c>
      <c r="O1690">
        <v>30288.66</v>
      </c>
      <c r="P1690">
        <v>69</v>
      </c>
      <c r="Q1690">
        <v>181</v>
      </c>
      <c r="T1690">
        <v>0</v>
      </c>
      <c r="U1690">
        <v>0</v>
      </c>
      <c r="V1690">
        <v>100</v>
      </c>
      <c r="W1690">
        <v>44251</v>
      </c>
      <c r="X1690">
        <v>100</v>
      </c>
      <c r="Y1690">
        <v>100</v>
      </c>
    </row>
    <row r="1691" spans="1:27" x14ac:dyDescent="0.25">
      <c r="A1691" t="s">
        <v>20</v>
      </c>
      <c r="B1691" t="s">
        <v>556</v>
      </c>
      <c r="C1691" t="s">
        <v>564</v>
      </c>
      <c r="D1691" t="s">
        <v>605</v>
      </c>
      <c r="E1691" t="s">
        <v>1293</v>
      </c>
      <c r="F1691" t="s">
        <v>571</v>
      </c>
      <c r="G1691" s="204"/>
      <c r="L1691">
        <v>13</v>
      </c>
      <c r="M1691">
        <v>8927.23</v>
      </c>
      <c r="N1691">
        <v>0</v>
      </c>
      <c r="O1691">
        <v>0</v>
      </c>
      <c r="P1691">
        <v>0</v>
      </c>
      <c r="Q1691">
        <v>13</v>
      </c>
      <c r="R1691">
        <v>8927.23</v>
      </c>
      <c r="S1691">
        <v>686.70999999999992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7" x14ac:dyDescent="0.25">
      <c r="A1692" t="s">
        <v>20</v>
      </c>
      <c r="B1692" t="s">
        <v>556</v>
      </c>
      <c r="C1692" t="s">
        <v>564</v>
      </c>
      <c r="D1692" t="s">
        <v>605</v>
      </c>
      <c r="E1692" t="s">
        <v>1111</v>
      </c>
      <c r="F1692" t="s">
        <v>571</v>
      </c>
      <c r="G1692" s="204"/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T1692">
        <v>0</v>
      </c>
      <c r="U1692">
        <v>0</v>
      </c>
      <c r="V1692">
        <v>50</v>
      </c>
      <c r="W1692">
        <v>0</v>
      </c>
      <c r="X1692">
        <v>0</v>
      </c>
      <c r="Y1692">
        <v>0</v>
      </c>
      <c r="Z1692">
        <v>0</v>
      </c>
    </row>
    <row r="1693" spans="1:27" x14ac:dyDescent="0.25">
      <c r="A1693" t="s">
        <v>20</v>
      </c>
      <c r="B1693" t="s">
        <v>556</v>
      </c>
      <c r="C1693" t="s">
        <v>564</v>
      </c>
      <c r="D1693" t="s">
        <v>605</v>
      </c>
      <c r="E1693" t="s">
        <v>1148</v>
      </c>
      <c r="F1693" t="s">
        <v>571</v>
      </c>
      <c r="G1693" s="204"/>
      <c r="H1693">
        <v>52</v>
      </c>
      <c r="I1693">
        <v>20093.32</v>
      </c>
      <c r="L1693">
        <v>96</v>
      </c>
      <c r="M1693">
        <v>41245.440000000002</v>
      </c>
      <c r="N1693">
        <v>0</v>
      </c>
      <c r="O1693">
        <v>0</v>
      </c>
      <c r="P1693">
        <v>0</v>
      </c>
      <c r="Q1693">
        <v>96</v>
      </c>
      <c r="T1693">
        <v>0</v>
      </c>
      <c r="U1693">
        <v>0</v>
      </c>
      <c r="V1693">
        <v>160</v>
      </c>
      <c r="W1693">
        <v>70801.600000000006</v>
      </c>
      <c r="X1693">
        <v>160</v>
      </c>
      <c r="Y1693">
        <v>160</v>
      </c>
    </row>
    <row r="1694" spans="1:27" x14ac:dyDescent="0.25">
      <c r="A1694" t="s">
        <v>1156</v>
      </c>
      <c r="B1694" t="s">
        <v>556</v>
      </c>
      <c r="C1694" t="s">
        <v>1859</v>
      </c>
      <c r="D1694" t="s">
        <v>593</v>
      </c>
      <c r="E1694" t="s">
        <v>1152</v>
      </c>
      <c r="F1694" t="s">
        <v>571</v>
      </c>
      <c r="G1694" s="204"/>
      <c r="L1694">
        <v>30</v>
      </c>
      <c r="M1694">
        <v>4039.2</v>
      </c>
      <c r="N1694">
        <v>0</v>
      </c>
      <c r="O1694">
        <v>0</v>
      </c>
      <c r="P1694">
        <v>0</v>
      </c>
      <c r="Q1694">
        <v>30</v>
      </c>
      <c r="R1694">
        <v>4039.2</v>
      </c>
      <c r="S1694">
        <v>134.63999999999999</v>
      </c>
      <c r="T1694">
        <v>0</v>
      </c>
      <c r="U1694">
        <v>0</v>
      </c>
      <c r="V1694">
        <v>170</v>
      </c>
      <c r="W1694">
        <v>22888.799999999999</v>
      </c>
      <c r="X1694">
        <v>170</v>
      </c>
      <c r="Y1694">
        <v>170</v>
      </c>
    </row>
    <row r="1695" spans="1:27" x14ac:dyDescent="0.25">
      <c r="A1695" t="s">
        <v>428</v>
      </c>
      <c r="B1695" t="s">
        <v>565</v>
      </c>
      <c r="C1695" t="s">
        <v>555</v>
      </c>
      <c r="D1695" t="s">
        <v>624</v>
      </c>
      <c r="E1695" t="s">
        <v>1269</v>
      </c>
      <c r="F1695" t="s">
        <v>571</v>
      </c>
      <c r="G1695" s="204"/>
      <c r="J1695">
        <v>2</v>
      </c>
      <c r="K1695">
        <v>1583.82</v>
      </c>
      <c r="L1695">
        <v>63</v>
      </c>
      <c r="M1695">
        <v>49490.04</v>
      </c>
      <c r="N1695">
        <v>118</v>
      </c>
      <c r="O1695">
        <v>89151.360000000001</v>
      </c>
      <c r="P1695">
        <v>118</v>
      </c>
      <c r="Q1695">
        <v>181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7" x14ac:dyDescent="0.25">
      <c r="A1696" t="s">
        <v>428</v>
      </c>
      <c r="B1696" t="s">
        <v>565</v>
      </c>
      <c r="C1696" t="s">
        <v>555</v>
      </c>
      <c r="D1696" t="s">
        <v>624</v>
      </c>
      <c r="E1696" t="s">
        <v>1136</v>
      </c>
      <c r="F1696" t="s">
        <v>571</v>
      </c>
      <c r="G1696" s="204"/>
      <c r="H1696">
        <v>25</v>
      </c>
      <c r="I1696">
        <v>18750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7" x14ac:dyDescent="0.25">
      <c r="A1697" t="s">
        <v>429</v>
      </c>
      <c r="B1697" t="s">
        <v>565</v>
      </c>
      <c r="C1697" t="s">
        <v>555</v>
      </c>
      <c r="D1697" t="s">
        <v>624</v>
      </c>
      <c r="E1697" t="s">
        <v>1269</v>
      </c>
      <c r="F1697" t="s">
        <v>571</v>
      </c>
      <c r="G1697" s="204"/>
      <c r="J1697">
        <v>15</v>
      </c>
      <c r="K1697">
        <v>12525</v>
      </c>
      <c r="L1697">
        <v>75</v>
      </c>
      <c r="M1697">
        <v>64226.46</v>
      </c>
      <c r="N1697">
        <v>0</v>
      </c>
      <c r="O1697">
        <v>0</v>
      </c>
      <c r="P1697">
        <v>0</v>
      </c>
      <c r="Q1697">
        <v>75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7" x14ac:dyDescent="0.25">
      <c r="A1698" t="s">
        <v>430</v>
      </c>
      <c r="B1698" t="s">
        <v>556</v>
      </c>
      <c r="C1698" t="s">
        <v>555</v>
      </c>
      <c r="D1698" t="s">
        <v>624</v>
      </c>
      <c r="E1698" t="s">
        <v>1269</v>
      </c>
      <c r="F1698" t="s">
        <v>571</v>
      </c>
      <c r="G1698" s="204"/>
      <c r="J1698">
        <v>32</v>
      </c>
      <c r="K1698">
        <v>30276.36</v>
      </c>
      <c r="L1698">
        <v>130</v>
      </c>
      <c r="M1698">
        <v>137800</v>
      </c>
      <c r="N1698">
        <v>27</v>
      </c>
      <c r="O1698">
        <v>28620</v>
      </c>
      <c r="P1698">
        <v>27</v>
      </c>
      <c r="Q1698">
        <v>157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7" x14ac:dyDescent="0.25">
      <c r="A1699" t="s">
        <v>1679</v>
      </c>
      <c r="B1699" t="s">
        <v>565</v>
      </c>
      <c r="C1699" t="s">
        <v>555</v>
      </c>
      <c r="D1699" t="s">
        <v>624</v>
      </c>
      <c r="E1699" t="s">
        <v>1269</v>
      </c>
      <c r="F1699" t="s">
        <v>571</v>
      </c>
      <c r="G1699" s="204"/>
      <c r="H1699">
        <v>2</v>
      </c>
      <c r="I1699">
        <v>2600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7" x14ac:dyDescent="0.25">
      <c r="A1700" t="s">
        <v>483</v>
      </c>
      <c r="B1700" t="s">
        <v>556</v>
      </c>
      <c r="C1700" t="s">
        <v>555</v>
      </c>
      <c r="D1700" t="s">
        <v>624</v>
      </c>
      <c r="E1700" t="s">
        <v>1269</v>
      </c>
      <c r="F1700" t="s">
        <v>571</v>
      </c>
      <c r="G1700" s="204"/>
      <c r="L1700">
        <v>16</v>
      </c>
      <c r="M1700">
        <v>23472.799999999999</v>
      </c>
      <c r="N1700">
        <v>0</v>
      </c>
      <c r="O1700">
        <v>0</v>
      </c>
      <c r="P1700">
        <v>0</v>
      </c>
      <c r="Q1700">
        <v>16</v>
      </c>
      <c r="R1700">
        <v>23472.799999999999</v>
      </c>
      <c r="S1700">
        <v>1467.05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7" x14ac:dyDescent="0.25">
      <c r="A1701" t="s">
        <v>431</v>
      </c>
      <c r="B1701" t="s">
        <v>556</v>
      </c>
      <c r="C1701" t="s">
        <v>555</v>
      </c>
      <c r="D1701" t="s">
        <v>624</v>
      </c>
      <c r="E1701" t="s">
        <v>1269</v>
      </c>
      <c r="F1701" t="s">
        <v>571</v>
      </c>
      <c r="G1701" s="204"/>
      <c r="J1701">
        <v>61</v>
      </c>
      <c r="K1701">
        <v>103001.55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7" x14ac:dyDescent="0.25">
      <c r="A1702" t="s">
        <v>431</v>
      </c>
      <c r="B1702" t="s">
        <v>556</v>
      </c>
      <c r="C1702" t="s">
        <v>555</v>
      </c>
      <c r="D1702" t="s">
        <v>624</v>
      </c>
      <c r="E1702" t="s">
        <v>1136</v>
      </c>
      <c r="F1702" t="s">
        <v>571</v>
      </c>
      <c r="G1702" s="204"/>
      <c r="L1702">
        <v>60</v>
      </c>
      <c r="M1702">
        <v>101313</v>
      </c>
      <c r="N1702">
        <v>0</v>
      </c>
      <c r="O1702">
        <v>0</v>
      </c>
      <c r="P1702">
        <v>0</v>
      </c>
      <c r="Q1702">
        <v>60</v>
      </c>
      <c r="R1702">
        <v>101313</v>
      </c>
      <c r="S1702">
        <v>1688.55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7" x14ac:dyDescent="0.25">
      <c r="A1703" t="s">
        <v>484</v>
      </c>
      <c r="B1703" t="s">
        <v>556</v>
      </c>
      <c r="C1703" t="s">
        <v>555</v>
      </c>
      <c r="D1703" t="s">
        <v>624</v>
      </c>
      <c r="E1703" t="s">
        <v>1269</v>
      </c>
      <c r="F1703" t="s">
        <v>571</v>
      </c>
      <c r="G1703" s="204"/>
      <c r="L1703">
        <v>8</v>
      </c>
      <c r="M1703">
        <v>17940.240000000002</v>
      </c>
      <c r="N1703">
        <v>0</v>
      </c>
      <c r="O1703">
        <v>0</v>
      </c>
      <c r="P1703">
        <v>0</v>
      </c>
      <c r="Q1703">
        <v>8</v>
      </c>
      <c r="R1703">
        <v>17940.240000000002</v>
      </c>
      <c r="S1703">
        <v>2242.5300000000002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7" x14ac:dyDescent="0.25">
      <c r="A1704" t="s">
        <v>1023</v>
      </c>
      <c r="C1704" t="s">
        <v>555</v>
      </c>
      <c r="D1704" t="s">
        <v>624</v>
      </c>
      <c r="E1704" t="s">
        <v>1269</v>
      </c>
      <c r="F1704" t="s">
        <v>571</v>
      </c>
      <c r="G1704" s="204"/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T1704">
        <v>0</v>
      </c>
      <c r="U1704">
        <v>0</v>
      </c>
      <c r="V1704">
        <v>60</v>
      </c>
      <c r="W1704">
        <v>380604</v>
      </c>
      <c r="X1704">
        <v>60</v>
      </c>
      <c r="Y1704">
        <v>60</v>
      </c>
      <c r="Z1704">
        <v>380604</v>
      </c>
      <c r="AA1704">
        <v>6343.4</v>
      </c>
    </row>
    <row r="1705" spans="1:27" x14ac:dyDescent="0.25">
      <c r="A1705" t="s">
        <v>871</v>
      </c>
      <c r="B1705" t="s">
        <v>554</v>
      </c>
      <c r="C1705" t="s">
        <v>555</v>
      </c>
      <c r="D1705" t="s">
        <v>971</v>
      </c>
      <c r="E1705" t="s">
        <v>1269</v>
      </c>
      <c r="F1705" t="s">
        <v>571</v>
      </c>
      <c r="G1705" s="204"/>
      <c r="L1705">
        <v>0</v>
      </c>
      <c r="M1705">
        <v>0</v>
      </c>
      <c r="N1705">
        <v>111</v>
      </c>
      <c r="O1705">
        <v>74247.899999999994</v>
      </c>
      <c r="P1705">
        <v>111</v>
      </c>
      <c r="Q1705">
        <v>111</v>
      </c>
      <c r="R1705">
        <v>74247.899999999994</v>
      </c>
      <c r="S1705">
        <v>668.9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7" x14ac:dyDescent="0.25">
      <c r="A1706" t="s">
        <v>432</v>
      </c>
      <c r="B1706" t="s">
        <v>565</v>
      </c>
      <c r="C1706" t="s">
        <v>555</v>
      </c>
      <c r="D1706" t="s">
        <v>620</v>
      </c>
      <c r="E1706" t="s">
        <v>1269</v>
      </c>
      <c r="F1706" t="s">
        <v>571</v>
      </c>
      <c r="G1706" s="204"/>
      <c r="H1706">
        <v>100</v>
      </c>
      <c r="I1706">
        <v>78474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7" x14ac:dyDescent="0.25">
      <c r="A1707" t="s">
        <v>432</v>
      </c>
      <c r="B1707" t="s">
        <v>565</v>
      </c>
      <c r="C1707" t="s">
        <v>555</v>
      </c>
      <c r="D1707" t="s">
        <v>620</v>
      </c>
      <c r="E1707" t="s">
        <v>1255</v>
      </c>
      <c r="F1707" t="s">
        <v>571</v>
      </c>
      <c r="G1707" s="204"/>
      <c r="J1707">
        <v>4</v>
      </c>
      <c r="K1707">
        <v>3140</v>
      </c>
      <c r="L1707">
        <v>126</v>
      </c>
      <c r="M1707">
        <v>91000</v>
      </c>
      <c r="N1707">
        <v>51</v>
      </c>
      <c r="O1707">
        <v>40035</v>
      </c>
      <c r="P1707">
        <v>51</v>
      </c>
      <c r="Q1707">
        <v>177</v>
      </c>
      <c r="T1707">
        <v>0</v>
      </c>
      <c r="U1707">
        <v>0</v>
      </c>
      <c r="V1707">
        <v>128</v>
      </c>
      <c r="W1707">
        <v>91520</v>
      </c>
      <c r="X1707">
        <v>128</v>
      </c>
      <c r="Y1707">
        <v>128</v>
      </c>
    </row>
    <row r="1708" spans="1:27" x14ac:dyDescent="0.25">
      <c r="A1708" t="s">
        <v>432</v>
      </c>
      <c r="B1708" t="s">
        <v>565</v>
      </c>
      <c r="C1708" t="s">
        <v>555</v>
      </c>
      <c r="D1708" t="s">
        <v>620</v>
      </c>
      <c r="E1708" t="s">
        <v>1256</v>
      </c>
      <c r="F1708" t="s">
        <v>571</v>
      </c>
      <c r="G1708" s="204"/>
      <c r="L1708">
        <v>0</v>
      </c>
      <c r="M1708">
        <v>0</v>
      </c>
      <c r="N1708">
        <v>15</v>
      </c>
      <c r="O1708">
        <v>10725</v>
      </c>
      <c r="P1708">
        <v>15</v>
      </c>
      <c r="Q1708">
        <v>15</v>
      </c>
      <c r="R1708">
        <v>10725</v>
      </c>
      <c r="S1708">
        <v>715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7" x14ac:dyDescent="0.25">
      <c r="A1709" t="s">
        <v>1680</v>
      </c>
      <c r="B1709" t="s">
        <v>562</v>
      </c>
      <c r="C1709" t="s">
        <v>555</v>
      </c>
      <c r="D1709" t="s">
        <v>620</v>
      </c>
      <c r="E1709" t="s">
        <v>1813</v>
      </c>
      <c r="F1709" t="s">
        <v>571</v>
      </c>
      <c r="G1709" s="204"/>
      <c r="J1709">
        <v>16</v>
      </c>
      <c r="K1709">
        <v>14320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7" x14ac:dyDescent="0.25">
      <c r="A1710" t="s">
        <v>535</v>
      </c>
      <c r="B1710" t="s">
        <v>556</v>
      </c>
      <c r="C1710" t="s">
        <v>555</v>
      </c>
      <c r="D1710" t="s">
        <v>620</v>
      </c>
      <c r="E1710" t="s">
        <v>1269</v>
      </c>
      <c r="F1710" t="s">
        <v>571</v>
      </c>
      <c r="G1710" s="204"/>
      <c r="H1710">
        <v>110</v>
      </c>
      <c r="I1710">
        <v>84358.3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7" x14ac:dyDescent="0.25">
      <c r="A1711" t="s">
        <v>535</v>
      </c>
      <c r="B1711" t="s">
        <v>556</v>
      </c>
      <c r="C1711" t="s">
        <v>555</v>
      </c>
      <c r="D1711" t="s">
        <v>620</v>
      </c>
      <c r="E1711" t="s">
        <v>1700</v>
      </c>
      <c r="F1711" t="s">
        <v>571</v>
      </c>
      <c r="G1711" s="204"/>
      <c r="J1711">
        <v>20</v>
      </c>
      <c r="K1711">
        <v>18605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7" x14ac:dyDescent="0.25">
      <c r="A1712" t="s">
        <v>896</v>
      </c>
      <c r="B1712" t="s">
        <v>565</v>
      </c>
      <c r="C1712" t="s">
        <v>555</v>
      </c>
      <c r="D1712" t="s">
        <v>620</v>
      </c>
      <c r="E1712" t="s">
        <v>1255</v>
      </c>
      <c r="F1712" t="s">
        <v>571</v>
      </c>
      <c r="G1712" s="204"/>
      <c r="L1712">
        <v>12</v>
      </c>
      <c r="M1712">
        <v>14944.8</v>
      </c>
      <c r="N1712">
        <v>0</v>
      </c>
      <c r="O1712">
        <v>0</v>
      </c>
      <c r="P1712">
        <v>0</v>
      </c>
      <c r="Q1712">
        <v>12</v>
      </c>
      <c r="R1712">
        <v>14944.8</v>
      </c>
      <c r="S1712">
        <v>1245.3999999999999</v>
      </c>
      <c r="T1712">
        <v>0</v>
      </c>
      <c r="U1712">
        <v>0</v>
      </c>
      <c r="V1712">
        <v>38</v>
      </c>
      <c r="W1712">
        <v>47325.2</v>
      </c>
      <c r="X1712">
        <v>38</v>
      </c>
      <c r="Y1712">
        <v>38</v>
      </c>
    </row>
    <row r="1713" spans="1:25" x14ac:dyDescent="0.25">
      <c r="A1713" t="s">
        <v>714</v>
      </c>
      <c r="B1713" t="s">
        <v>565</v>
      </c>
      <c r="C1713" t="s">
        <v>555</v>
      </c>
      <c r="D1713" t="s">
        <v>620</v>
      </c>
      <c r="E1713" t="s">
        <v>1269</v>
      </c>
      <c r="F1713" t="s">
        <v>571</v>
      </c>
      <c r="G1713" s="204"/>
      <c r="J1713">
        <v>21</v>
      </c>
      <c r="K1713">
        <v>40963.800000000003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t="s">
        <v>714</v>
      </c>
      <c r="B1714" t="s">
        <v>565</v>
      </c>
      <c r="C1714" t="s">
        <v>555</v>
      </c>
      <c r="D1714" t="s">
        <v>620</v>
      </c>
      <c r="E1714" t="s">
        <v>1255</v>
      </c>
      <c r="F1714" t="s">
        <v>571</v>
      </c>
      <c r="G1714" s="204"/>
      <c r="L1714">
        <v>145</v>
      </c>
      <c r="M1714">
        <v>212096.55000000002</v>
      </c>
      <c r="N1714">
        <v>0</v>
      </c>
      <c r="O1714">
        <v>0</v>
      </c>
      <c r="P1714">
        <v>0</v>
      </c>
      <c r="Q1714">
        <v>145</v>
      </c>
      <c r="R1714">
        <v>212096.55000000002</v>
      </c>
      <c r="S1714">
        <v>1462.7348275862071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t="s">
        <v>714</v>
      </c>
      <c r="B1715" t="s">
        <v>565</v>
      </c>
      <c r="C1715" t="s">
        <v>555</v>
      </c>
      <c r="D1715" t="s">
        <v>620</v>
      </c>
      <c r="E1715" t="s">
        <v>1256</v>
      </c>
      <c r="F1715" t="s">
        <v>571</v>
      </c>
      <c r="G1715" s="204"/>
      <c r="L1715">
        <v>0</v>
      </c>
      <c r="M1715">
        <v>0</v>
      </c>
      <c r="N1715">
        <v>260</v>
      </c>
      <c r="O1715">
        <v>369135</v>
      </c>
      <c r="P1715">
        <v>260</v>
      </c>
      <c r="Q1715">
        <v>260</v>
      </c>
      <c r="R1715">
        <v>369135</v>
      </c>
      <c r="S1715">
        <v>1419.75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t="s">
        <v>881</v>
      </c>
      <c r="B1716" t="s">
        <v>554</v>
      </c>
      <c r="C1716" t="s">
        <v>555</v>
      </c>
      <c r="D1716" t="s">
        <v>645</v>
      </c>
      <c r="E1716" t="s">
        <v>1257</v>
      </c>
      <c r="F1716" t="s">
        <v>571</v>
      </c>
      <c r="G1716" s="204"/>
      <c r="L1716">
        <v>0</v>
      </c>
      <c r="M1716">
        <v>0</v>
      </c>
      <c r="N1716">
        <v>10</v>
      </c>
      <c r="O1716">
        <v>35000</v>
      </c>
      <c r="P1716">
        <v>10</v>
      </c>
      <c r="Q1716">
        <v>10</v>
      </c>
      <c r="R1716">
        <v>35000</v>
      </c>
      <c r="S1716">
        <v>3500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t="s">
        <v>504</v>
      </c>
      <c r="B1717" t="s">
        <v>556</v>
      </c>
      <c r="C1717" t="s">
        <v>1859</v>
      </c>
      <c r="D1717" t="s">
        <v>607</v>
      </c>
      <c r="E1717" t="s">
        <v>1368</v>
      </c>
      <c r="F1717" t="s">
        <v>571</v>
      </c>
      <c r="G1717" s="204"/>
      <c r="J1717">
        <v>100</v>
      </c>
      <c r="K1717">
        <v>20144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t="s">
        <v>186</v>
      </c>
      <c r="B1718" t="s">
        <v>556</v>
      </c>
      <c r="C1718" t="s">
        <v>1859</v>
      </c>
      <c r="D1718" t="s">
        <v>607</v>
      </c>
      <c r="E1718" t="s">
        <v>1466</v>
      </c>
      <c r="F1718" t="s">
        <v>571</v>
      </c>
      <c r="G1718" s="204"/>
      <c r="H1718">
        <v>250</v>
      </c>
      <c r="I1718">
        <v>48257.5</v>
      </c>
      <c r="J1718">
        <v>250</v>
      </c>
      <c r="K1718">
        <v>48257.5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t="s">
        <v>186</v>
      </c>
      <c r="B1719" t="s">
        <v>556</v>
      </c>
      <c r="C1719" t="s">
        <v>1859</v>
      </c>
      <c r="D1719" t="s">
        <v>607</v>
      </c>
      <c r="E1719" t="s">
        <v>1295</v>
      </c>
      <c r="F1719" t="s">
        <v>571</v>
      </c>
      <c r="G1719" s="204"/>
      <c r="L1719">
        <v>142</v>
      </c>
      <c r="M1719">
        <v>11227.94</v>
      </c>
      <c r="N1719">
        <v>0</v>
      </c>
      <c r="O1719">
        <v>0</v>
      </c>
      <c r="P1719">
        <v>0</v>
      </c>
      <c r="Q1719">
        <v>142</v>
      </c>
      <c r="R1719">
        <v>11227.94</v>
      </c>
      <c r="S1719">
        <v>79.070000000000007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t="s">
        <v>186</v>
      </c>
      <c r="B1720" t="s">
        <v>556</v>
      </c>
      <c r="C1720" t="s">
        <v>1859</v>
      </c>
      <c r="D1720" t="s">
        <v>607</v>
      </c>
      <c r="E1720" t="s">
        <v>1212</v>
      </c>
      <c r="F1720" t="s">
        <v>571</v>
      </c>
      <c r="G1720" s="204"/>
      <c r="J1720">
        <v>50</v>
      </c>
      <c r="K1720">
        <v>9651.5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t="s">
        <v>525</v>
      </c>
      <c r="B1721" t="s">
        <v>562</v>
      </c>
      <c r="C1721" t="s">
        <v>1859</v>
      </c>
      <c r="D1721" t="s">
        <v>679</v>
      </c>
      <c r="E1721" t="s">
        <v>1343</v>
      </c>
      <c r="F1721" t="s">
        <v>571</v>
      </c>
      <c r="G1721" s="204"/>
      <c r="H1721">
        <v>18</v>
      </c>
      <c r="I1721">
        <v>5682.06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t="s">
        <v>525</v>
      </c>
      <c r="B1722" t="s">
        <v>562</v>
      </c>
      <c r="C1722" t="s">
        <v>1859</v>
      </c>
      <c r="D1722" t="s">
        <v>679</v>
      </c>
      <c r="E1722" t="s">
        <v>1403</v>
      </c>
      <c r="F1722" t="s">
        <v>571</v>
      </c>
      <c r="G1722" s="204"/>
      <c r="H1722">
        <v>196</v>
      </c>
      <c r="I1722">
        <v>56638.12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t="s">
        <v>525</v>
      </c>
      <c r="B1723" t="s">
        <v>562</v>
      </c>
      <c r="C1723" t="s">
        <v>1859</v>
      </c>
      <c r="D1723" t="s">
        <v>679</v>
      </c>
      <c r="E1723" t="s">
        <v>1173</v>
      </c>
      <c r="F1723" t="s">
        <v>571</v>
      </c>
      <c r="G1723" s="204"/>
      <c r="H1723">
        <v>83</v>
      </c>
      <c r="I1723">
        <v>26200.61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t="s">
        <v>1681</v>
      </c>
      <c r="B1724" t="s">
        <v>562</v>
      </c>
      <c r="C1724" t="s">
        <v>1859</v>
      </c>
      <c r="D1724" t="s">
        <v>1867</v>
      </c>
      <c r="E1724" t="s">
        <v>1373</v>
      </c>
      <c r="F1724" t="s">
        <v>571</v>
      </c>
      <c r="G1724" s="204"/>
      <c r="J1724">
        <v>44</v>
      </c>
      <c r="K1724">
        <v>7371.76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t="s">
        <v>1814</v>
      </c>
      <c r="C1725" t="s">
        <v>564</v>
      </c>
      <c r="D1725" t="s">
        <v>1895</v>
      </c>
      <c r="E1725" t="s">
        <v>1815</v>
      </c>
      <c r="F1725" t="s">
        <v>571</v>
      </c>
      <c r="G1725" s="204"/>
      <c r="J1725">
        <v>299</v>
      </c>
      <c r="K1725">
        <v>6042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t="s">
        <v>1814</v>
      </c>
      <c r="C1726" t="s">
        <v>564</v>
      </c>
      <c r="D1726" t="s">
        <v>1895</v>
      </c>
      <c r="E1726" t="s">
        <v>1816</v>
      </c>
      <c r="F1726" t="s">
        <v>571</v>
      </c>
      <c r="G1726" s="204"/>
      <c r="H1726">
        <v>200</v>
      </c>
      <c r="I1726">
        <v>2333.34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 t="s">
        <v>1682</v>
      </c>
      <c r="B1727" t="s">
        <v>562</v>
      </c>
      <c r="E1727" t="s">
        <v>1177</v>
      </c>
      <c r="F1727" t="s">
        <v>571</v>
      </c>
      <c r="G1727" s="204"/>
      <c r="H1727">
        <v>1</v>
      </c>
      <c r="I1727">
        <v>2500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 t="s">
        <v>1187</v>
      </c>
      <c r="B1728" t="s">
        <v>556</v>
      </c>
      <c r="C1728" t="s">
        <v>1858</v>
      </c>
      <c r="D1728" t="s">
        <v>584</v>
      </c>
      <c r="E1728" t="s">
        <v>1186</v>
      </c>
      <c r="F1728" t="s">
        <v>571</v>
      </c>
      <c r="G1728" s="204"/>
      <c r="H1728">
        <v>113</v>
      </c>
      <c r="L1728">
        <v>0</v>
      </c>
      <c r="M1728">
        <v>0</v>
      </c>
      <c r="N1728">
        <v>72</v>
      </c>
      <c r="O1728">
        <v>87365.52</v>
      </c>
      <c r="P1728">
        <v>72</v>
      </c>
      <c r="Q1728">
        <v>72</v>
      </c>
      <c r="R1728">
        <v>87365.52</v>
      </c>
      <c r="S1728">
        <v>1213.4100000000001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7" x14ac:dyDescent="0.25">
      <c r="A1729" t="s">
        <v>1683</v>
      </c>
      <c r="B1729" t="s">
        <v>562</v>
      </c>
      <c r="C1729" t="s">
        <v>1860</v>
      </c>
      <c r="D1729" t="s">
        <v>622</v>
      </c>
      <c r="E1729" t="s">
        <v>1343</v>
      </c>
      <c r="F1729" t="s">
        <v>571</v>
      </c>
      <c r="G1729" s="204"/>
      <c r="H1729">
        <v>3</v>
      </c>
      <c r="I1729">
        <v>7500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7" x14ac:dyDescent="0.25">
      <c r="A1730" t="s">
        <v>1146</v>
      </c>
      <c r="B1730" t="s">
        <v>562</v>
      </c>
      <c r="C1730" t="s">
        <v>1858</v>
      </c>
      <c r="D1730" t="s">
        <v>582</v>
      </c>
      <c r="E1730" t="s">
        <v>1145</v>
      </c>
      <c r="F1730" t="s">
        <v>571</v>
      </c>
      <c r="G1730" s="204"/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T1730">
        <v>0</v>
      </c>
      <c r="U1730">
        <v>0</v>
      </c>
      <c r="V1730">
        <v>125</v>
      </c>
      <c r="W1730">
        <v>117331.25</v>
      </c>
      <c r="X1730">
        <v>125</v>
      </c>
      <c r="Y1730">
        <v>125</v>
      </c>
      <c r="Z1730">
        <v>117331.25</v>
      </c>
      <c r="AA1730">
        <v>938.65</v>
      </c>
    </row>
    <row r="1731" spans="1:27" x14ac:dyDescent="0.25">
      <c r="A1731" t="s">
        <v>377</v>
      </c>
      <c r="B1731" t="s">
        <v>562</v>
      </c>
      <c r="C1731" t="s">
        <v>1858</v>
      </c>
      <c r="D1731" t="s">
        <v>582</v>
      </c>
      <c r="E1731" t="s">
        <v>1173</v>
      </c>
      <c r="F1731" t="s">
        <v>571</v>
      </c>
      <c r="G1731" s="204"/>
      <c r="L1731">
        <v>25</v>
      </c>
      <c r="M1731">
        <v>24951.82</v>
      </c>
      <c r="N1731">
        <v>0</v>
      </c>
      <c r="O1731">
        <v>0</v>
      </c>
      <c r="P1731">
        <v>0</v>
      </c>
      <c r="Q1731">
        <v>25</v>
      </c>
      <c r="R1731">
        <v>24951.82</v>
      </c>
      <c r="S1731">
        <v>998.07280000000003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7" x14ac:dyDescent="0.25">
      <c r="A1732" t="s">
        <v>377</v>
      </c>
      <c r="B1732" t="s">
        <v>562</v>
      </c>
      <c r="C1732" t="s">
        <v>1858</v>
      </c>
      <c r="D1732" t="s">
        <v>582</v>
      </c>
      <c r="E1732" t="s">
        <v>1202</v>
      </c>
      <c r="F1732" t="s">
        <v>571</v>
      </c>
      <c r="G1732" s="204"/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T1732">
        <v>0</v>
      </c>
      <c r="U1732">
        <v>0</v>
      </c>
      <c r="V1732">
        <v>82</v>
      </c>
      <c r="W1732">
        <v>133250</v>
      </c>
      <c r="X1732">
        <v>82</v>
      </c>
      <c r="Y1732">
        <v>82</v>
      </c>
      <c r="Z1732">
        <v>133250</v>
      </c>
      <c r="AA1732">
        <v>1625</v>
      </c>
    </row>
    <row r="1733" spans="1:27" x14ac:dyDescent="0.25">
      <c r="A1733" t="s">
        <v>333</v>
      </c>
      <c r="B1733" t="s">
        <v>565</v>
      </c>
      <c r="C1733" t="s">
        <v>1859</v>
      </c>
      <c r="D1733" t="s">
        <v>592</v>
      </c>
      <c r="E1733" t="s">
        <v>1167</v>
      </c>
      <c r="F1733" t="s">
        <v>571</v>
      </c>
      <c r="G1733" s="204"/>
      <c r="L1733">
        <v>186</v>
      </c>
      <c r="M1733">
        <v>83700</v>
      </c>
      <c r="N1733">
        <v>74</v>
      </c>
      <c r="O1733">
        <v>33300</v>
      </c>
      <c r="P1733">
        <v>74</v>
      </c>
      <c r="Q1733">
        <v>260</v>
      </c>
      <c r="T1733">
        <v>0</v>
      </c>
      <c r="U1733">
        <v>0</v>
      </c>
      <c r="V1733">
        <v>1</v>
      </c>
      <c r="W1733">
        <v>271.93</v>
      </c>
      <c r="X1733">
        <v>1</v>
      </c>
      <c r="Y1733">
        <v>1</v>
      </c>
      <c r="Z1733">
        <v>271.93</v>
      </c>
      <c r="AA1733">
        <v>271.93</v>
      </c>
    </row>
    <row r="1734" spans="1:27" x14ac:dyDescent="0.25">
      <c r="A1734" t="s">
        <v>1684</v>
      </c>
      <c r="B1734" t="s">
        <v>556</v>
      </c>
      <c r="C1734" t="s">
        <v>1858</v>
      </c>
      <c r="D1734" t="s">
        <v>584</v>
      </c>
      <c r="E1734" t="s">
        <v>1402</v>
      </c>
      <c r="F1734" t="s">
        <v>571</v>
      </c>
      <c r="G1734" s="204"/>
      <c r="J1734">
        <v>579</v>
      </c>
      <c r="K1734">
        <v>140118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7" x14ac:dyDescent="0.25">
      <c r="A1735" t="s">
        <v>334</v>
      </c>
      <c r="B1735" t="s">
        <v>556</v>
      </c>
      <c r="C1735" t="s">
        <v>1859</v>
      </c>
      <c r="D1735" t="s">
        <v>610</v>
      </c>
      <c r="E1735" t="s">
        <v>1169</v>
      </c>
      <c r="F1735" t="s">
        <v>578</v>
      </c>
      <c r="G1735" s="204">
        <v>46022</v>
      </c>
      <c r="L1735">
        <v>106</v>
      </c>
      <c r="M1735">
        <v>17677.62</v>
      </c>
      <c r="N1735">
        <v>38</v>
      </c>
      <c r="O1735">
        <v>6337.26</v>
      </c>
      <c r="P1735">
        <v>38</v>
      </c>
      <c r="Q1735">
        <v>144</v>
      </c>
      <c r="R1735">
        <v>24014.879999999997</v>
      </c>
      <c r="S1735">
        <v>166.76999999999998</v>
      </c>
      <c r="T1735">
        <v>0</v>
      </c>
      <c r="U1735">
        <v>0</v>
      </c>
      <c r="V1735">
        <v>395</v>
      </c>
      <c r="W1735">
        <v>65874.150000000009</v>
      </c>
      <c r="X1735">
        <v>395</v>
      </c>
      <c r="Y1735">
        <v>395</v>
      </c>
    </row>
    <row r="1736" spans="1:27" x14ac:dyDescent="0.25">
      <c r="A1736" t="s">
        <v>335</v>
      </c>
      <c r="B1736" t="s">
        <v>556</v>
      </c>
      <c r="C1736" t="s">
        <v>1859</v>
      </c>
      <c r="D1736" t="s">
        <v>618</v>
      </c>
      <c r="E1736" t="s">
        <v>1167</v>
      </c>
      <c r="F1736" t="s">
        <v>571</v>
      </c>
      <c r="G1736" s="204"/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T1736">
        <v>0</v>
      </c>
      <c r="U1736">
        <v>0</v>
      </c>
      <c r="V1736">
        <v>24</v>
      </c>
      <c r="W1736">
        <v>9635.2799999999988</v>
      </c>
      <c r="X1736">
        <v>24</v>
      </c>
      <c r="Y1736">
        <v>24</v>
      </c>
      <c r="Z1736">
        <v>9635.2799999999988</v>
      </c>
      <c r="AA1736">
        <v>401.46999999999997</v>
      </c>
    </row>
    <row r="1737" spans="1:27" x14ac:dyDescent="0.25">
      <c r="A1737" t="s">
        <v>378</v>
      </c>
      <c r="B1737" t="s">
        <v>556</v>
      </c>
      <c r="C1737" t="s">
        <v>1858</v>
      </c>
      <c r="D1737" t="s">
        <v>584</v>
      </c>
      <c r="E1737" t="s">
        <v>1343</v>
      </c>
      <c r="F1737" t="s">
        <v>571</v>
      </c>
      <c r="G1737" s="204"/>
      <c r="J1737">
        <v>314</v>
      </c>
      <c r="K1737">
        <v>120576</v>
      </c>
      <c r="L1737">
        <v>469</v>
      </c>
      <c r="M1737">
        <v>180096</v>
      </c>
      <c r="N1737">
        <v>0</v>
      </c>
      <c r="O1737">
        <v>0</v>
      </c>
      <c r="P1737">
        <v>0</v>
      </c>
      <c r="Q1737">
        <v>469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7" x14ac:dyDescent="0.25">
      <c r="A1738" t="s">
        <v>336</v>
      </c>
      <c r="B1738" t="s">
        <v>556</v>
      </c>
      <c r="C1738" t="s">
        <v>1859</v>
      </c>
      <c r="D1738" t="s">
        <v>610</v>
      </c>
      <c r="E1738" t="s">
        <v>1149</v>
      </c>
      <c r="F1738" t="s">
        <v>571</v>
      </c>
      <c r="G1738" s="204"/>
      <c r="J1738">
        <v>187</v>
      </c>
      <c r="K1738">
        <v>192733.41999999998</v>
      </c>
      <c r="L1738">
        <v>303</v>
      </c>
      <c r="M1738">
        <v>312242.48</v>
      </c>
      <c r="N1738">
        <v>55</v>
      </c>
      <c r="O1738">
        <v>56686.3</v>
      </c>
      <c r="P1738">
        <v>55</v>
      </c>
      <c r="Q1738">
        <v>358</v>
      </c>
      <c r="T1738">
        <v>0</v>
      </c>
      <c r="U1738">
        <v>0</v>
      </c>
      <c r="V1738">
        <v>338</v>
      </c>
      <c r="W1738">
        <v>361426.78</v>
      </c>
      <c r="X1738">
        <v>338</v>
      </c>
      <c r="Y1738">
        <v>338</v>
      </c>
    </row>
    <row r="1739" spans="1:27" x14ac:dyDescent="0.25">
      <c r="A1739" t="s">
        <v>336</v>
      </c>
      <c r="B1739" t="s">
        <v>556</v>
      </c>
      <c r="C1739" t="s">
        <v>1859</v>
      </c>
      <c r="D1739" t="s">
        <v>610</v>
      </c>
      <c r="E1739" t="s">
        <v>1389</v>
      </c>
      <c r="F1739" t="s">
        <v>571</v>
      </c>
      <c r="G1739" s="204"/>
      <c r="J1739">
        <v>82</v>
      </c>
      <c r="K1739">
        <v>87038.080000000002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7" x14ac:dyDescent="0.25">
      <c r="A1740" t="s">
        <v>337</v>
      </c>
      <c r="B1740" t="s">
        <v>556</v>
      </c>
      <c r="C1740" t="s">
        <v>1859</v>
      </c>
      <c r="D1740" t="s">
        <v>610</v>
      </c>
      <c r="E1740" t="s">
        <v>1161</v>
      </c>
      <c r="F1740" t="s">
        <v>571</v>
      </c>
      <c r="G1740" s="204"/>
      <c r="H1740">
        <v>2460</v>
      </c>
      <c r="I1740">
        <v>80417.399999999994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T1740">
        <v>0</v>
      </c>
      <c r="U1740">
        <v>0</v>
      </c>
      <c r="V1740">
        <v>3330</v>
      </c>
      <c r="W1740">
        <v>144855</v>
      </c>
      <c r="X1740">
        <v>3330</v>
      </c>
      <c r="Y1740">
        <v>3330</v>
      </c>
    </row>
    <row r="1741" spans="1:27" x14ac:dyDescent="0.25">
      <c r="A1741" t="s">
        <v>337</v>
      </c>
      <c r="B1741" t="s">
        <v>556</v>
      </c>
      <c r="C1741" t="s">
        <v>1859</v>
      </c>
      <c r="D1741" t="s">
        <v>610</v>
      </c>
      <c r="E1741" t="s">
        <v>1171</v>
      </c>
      <c r="F1741" t="s">
        <v>571</v>
      </c>
      <c r="G1741" s="204"/>
      <c r="L1741">
        <v>0</v>
      </c>
      <c r="M1741">
        <v>0</v>
      </c>
      <c r="N1741">
        <v>1000</v>
      </c>
      <c r="O1741">
        <v>37400</v>
      </c>
      <c r="P1741">
        <v>1000</v>
      </c>
      <c r="Q1741">
        <v>1000</v>
      </c>
      <c r="R1741">
        <v>37400</v>
      </c>
      <c r="S1741">
        <v>37.4</v>
      </c>
      <c r="T1741">
        <v>0</v>
      </c>
      <c r="U1741">
        <v>0</v>
      </c>
      <c r="V1741">
        <v>1000</v>
      </c>
      <c r="W1741">
        <v>47500</v>
      </c>
      <c r="X1741">
        <v>1000</v>
      </c>
      <c r="Y1741">
        <v>1000</v>
      </c>
      <c r="Z1741">
        <v>47500</v>
      </c>
      <c r="AA1741">
        <v>47.5</v>
      </c>
    </row>
    <row r="1742" spans="1:27" x14ac:dyDescent="0.25">
      <c r="A1742" t="s">
        <v>337</v>
      </c>
      <c r="B1742" t="s">
        <v>556</v>
      </c>
      <c r="C1742" t="s">
        <v>1859</v>
      </c>
      <c r="D1742" t="s">
        <v>610</v>
      </c>
      <c r="E1742" t="s">
        <v>1444</v>
      </c>
      <c r="F1742" t="s">
        <v>571</v>
      </c>
      <c r="G1742" s="204"/>
      <c r="H1742">
        <v>500</v>
      </c>
      <c r="I1742">
        <v>16345</v>
      </c>
      <c r="K1742">
        <v>18465</v>
      </c>
      <c r="L1742">
        <v>1000</v>
      </c>
      <c r="M1742">
        <v>37400</v>
      </c>
      <c r="N1742">
        <v>0</v>
      </c>
      <c r="O1742">
        <v>0</v>
      </c>
      <c r="P1742">
        <v>0</v>
      </c>
      <c r="Q1742">
        <v>1000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7" x14ac:dyDescent="0.25">
      <c r="A1743" t="s">
        <v>337</v>
      </c>
      <c r="B1743" t="s">
        <v>556</v>
      </c>
      <c r="C1743" t="s">
        <v>1859</v>
      </c>
      <c r="D1743" t="s">
        <v>610</v>
      </c>
      <c r="E1743" t="s">
        <v>1169</v>
      </c>
      <c r="F1743" t="s">
        <v>578</v>
      </c>
      <c r="G1743" s="204">
        <v>46022</v>
      </c>
      <c r="K1743">
        <v>281512.19999999995</v>
      </c>
      <c r="L1743">
        <v>5909</v>
      </c>
      <c r="M1743">
        <v>177151.82</v>
      </c>
      <c r="N1743">
        <v>4482</v>
      </c>
      <c r="O1743">
        <v>134370.35999999999</v>
      </c>
      <c r="P1743">
        <v>4482</v>
      </c>
      <c r="Q1743">
        <v>10391</v>
      </c>
      <c r="T1743">
        <v>0</v>
      </c>
      <c r="U1743">
        <v>0</v>
      </c>
      <c r="V1743">
        <v>10247</v>
      </c>
      <c r="W1743">
        <v>115003.90000000001</v>
      </c>
      <c r="X1743">
        <v>3836</v>
      </c>
      <c r="Y1743">
        <v>3836</v>
      </c>
    </row>
    <row r="1744" spans="1:27" x14ac:dyDescent="0.25">
      <c r="A1744" t="s">
        <v>1196</v>
      </c>
      <c r="B1744" t="s">
        <v>562</v>
      </c>
      <c r="C1744" t="s">
        <v>1859</v>
      </c>
      <c r="D1744" t="s">
        <v>592</v>
      </c>
      <c r="E1744" t="s">
        <v>1195</v>
      </c>
      <c r="F1744" t="s">
        <v>571</v>
      </c>
      <c r="G1744" s="204"/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T1744">
        <v>0</v>
      </c>
      <c r="U1744">
        <v>0</v>
      </c>
      <c r="V1744">
        <v>44</v>
      </c>
      <c r="W1744">
        <v>87670</v>
      </c>
      <c r="X1744">
        <v>44</v>
      </c>
      <c r="Y1744">
        <v>44</v>
      </c>
      <c r="Z1744">
        <v>87670</v>
      </c>
      <c r="AA1744">
        <v>1992.5</v>
      </c>
    </row>
    <row r="1745" spans="1:27" x14ac:dyDescent="0.25">
      <c r="A1745" t="s">
        <v>933</v>
      </c>
      <c r="B1745" t="s">
        <v>556</v>
      </c>
      <c r="C1745" t="s">
        <v>1859</v>
      </c>
      <c r="D1745" t="s">
        <v>601</v>
      </c>
      <c r="E1745" t="s">
        <v>1152</v>
      </c>
      <c r="F1745" t="s">
        <v>571</v>
      </c>
      <c r="G1745" s="204"/>
      <c r="J1745">
        <v>200</v>
      </c>
      <c r="K1745">
        <v>47600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T1745">
        <v>0</v>
      </c>
      <c r="U1745">
        <v>0</v>
      </c>
      <c r="V1745">
        <v>300</v>
      </c>
      <c r="W1745">
        <v>71400</v>
      </c>
      <c r="X1745">
        <v>300</v>
      </c>
      <c r="Y1745">
        <v>300</v>
      </c>
    </row>
    <row r="1746" spans="1:27" x14ac:dyDescent="0.25">
      <c r="A1746" t="s">
        <v>1536</v>
      </c>
      <c r="B1746" t="s">
        <v>565</v>
      </c>
      <c r="C1746" t="s">
        <v>1859</v>
      </c>
      <c r="D1746" t="s">
        <v>601</v>
      </c>
      <c r="E1746" t="s">
        <v>1152</v>
      </c>
      <c r="F1746" t="s">
        <v>571</v>
      </c>
      <c r="G1746" s="204"/>
      <c r="J1746">
        <v>160</v>
      </c>
      <c r="K1746">
        <v>36494.400000000001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7" x14ac:dyDescent="0.25">
      <c r="A1747" t="s">
        <v>1536</v>
      </c>
      <c r="B1747" t="s">
        <v>565</v>
      </c>
      <c r="C1747" t="s">
        <v>1859</v>
      </c>
      <c r="D1747" t="s">
        <v>601</v>
      </c>
      <c r="E1747" t="s">
        <v>1167</v>
      </c>
      <c r="F1747" t="s">
        <v>571</v>
      </c>
      <c r="G1747" s="204"/>
      <c r="H1747">
        <v>50</v>
      </c>
      <c r="I1747">
        <v>11404.5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7" x14ac:dyDescent="0.25">
      <c r="A1748" t="s">
        <v>287</v>
      </c>
      <c r="B1748" t="s">
        <v>562</v>
      </c>
      <c r="C1748" t="s">
        <v>1860</v>
      </c>
      <c r="D1748" t="s">
        <v>623</v>
      </c>
      <c r="E1748" t="s">
        <v>1343</v>
      </c>
      <c r="F1748" t="s">
        <v>571</v>
      </c>
      <c r="G1748" s="204"/>
      <c r="H1748">
        <v>6</v>
      </c>
      <c r="I1748">
        <v>9095.64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7" x14ac:dyDescent="0.25">
      <c r="A1749" t="s">
        <v>287</v>
      </c>
      <c r="B1749" t="s">
        <v>562</v>
      </c>
      <c r="C1749" t="s">
        <v>1860</v>
      </c>
      <c r="D1749" t="s">
        <v>623</v>
      </c>
      <c r="E1749" t="s">
        <v>1356</v>
      </c>
      <c r="F1749" t="s">
        <v>571</v>
      </c>
      <c r="G1749" s="204"/>
      <c r="H1749">
        <v>17</v>
      </c>
      <c r="I1749">
        <v>26563.089999999997</v>
      </c>
      <c r="L1749">
        <v>46</v>
      </c>
      <c r="M1749">
        <v>79382.070000000007</v>
      </c>
      <c r="N1749">
        <v>0</v>
      </c>
      <c r="O1749">
        <v>0</v>
      </c>
      <c r="P1749">
        <v>0</v>
      </c>
      <c r="Q1749">
        <v>46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7" x14ac:dyDescent="0.25">
      <c r="A1750" t="s">
        <v>287</v>
      </c>
      <c r="B1750" t="s">
        <v>562</v>
      </c>
      <c r="C1750" t="s">
        <v>1860</v>
      </c>
      <c r="D1750" t="s">
        <v>623</v>
      </c>
      <c r="E1750" t="s">
        <v>1173</v>
      </c>
      <c r="F1750" t="s">
        <v>571</v>
      </c>
      <c r="G1750" s="204"/>
      <c r="L1750">
        <v>13</v>
      </c>
      <c r="M1750">
        <v>26660.79</v>
      </c>
      <c r="N1750">
        <v>0</v>
      </c>
      <c r="O1750">
        <v>0</v>
      </c>
      <c r="P1750">
        <v>0</v>
      </c>
      <c r="Q1750">
        <v>13</v>
      </c>
      <c r="R1750">
        <v>26660.79</v>
      </c>
      <c r="S1750">
        <v>2050.83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7" x14ac:dyDescent="0.25">
      <c r="A1751" t="s">
        <v>188</v>
      </c>
      <c r="B1751" t="s">
        <v>556</v>
      </c>
      <c r="C1751" t="s">
        <v>1859</v>
      </c>
      <c r="D1751" t="s">
        <v>616</v>
      </c>
      <c r="E1751" t="s">
        <v>1346</v>
      </c>
      <c r="F1751" t="s">
        <v>571</v>
      </c>
      <c r="G1751" s="204"/>
      <c r="J1751">
        <v>1116</v>
      </c>
      <c r="K1751">
        <v>56852.759999999995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7" x14ac:dyDescent="0.25">
      <c r="A1752" t="s">
        <v>188</v>
      </c>
      <c r="B1752" t="s">
        <v>556</v>
      </c>
      <c r="C1752" t="s">
        <v>1859</v>
      </c>
      <c r="D1752" t="s">
        <v>616</v>
      </c>
      <c r="E1752" t="s">
        <v>1218</v>
      </c>
      <c r="F1752" t="s">
        <v>571</v>
      </c>
      <c r="G1752" s="204"/>
      <c r="J1752">
        <v>1860</v>
      </c>
      <c r="K1752">
        <v>103892.16</v>
      </c>
      <c r="L1752">
        <v>2976</v>
      </c>
      <c r="M1752">
        <v>169453.44</v>
      </c>
      <c r="N1752">
        <v>0</v>
      </c>
      <c r="O1752">
        <v>0</v>
      </c>
      <c r="P1752">
        <v>0</v>
      </c>
      <c r="Q1752">
        <v>2976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7" x14ac:dyDescent="0.25">
      <c r="A1753" t="s">
        <v>188</v>
      </c>
      <c r="B1753" t="s">
        <v>556</v>
      </c>
      <c r="C1753" t="s">
        <v>1859</v>
      </c>
      <c r="D1753" t="s">
        <v>616</v>
      </c>
      <c r="E1753" t="s">
        <v>1220</v>
      </c>
      <c r="F1753" t="s">
        <v>571</v>
      </c>
      <c r="G1753" s="204"/>
      <c r="L1753">
        <v>0</v>
      </c>
      <c r="M1753">
        <v>0</v>
      </c>
      <c r="N1753">
        <v>496</v>
      </c>
      <c r="O1753">
        <v>28242.240000000002</v>
      </c>
      <c r="P1753">
        <v>496</v>
      </c>
      <c r="Q1753">
        <v>496</v>
      </c>
      <c r="R1753">
        <v>28242.240000000002</v>
      </c>
      <c r="S1753">
        <v>56.940000000000005</v>
      </c>
      <c r="T1753">
        <v>0</v>
      </c>
      <c r="U1753">
        <v>0</v>
      </c>
      <c r="V1753">
        <v>1192</v>
      </c>
      <c r="W1753">
        <v>70339.88</v>
      </c>
      <c r="X1753">
        <v>1192</v>
      </c>
      <c r="Y1753">
        <v>1192</v>
      </c>
    </row>
    <row r="1754" spans="1:27" x14ac:dyDescent="0.25">
      <c r="A1754" t="s">
        <v>379</v>
      </c>
      <c r="B1754" t="s">
        <v>562</v>
      </c>
      <c r="C1754" t="s">
        <v>1858</v>
      </c>
      <c r="D1754" t="s">
        <v>584</v>
      </c>
      <c r="E1754" t="s">
        <v>1111</v>
      </c>
      <c r="F1754" t="s">
        <v>571</v>
      </c>
      <c r="G1754" s="204"/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T1754">
        <v>0</v>
      </c>
      <c r="U1754">
        <v>0</v>
      </c>
      <c r="V1754">
        <v>34</v>
      </c>
      <c r="W1754">
        <v>0</v>
      </c>
      <c r="X1754">
        <v>0</v>
      </c>
      <c r="Y1754">
        <v>0</v>
      </c>
      <c r="Z1754">
        <v>0</v>
      </c>
    </row>
    <row r="1755" spans="1:27" x14ac:dyDescent="0.25">
      <c r="A1755" t="s">
        <v>379</v>
      </c>
      <c r="B1755" t="s">
        <v>562</v>
      </c>
      <c r="C1755" t="s">
        <v>1858</v>
      </c>
      <c r="D1755" t="s">
        <v>584</v>
      </c>
      <c r="E1755" t="s">
        <v>1198</v>
      </c>
      <c r="F1755" t="s">
        <v>571</v>
      </c>
      <c r="G1755" s="204"/>
      <c r="L1755">
        <v>0</v>
      </c>
      <c r="M1755">
        <v>0</v>
      </c>
      <c r="N1755">
        <v>25</v>
      </c>
      <c r="O1755">
        <v>149962.5</v>
      </c>
      <c r="P1755">
        <v>25</v>
      </c>
      <c r="Q1755">
        <v>25</v>
      </c>
      <c r="R1755">
        <v>149962.5</v>
      </c>
      <c r="S1755">
        <v>5998.5</v>
      </c>
      <c r="T1755">
        <v>0</v>
      </c>
      <c r="U1755">
        <v>0</v>
      </c>
      <c r="V1755">
        <v>84</v>
      </c>
      <c r="W1755">
        <v>503874</v>
      </c>
      <c r="X1755">
        <v>84</v>
      </c>
      <c r="Y1755">
        <v>84</v>
      </c>
    </row>
    <row r="1756" spans="1:27" x14ac:dyDescent="0.25">
      <c r="A1756" t="s">
        <v>379</v>
      </c>
      <c r="B1756" t="s">
        <v>562</v>
      </c>
      <c r="C1756" t="s">
        <v>1858</v>
      </c>
      <c r="D1756" t="s">
        <v>584</v>
      </c>
      <c r="E1756" t="s">
        <v>1186</v>
      </c>
      <c r="F1756" t="s">
        <v>571</v>
      </c>
      <c r="G1756" s="204"/>
      <c r="H1756">
        <v>55</v>
      </c>
      <c r="I1756">
        <v>331375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7" x14ac:dyDescent="0.25">
      <c r="A1757" t="s">
        <v>379</v>
      </c>
      <c r="B1757" t="s">
        <v>562</v>
      </c>
      <c r="C1757" t="s">
        <v>1858</v>
      </c>
      <c r="D1757" t="s">
        <v>584</v>
      </c>
      <c r="E1757" t="s">
        <v>1200</v>
      </c>
      <c r="F1757" t="s">
        <v>571</v>
      </c>
      <c r="G1757" s="204"/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T1757">
        <v>0</v>
      </c>
      <c r="U1757">
        <v>0</v>
      </c>
      <c r="V1757">
        <v>4</v>
      </c>
      <c r="W1757">
        <v>38000</v>
      </c>
      <c r="X1757">
        <v>4</v>
      </c>
      <c r="Y1757">
        <v>4</v>
      </c>
      <c r="Z1757">
        <v>38000</v>
      </c>
      <c r="AA1757">
        <v>9500</v>
      </c>
    </row>
    <row r="1758" spans="1:27" x14ac:dyDescent="0.25">
      <c r="A1758" t="s">
        <v>516</v>
      </c>
      <c r="B1758" t="s">
        <v>562</v>
      </c>
      <c r="C1758" t="s">
        <v>1860</v>
      </c>
      <c r="D1758" t="s">
        <v>680</v>
      </c>
      <c r="E1758" t="s">
        <v>1811</v>
      </c>
      <c r="F1758" t="s">
        <v>571</v>
      </c>
      <c r="G1758" s="204"/>
      <c r="H1758">
        <v>6</v>
      </c>
      <c r="I1758">
        <v>28170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7" x14ac:dyDescent="0.25">
      <c r="A1759" t="s">
        <v>516</v>
      </c>
      <c r="B1759" t="s">
        <v>562</v>
      </c>
      <c r="C1759" t="s">
        <v>1860</v>
      </c>
      <c r="D1759" t="s">
        <v>680</v>
      </c>
      <c r="E1759" t="s">
        <v>1343</v>
      </c>
      <c r="F1759" t="s">
        <v>571</v>
      </c>
      <c r="G1759" s="204"/>
      <c r="L1759">
        <v>12</v>
      </c>
      <c r="M1759">
        <v>49207.56</v>
      </c>
      <c r="N1759">
        <v>0</v>
      </c>
      <c r="O1759">
        <v>0</v>
      </c>
      <c r="P1759">
        <v>0</v>
      </c>
      <c r="Q1759">
        <v>12</v>
      </c>
      <c r="R1759">
        <v>49207.56</v>
      </c>
      <c r="S1759">
        <v>4100.63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7" x14ac:dyDescent="0.25">
      <c r="A1760" t="s">
        <v>516</v>
      </c>
      <c r="B1760" t="s">
        <v>562</v>
      </c>
      <c r="C1760" t="s">
        <v>1860</v>
      </c>
      <c r="D1760" t="s">
        <v>680</v>
      </c>
      <c r="E1760" t="s">
        <v>1193</v>
      </c>
      <c r="F1760" t="s">
        <v>571</v>
      </c>
      <c r="G1760" s="204"/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T1760">
        <v>0</v>
      </c>
      <c r="U1760">
        <v>0</v>
      </c>
      <c r="V1760">
        <v>4</v>
      </c>
      <c r="W1760">
        <v>16727.32</v>
      </c>
      <c r="X1760">
        <v>4</v>
      </c>
      <c r="Y1760">
        <v>4</v>
      </c>
      <c r="Z1760">
        <v>16727.32</v>
      </c>
      <c r="AA1760">
        <v>4181.83</v>
      </c>
    </row>
    <row r="1761" spans="1:27" x14ac:dyDescent="0.25">
      <c r="A1761" t="s">
        <v>516</v>
      </c>
      <c r="B1761" t="s">
        <v>562</v>
      </c>
      <c r="C1761" t="s">
        <v>1860</v>
      </c>
      <c r="D1761" t="s">
        <v>680</v>
      </c>
      <c r="E1761" t="s">
        <v>1817</v>
      </c>
      <c r="F1761" t="s">
        <v>571</v>
      </c>
      <c r="G1761" s="204"/>
      <c r="H1761">
        <v>1</v>
      </c>
      <c r="I1761">
        <v>10000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7" x14ac:dyDescent="0.25">
      <c r="A1762" t="s">
        <v>516</v>
      </c>
      <c r="B1762" t="s">
        <v>562</v>
      </c>
      <c r="C1762" t="s">
        <v>1860</v>
      </c>
      <c r="D1762" t="s">
        <v>680</v>
      </c>
      <c r="E1762" t="s">
        <v>1179</v>
      </c>
      <c r="F1762" t="s">
        <v>571</v>
      </c>
      <c r="G1762" s="204"/>
      <c r="H1762">
        <v>4</v>
      </c>
      <c r="I1762">
        <v>15767.12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7" x14ac:dyDescent="0.25">
      <c r="A1763" t="s">
        <v>190</v>
      </c>
      <c r="B1763" t="s">
        <v>556</v>
      </c>
      <c r="C1763" t="s">
        <v>1859</v>
      </c>
      <c r="D1763" t="s">
        <v>616</v>
      </c>
      <c r="E1763" t="s">
        <v>1346</v>
      </c>
      <c r="F1763" t="s">
        <v>571</v>
      </c>
      <c r="G1763" s="204"/>
      <c r="J1763">
        <v>711</v>
      </c>
      <c r="K1763">
        <v>43150.59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7" x14ac:dyDescent="0.25">
      <c r="A1764" t="s">
        <v>190</v>
      </c>
      <c r="B1764" t="s">
        <v>556</v>
      </c>
      <c r="C1764" t="s">
        <v>1859</v>
      </c>
      <c r="D1764" t="s">
        <v>616</v>
      </c>
      <c r="E1764" t="s">
        <v>1218</v>
      </c>
      <c r="F1764" t="s">
        <v>571</v>
      </c>
      <c r="G1764" s="204"/>
      <c r="J1764">
        <v>720</v>
      </c>
      <c r="K1764">
        <v>44352</v>
      </c>
      <c r="L1764">
        <v>1013</v>
      </c>
      <c r="M1764">
        <v>63322.629999999983</v>
      </c>
      <c r="N1764">
        <v>0</v>
      </c>
      <c r="O1764">
        <v>0</v>
      </c>
      <c r="P1764">
        <v>0</v>
      </c>
      <c r="Q1764">
        <v>1013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7" x14ac:dyDescent="0.25">
      <c r="A1765" t="s">
        <v>190</v>
      </c>
      <c r="B1765" t="s">
        <v>556</v>
      </c>
      <c r="C1765" t="s">
        <v>1859</v>
      </c>
      <c r="D1765" t="s">
        <v>616</v>
      </c>
      <c r="E1765" t="s">
        <v>1219</v>
      </c>
      <c r="F1765" t="s">
        <v>571</v>
      </c>
      <c r="G1765" s="204"/>
      <c r="L1765">
        <v>0</v>
      </c>
      <c r="M1765">
        <v>0</v>
      </c>
      <c r="N1765">
        <v>427</v>
      </c>
      <c r="O1765">
        <v>27490.26</v>
      </c>
      <c r="P1765">
        <v>427</v>
      </c>
      <c r="Q1765">
        <v>427</v>
      </c>
      <c r="R1765">
        <v>27490.26</v>
      </c>
      <c r="S1765">
        <v>64.38</v>
      </c>
      <c r="T1765">
        <v>0</v>
      </c>
      <c r="U1765">
        <v>0</v>
      </c>
      <c r="V1765">
        <v>1260</v>
      </c>
      <c r="W1765">
        <v>82392.600000000006</v>
      </c>
      <c r="X1765">
        <v>1260</v>
      </c>
      <c r="Y1765">
        <v>1260</v>
      </c>
    </row>
    <row r="1766" spans="1:27" x14ac:dyDescent="0.25">
      <c r="A1766" t="s">
        <v>192</v>
      </c>
      <c r="B1766" t="s">
        <v>556</v>
      </c>
      <c r="C1766" t="s">
        <v>1859</v>
      </c>
      <c r="D1766" t="s">
        <v>616</v>
      </c>
      <c r="E1766" t="s">
        <v>1346</v>
      </c>
      <c r="F1766" t="s">
        <v>571</v>
      </c>
      <c r="G1766" s="204"/>
      <c r="H1766">
        <v>1700</v>
      </c>
      <c r="I1766">
        <v>77986.75999999998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7" x14ac:dyDescent="0.25">
      <c r="A1767" t="s">
        <v>192</v>
      </c>
      <c r="B1767" t="s">
        <v>556</v>
      </c>
      <c r="C1767" t="s">
        <v>1859</v>
      </c>
      <c r="D1767" t="s">
        <v>616</v>
      </c>
      <c r="E1767" t="s">
        <v>1218</v>
      </c>
      <c r="F1767" t="s">
        <v>571</v>
      </c>
      <c r="G1767" s="204"/>
      <c r="J1767">
        <v>552</v>
      </c>
      <c r="K1767">
        <v>26374.559999999998</v>
      </c>
      <c r="L1767">
        <v>966</v>
      </c>
      <c r="M1767">
        <v>46493.58</v>
      </c>
      <c r="N1767">
        <v>0</v>
      </c>
      <c r="O1767">
        <v>0</v>
      </c>
      <c r="P1767">
        <v>0</v>
      </c>
      <c r="Q1767">
        <v>966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7" x14ac:dyDescent="0.25">
      <c r="A1768" t="s">
        <v>192</v>
      </c>
      <c r="B1768" t="s">
        <v>556</v>
      </c>
      <c r="C1768" t="s">
        <v>1859</v>
      </c>
      <c r="D1768" t="s">
        <v>616</v>
      </c>
      <c r="E1768" t="s">
        <v>1220</v>
      </c>
      <c r="F1768" t="s">
        <v>571</v>
      </c>
      <c r="G1768" s="204"/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T1768">
        <v>0</v>
      </c>
      <c r="U1768">
        <v>0</v>
      </c>
      <c r="V1768">
        <v>838</v>
      </c>
      <c r="W1768">
        <v>41539.660000000003</v>
      </c>
      <c r="X1768">
        <v>838</v>
      </c>
      <c r="Y1768">
        <v>838</v>
      </c>
      <c r="Z1768">
        <v>41539.660000000003</v>
      </c>
      <c r="AA1768">
        <v>49.570000000000007</v>
      </c>
    </row>
    <row r="1769" spans="1:27" x14ac:dyDescent="0.25">
      <c r="A1769" t="s">
        <v>467</v>
      </c>
      <c r="B1769" t="s">
        <v>554</v>
      </c>
      <c r="C1769" t="s">
        <v>1859</v>
      </c>
      <c r="D1769" t="s">
        <v>676</v>
      </c>
      <c r="E1769" t="s">
        <v>1216</v>
      </c>
      <c r="F1769" t="s">
        <v>571</v>
      </c>
      <c r="G1769" s="204"/>
      <c r="L1769">
        <v>57</v>
      </c>
      <c r="M1769">
        <v>370500</v>
      </c>
      <c r="N1769">
        <v>0</v>
      </c>
      <c r="O1769">
        <v>0</v>
      </c>
      <c r="P1769">
        <v>0</v>
      </c>
      <c r="Q1769">
        <v>57</v>
      </c>
      <c r="R1769">
        <v>370500</v>
      </c>
      <c r="S1769">
        <v>6500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7" x14ac:dyDescent="0.25">
      <c r="A1770" t="s">
        <v>338</v>
      </c>
      <c r="B1770" t="s">
        <v>556</v>
      </c>
      <c r="C1770" t="s">
        <v>1859</v>
      </c>
      <c r="D1770" t="s">
        <v>610</v>
      </c>
      <c r="E1770" t="s">
        <v>1149</v>
      </c>
      <c r="F1770" t="s">
        <v>571</v>
      </c>
      <c r="G1770" s="204"/>
      <c r="H1770">
        <v>13</v>
      </c>
      <c r="I1770">
        <v>8717.15</v>
      </c>
      <c r="L1770">
        <v>83</v>
      </c>
      <c r="M1770">
        <v>55655.650000000009</v>
      </c>
      <c r="N1770">
        <v>0</v>
      </c>
      <c r="O1770">
        <v>0</v>
      </c>
      <c r="P1770">
        <v>0</v>
      </c>
      <c r="Q1770">
        <v>83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7" x14ac:dyDescent="0.25">
      <c r="A1771" t="s">
        <v>338</v>
      </c>
      <c r="B1771" t="s">
        <v>556</v>
      </c>
      <c r="C1771" t="s">
        <v>1859</v>
      </c>
      <c r="D1771" t="s">
        <v>610</v>
      </c>
      <c r="E1771" t="s">
        <v>1169</v>
      </c>
      <c r="F1771" t="s">
        <v>578</v>
      </c>
      <c r="G1771" s="204">
        <v>46022</v>
      </c>
      <c r="J1771">
        <v>57</v>
      </c>
      <c r="K1771">
        <v>38221.35</v>
      </c>
      <c r="L1771">
        <v>81</v>
      </c>
      <c r="M1771">
        <v>54314.55</v>
      </c>
      <c r="N1771">
        <v>0</v>
      </c>
      <c r="O1771">
        <v>0</v>
      </c>
      <c r="P1771">
        <v>0</v>
      </c>
      <c r="Q1771">
        <v>81</v>
      </c>
      <c r="T1771">
        <v>0</v>
      </c>
      <c r="U1771">
        <v>0</v>
      </c>
      <c r="V1771">
        <v>210</v>
      </c>
      <c r="W1771">
        <v>140815.5</v>
      </c>
      <c r="X1771">
        <v>210</v>
      </c>
      <c r="Y1771">
        <v>210</v>
      </c>
    </row>
    <row r="1772" spans="1:27" x14ac:dyDescent="0.25">
      <c r="A1772" t="s">
        <v>288</v>
      </c>
      <c r="B1772" t="s">
        <v>562</v>
      </c>
      <c r="C1772" t="s">
        <v>1860</v>
      </c>
      <c r="D1772" t="s">
        <v>611</v>
      </c>
      <c r="E1772" t="s">
        <v>1331</v>
      </c>
      <c r="F1772" t="s">
        <v>571</v>
      </c>
      <c r="G1772" s="204"/>
      <c r="J1772">
        <v>28</v>
      </c>
      <c r="K1772">
        <v>72743.360000000001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7" x14ac:dyDescent="0.25">
      <c r="A1773" t="s">
        <v>288</v>
      </c>
      <c r="B1773" t="s">
        <v>562</v>
      </c>
      <c r="C1773" t="s">
        <v>1860</v>
      </c>
      <c r="D1773" t="s">
        <v>611</v>
      </c>
      <c r="E1773" t="s">
        <v>1319</v>
      </c>
      <c r="F1773" t="s">
        <v>571</v>
      </c>
      <c r="G1773" s="204"/>
      <c r="L1773">
        <v>0</v>
      </c>
      <c r="M1773">
        <v>0</v>
      </c>
      <c r="N1773">
        <v>13</v>
      </c>
      <c r="O1773">
        <v>32500</v>
      </c>
      <c r="P1773">
        <v>13</v>
      </c>
      <c r="Q1773">
        <v>13</v>
      </c>
      <c r="R1773">
        <v>32500</v>
      </c>
      <c r="S1773">
        <v>2500</v>
      </c>
      <c r="T1773">
        <v>0</v>
      </c>
      <c r="U1773">
        <v>0</v>
      </c>
      <c r="V1773">
        <v>30</v>
      </c>
      <c r="W1773">
        <v>75000</v>
      </c>
      <c r="X1773">
        <v>30</v>
      </c>
      <c r="Y1773">
        <v>30</v>
      </c>
    </row>
    <row r="1774" spans="1:27" x14ac:dyDescent="0.25">
      <c r="A1774" t="s">
        <v>289</v>
      </c>
      <c r="B1774" t="s">
        <v>562</v>
      </c>
      <c r="C1774" t="s">
        <v>1860</v>
      </c>
      <c r="D1774" t="s">
        <v>611</v>
      </c>
      <c r="E1774" t="s">
        <v>1331</v>
      </c>
      <c r="F1774" t="s">
        <v>571</v>
      </c>
      <c r="G1774" s="204"/>
      <c r="J1774">
        <v>3</v>
      </c>
      <c r="K1774">
        <v>8975.94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7" x14ac:dyDescent="0.25">
      <c r="A1775" t="s">
        <v>289</v>
      </c>
      <c r="B1775" t="s">
        <v>562</v>
      </c>
      <c r="C1775" t="s">
        <v>1860</v>
      </c>
      <c r="D1775" t="s">
        <v>611</v>
      </c>
      <c r="E1775" t="s">
        <v>1320</v>
      </c>
      <c r="F1775" t="s">
        <v>571</v>
      </c>
      <c r="G1775" s="204"/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T1775">
        <v>0</v>
      </c>
      <c r="U1775">
        <v>0</v>
      </c>
      <c r="V1775">
        <v>106</v>
      </c>
      <c r="W1775">
        <v>317149.88</v>
      </c>
      <c r="X1775">
        <v>106</v>
      </c>
      <c r="Y1775">
        <v>106</v>
      </c>
      <c r="Z1775">
        <v>317149.88</v>
      </c>
      <c r="AA1775">
        <v>2991.98</v>
      </c>
    </row>
    <row r="1776" spans="1:27" x14ac:dyDescent="0.25">
      <c r="A1776" t="s">
        <v>289</v>
      </c>
      <c r="B1776" t="s">
        <v>562</v>
      </c>
      <c r="C1776" t="s">
        <v>1860</v>
      </c>
      <c r="D1776" t="s">
        <v>611</v>
      </c>
      <c r="E1776" t="s">
        <v>1147</v>
      </c>
      <c r="F1776" t="s">
        <v>571</v>
      </c>
      <c r="G1776" s="204"/>
      <c r="L1776">
        <v>0</v>
      </c>
      <c r="M1776">
        <v>0</v>
      </c>
      <c r="N1776">
        <v>78</v>
      </c>
      <c r="O1776">
        <v>242243.04</v>
      </c>
      <c r="P1776">
        <v>78</v>
      </c>
      <c r="Q1776">
        <v>78</v>
      </c>
      <c r="R1776">
        <v>242243.04</v>
      </c>
      <c r="S1776">
        <v>3105.6800000000003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7" x14ac:dyDescent="0.25">
      <c r="A1777" t="s">
        <v>1685</v>
      </c>
      <c r="B1777" t="s">
        <v>562</v>
      </c>
      <c r="C1777" t="s">
        <v>1860</v>
      </c>
      <c r="D1777" t="s">
        <v>586</v>
      </c>
      <c r="E1777" t="s">
        <v>1266</v>
      </c>
      <c r="F1777" t="s">
        <v>571</v>
      </c>
      <c r="G1777" s="204"/>
      <c r="H1777">
        <v>25</v>
      </c>
      <c r="I1777">
        <v>178375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7" x14ac:dyDescent="0.25">
      <c r="A1778" t="s">
        <v>339</v>
      </c>
      <c r="B1778" t="s">
        <v>556</v>
      </c>
      <c r="C1778" t="s">
        <v>1859</v>
      </c>
      <c r="D1778" t="s">
        <v>669</v>
      </c>
      <c r="E1778" t="s">
        <v>1169</v>
      </c>
      <c r="F1778" t="s">
        <v>578</v>
      </c>
      <c r="G1778" s="204">
        <v>46022</v>
      </c>
      <c r="L1778">
        <v>0</v>
      </c>
      <c r="M1778">
        <v>0</v>
      </c>
      <c r="N1778">
        <v>100</v>
      </c>
      <c r="O1778">
        <v>1868</v>
      </c>
      <c r="P1778">
        <v>100</v>
      </c>
      <c r="Q1778">
        <v>100</v>
      </c>
      <c r="R1778">
        <v>1868</v>
      </c>
      <c r="S1778">
        <v>18.68</v>
      </c>
      <c r="T1778">
        <v>0</v>
      </c>
      <c r="U1778">
        <v>0</v>
      </c>
      <c r="V1778">
        <v>100</v>
      </c>
      <c r="W1778">
        <v>1868</v>
      </c>
      <c r="X1778">
        <v>100</v>
      </c>
      <c r="Y1778">
        <v>100</v>
      </c>
      <c r="Z1778">
        <v>1868</v>
      </c>
      <c r="AA1778">
        <v>18.68</v>
      </c>
    </row>
    <row r="1779" spans="1:27" x14ac:dyDescent="0.25">
      <c r="A1779" t="s">
        <v>340</v>
      </c>
      <c r="B1779" t="s">
        <v>556</v>
      </c>
      <c r="C1779" t="s">
        <v>1859</v>
      </c>
      <c r="D1779" t="s">
        <v>592</v>
      </c>
      <c r="E1779" t="s">
        <v>1343</v>
      </c>
      <c r="F1779" t="s">
        <v>571</v>
      </c>
      <c r="G1779" s="204"/>
      <c r="L1779">
        <v>10</v>
      </c>
      <c r="M1779">
        <v>8712</v>
      </c>
      <c r="N1779">
        <v>0</v>
      </c>
      <c r="O1779">
        <v>0</v>
      </c>
      <c r="P1779">
        <v>0</v>
      </c>
      <c r="Q1779">
        <v>10</v>
      </c>
      <c r="R1779">
        <v>8712</v>
      </c>
      <c r="S1779">
        <v>871.2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7" x14ac:dyDescent="0.25">
      <c r="A1780" t="s">
        <v>340</v>
      </c>
      <c r="B1780" t="s">
        <v>556</v>
      </c>
      <c r="C1780" t="s">
        <v>1859</v>
      </c>
      <c r="D1780" t="s">
        <v>592</v>
      </c>
      <c r="E1780" t="s">
        <v>1167</v>
      </c>
      <c r="F1780" t="s">
        <v>571</v>
      </c>
      <c r="G1780" s="204"/>
      <c r="H1780">
        <v>67</v>
      </c>
      <c r="I1780">
        <v>47161.740000000005</v>
      </c>
      <c r="L1780">
        <v>0</v>
      </c>
      <c r="M1780">
        <v>0</v>
      </c>
      <c r="N1780">
        <v>168</v>
      </c>
      <c r="O1780">
        <v>134316</v>
      </c>
      <c r="P1780">
        <v>168</v>
      </c>
      <c r="Q1780">
        <v>168</v>
      </c>
      <c r="T1780">
        <v>0</v>
      </c>
      <c r="U1780">
        <v>0</v>
      </c>
      <c r="V1780">
        <v>126</v>
      </c>
      <c r="W1780">
        <v>100737</v>
      </c>
      <c r="X1780">
        <v>126</v>
      </c>
      <c r="Y1780">
        <v>126</v>
      </c>
    </row>
    <row r="1781" spans="1:27" x14ac:dyDescent="0.25">
      <c r="A1781" t="s">
        <v>340</v>
      </c>
      <c r="B1781" t="s">
        <v>556</v>
      </c>
      <c r="C1781" t="s">
        <v>1859</v>
      </c>
      <c r="D1781" t="s">
        <v>592</v>
      </c>
      <c r="E1781" t="s">
        <v>1197</v>
      </c>
      <c r="F1781" t="s">
        <v>571</v>
      </c>
      <c r="G1781" s="204"/>
      <c r="L1781">
        <v>0</v>
      </c>
      <c r="M1781">
        <v>0</v>
      </c>
      <c r="N1781">
        <v>56</v>
      </c>
      <c r="O1781">
        <v>48787.199999999997</v>
      </c>
      <c r="P1781">
        <v>56</v>
      </c>
      <c r="Q1781">
        <v>56</v>
      </c>
      <c r="R1781">
        <v>48787.199999999997</v>
      </c>
      <c r="S1781">
        <v>871.19999999999993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7" x14ac:dyDescent="0.25">
      <c r="A1782" t="s">
        <v>290</v>
      </c>
      <c r="B1782" t="s">
        <v>562</v>
      </c>
      <c r="C1782" t="s">
        <v>1860</v>
      </c>
      <c r="D1782" t="s">
        <v>622</v>
      </c>
      <c r="E1782" t="s">
        <v>1248</v>
      </c>
      <c r="F1782" t="s">
        <v>571</v>
      </c>
      <c r="G1782" s="204"/>
      <c r="L1782">
        <v>86</v>
      </c>
      <c r="M1782">
        <v>92450</v>
      </c>
      <c r="N1782">
        <v>17</v>
      </c>
      <c r="O1782">
        <v>18275</v>
      </c>
      <c r="P1782">
        <v>17</v>
      </c>
      <c r="Q1782">
        <v>103</v>
      </c>
      <c r="R1782">
        <v>110725</v>
      </c>
      <c r="S1782">
        <v>1075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7" x14ac:dyDescent="0.25">
      <c r="A1783" t="s">
        <v>291</v>
      </c>
      <c r="B1783" t="s">
        <v>562</v>
      </c>
      <c r="C1783" t="s">
        <v>1860</v>
      </c>
      <c r="D1783" t="s">
        <v>622</v>
      </c>
      <c r="E1783" t="s">
        <v>1248</v>
      </c>
      <c r="F1783" t="s">
        <v>571</v>
      </c>
      <c r="G1783" s="204"/>
      <c r="L1783">
        <v>0</v>
      </c>
      <c r="M1783">
        <v>0</v>
      </c>
      <c r="N1783">
        <v>49</v>
      </c>
      <c r="O1783">
        <v>50225</v>
      </c>
      <c r="P1783">
        <v>49</v>
      </c>
      <c r="Q1783">
        <v>49</v>
      </c>
      <c r="R1783">
        <v>50225</v>
      </c>
      <c r="S1783">
        <v>1025</v>
      </c>
      <c r="T1783">
        <v>0</v>
      </c>
      <c r="U1783">
        <v>0</v>
      </c>
      <c r="V1783">
        <v>93</v>
      </c>
      <c r="W1783">
        <v>95325</v>
      </c>
      <c r="X1783">
        <v>93</v>
      </c>
      <c r="Y1783">
        <v>93</v>
      </c>
    </row>
    <row r="1784" spans="1:27" x14ac:dyDescent="0.25">
      <c r="A1784" t="s">
        <v>470</v>
      </c>
      <c r="B1784" t="s">
        <v>556</v>
      </c>
      <c r="C1784" t="s">
        <v>1859</v>
      </c>
      <c r="D1784" t="s">
        <v>598</v>
      </c>
      <c r="E1784" t="s">
        <v>1246</v>
      </c>
      <c r="F1784" t="s">
        <v>571</v>
      </c>
      <c r="G1784" s="204"/>
      <c r="L1784">
        <v>800</v>
      </c>
      <c r="M1784">
        <v>146024</v>
      </c>
      <c r="N1784">
        <v>0</v>
      </c>
      <c r="O1784">
        <v>0</v>
      </c>
      <c r="P1784">
        <v>0</v>
      </c>
      <c r="Q1784">
        <v>800</v>
      </c>
      <c r="T1784">
        <v>0</v>
      </c>
      <c r="U1784">
        <v>0</v>
      </c>
      <c r="V1784">
        <v>500</v>
      </c>
      <c r="W1784">
        <v>91265</v>
      </c>
      <c r="X1784">
        <v>500</v>
      </c>
      <c r="Y1784">
        <v>500</v>
      </c>
      <c r="Z1784">
        <v>91265</v>
      </c>
      <c r="AA1784">
        <v>182.53</v>
      </c>
    </row>
    <row r="1785" spans="1:27" x14ac:dyDescent="0.25">
      <c r="A1785" t="s">
        <v>470</v>
      </c>
      <c r="B1785" t="s">
        <v>556</v>
      </c>
      <c r="C1785" t="s">
        <v>1859</v>
      </c>
      <c r="D1785" t="s">
        <v>598</v>
      </c>
      <c r="E1785" t="s">
        <v>1302</v>
      </c>
      <c r="F1785" t="s">
        <v>571</v>
      </c>
      <c r="G1785" s="204"/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T1785">
        <v>0</v>
      </c>
      <c r="U1785">
        <v>0</v>
      </c>
      <c r="V1785">
        <v>50</v>
      </c>
      <c r="W1785">
        <v>10351.5</v>
      </c>
      <c r="X1785">
        <v>50</v>
      </c>
      <c r="Y1785">
        <v>50</v>
      </c>
      <c r="Z1785">
        <v>10351.5</v>
      </c>
      <c r="AA1785">
        <v>207.03</v>
      </c>
    </row>
    <row r="1786" spans="1:27" x14ac:dyDescent="0.25">
      <c r="A1786" t="s">
        <v>470</v>
      </c>
      <c r="B1786" t="s">
        <v>556</v>
      </c>
      <c r="C1786" t="s">
        <v>1859</v>
      </c>
      <c r="D1786" t="s">
        <v>598</v>
      </c>
      <c r="E1786" t="s">
        <v>1351</v>
      </c>
      <c r="F1786" t="s">
        <v>571</v>
      </c>
      <c r="G1786" s="204"/>
      <c r="H1786">
        <v>65</v>
      </c>
      <c r="L1786">
        <v>50</v>
      </c>
      <c r="M1786">
        <v>10351.5</v>
      </c>
      <c r="N1786">
        <v>0</v>
      </c>
      <c r="O1786">
        <v>0</v>
      </c>
      <c r="P1786">
        <v>0</v>
      </c>
      <c r="Q1786">
        <v>50</v>
      </c>
      <c r="R1786">
        <v>10351.5</v>
      </c>
      <c r="S1786">
        <v>207.03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7" x14ac:dyDescent="0.25">
      <c r="A1787" t="s">
        <v>471</v>
      </c>
      <c r="B1787" t="s">
        <v>556</v>
      </c>
      <c r="C1787" t="s">
        <v>1859</v>
      </c>
      <c r="D1787" t="s">
        <v>598</v>
      </c>
      <c r="E1787" t="s">
        <v>1246</v>
      </c>
      <c r="F1787" t="s">
        <v>571</v>
      </c>
      <c r="G1787" s="204"/>
      <c r="L1787">
        <v>775</v>
      </c>
      <c r="M1787">
        <v>134263.78999999998</v>
      </c>
      <c r="N1787">
        <v>0</v>
      </c>
      <c r="O1787">
        <v>0</v>
      </c>
      <c r="P1787">
        <v>0</v>
      </c>
      <c r="Q1787">
        <v>775</v>
      </c>
      <c r="T1787">
        <v>0</v>
      </c>
      <c r="U1787">
        <v>0</v>
      </c>
      <c r="V1787">
        <v>632</v>
      </c>
      <c r="W1787">
        <v>113880.08</v>
      </c>
      <c r="X1787">
        <v>632</v>
      </c>
      <c r="Y1787">
        <v>632</v>
      </c>
      <c r="Z1787">
        <v>113880.08</v>
      </c>
      <c r="AA1787">
        <v>180.19</v>
      </c>
    </row>
    <row r="1788" spans="1:27" x14ac:dyDescent="0.25">
      <c r="A1788" t="s">
        <v>471</v>
      </c>
      <c r="B1788" t="s">
        <v>556</v>
      </c>
      <c r="C1788" t="s">
        <v>1859</v>
      </c>
      <c r="D1788" t="s">
        <v>598</v>
      </c>
      <c r="E1788" t="s">
        <v>1302</v>
      </c>
      <c r="F1788" t="s">
        <v>571</v>
      </c>
      <c r="G1788" s="204"/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T1788">
        <v>0</v>
      </c>
      <c r="U1788">
        <v>0</v>
      </c>
      <c r="V1788">
        <v>50</v>
      </c>
      <c r="W1788">
        <v>10832</v>
      </c>
      <c r="X1788">
        <v>50</v>
      </c>
      <c r="Y1788">
        <v>50</v>
      </c>
      <c r="Z1788">
        <v>10832</v>
      </c>
      <c r="AA1788">
        <v>216.64</v>
      </c>
    </row>
    <row r="1789" spans="1:27" x14ac:dyDescent="0.25">
      <c r="A1789" t="s">
        <v>471</v>
      </c>
      <c r="B1789" t="s">
        <v>556</v>
      </c>
      <c r="C1789" t="s">
        <v>1859</v>
      </c>
      <c r="D1789" t="s">
        <v>598</v>
      </c>
      <c r="E1789" t="s">
        <v>1351</v>
      </c>
      <c r="F1789" t="s">
        <v>571</v>
      </c>
      <c r="G1789" s="204"/>
      <c r="H1789">
        <v>67</v>
      </c>
      <c r="L1789">
        <v>50</v>
      </c>
      <c r="M1789">
        <v>10832</v>
      </c>
      <c r="N1789">
        <v>0</v>
      </c>
      <c r="O1789">
        <v>0</v>
      </c>
      <c r="P1789">
        <v>0</v>
      </c>
      <c r="Q1789">
        <v>50</v>
      </c>
      <c r="R1789">
        <v>10832</v>
      </c>
      <c r="S1789">
        <v>216.64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7" x14ac:dyDescent="0.25">
      <c r="A1790" t="s">
        <v>193</v>
      </c>
      <c r="B1790" t="s">
        <v>565</v>
      </c>
      <c r="C1790" t="s">
        <v>1859</v>
      </c>
      <c r="D1790" t="s">
        <v>598</v>
      </c>
      <c r="E1790" t="s">
        <v>1167</v>
      </c>
      <c r="F1790" t="s">
        <v>571</v>
      </c>
      <c r="G1790" s="204"/>
      <c r="J1790">
        <v>20</v>
      </c>
      <c r="K1790">
        <v>2076.6000000000004</v>
      </c>
      <c r="L1790">
        <v>88</v>
      </c>
      <c r="M1790">
        <v>9137.0399999999972</v>
      </c>
      <c r="N1790">
        <v>80</v>
      </c>
      <c r="O1790">
        <v>8306.4</v>
      </c>
      <c r="P1790">
        <v>80</v>
      </c>
      <c r="Q1790">
        <v>168</v>
      </c>
      <c r="T1790">
        <v>0</v>
      </c>
      <c r="U1790">
        <v>0</v>
      </c>
      <c r="V1790">
        <v>180</v>
      </c>
      <c r="W1790">
        <v>18689.399999999998</v>
      </c>
      <c r="X1790">
        <v>180</v>
      </c>
      <c r="Y1790">
        <v>180</v>
      </c>
    </row>
    <row r="1791" spans="1:27" x14ac:dyDescent="0.25">
      <c r="A1791" t="s">
        <v>1686</v>
      </c>
      <c r="B1791" t="s">
        <v>562</v>
      </c>
      <c r="C1791" t="s">
        <v>1859</v>
      </c>
      <c r="D1791" t="s">
        <v>598</v>
      </c>
      <c r="E1791" t="s">
        <v>1246</v>
      </c>
      <c r="F1791" t="s">
        <v>571</v>
      </c>
      <c r="G1791" s="204"/>
      <c r="H1791">
        <v>10</v>
      </c>
      <c r="I1791">
        <v>1776.3</v>
      </c>
      <c r="K1791">
        <v>2250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7" x14ac:dyDescent="0.25">
      <c r="A1792" t="s">
        <v>194</v>
      </c>
      <c r="B1792" t="s">
        <v>556</v>
      </c>
      <c r="C1792" t="s">
        <v>1859</v>
      </c>
      <c r="D1792" t="s">
        <v>598</v>
      </c>
      <c r="E1792" t="s">
        <v>1246</v>
      </c>
      <c r="F1792" t="s">
        <v>571</v>
      </c>
      <c r="G1792" s="204"/>
      <c r="J1792">
        <v>500</v>
      </c>
      <c r="K1792">
        <v>94765</v>
      </c>
      <c r="L1792">
        <v>2000</v>
      </c>
      <c r="M1792">
        <v>379060.00000000006</v>
      </c>
      <c r="N1792">
        <v>1000</v>
      </c>
      <c r="O1792">
        <v>200900</v>
      </c>
      <c r="P1792">
        <v>1000</v>
      </c>
      <c r="Q1792">
        <v>3000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7" x14ac:dyDescent="0.25">
      <c r="A1793" t="s">
        <v>194</v>
      </c>
      <c r="B1793" t="s">
        <v>556</v>
      </c>
      <c r="C1793" t="s">
        <v>1859</v>
      </c>
      <c r="D1793" t="s">
        <v>598</v>
      </c>
      <c r="E1793" t="s">
        <v>1351</v>
      </c>
      <c r="F1793" t="s">
        <v>571</v>
      </c>
      <c r="G1793" s="204"/>
      <c r="H1793">
        <v>75</v>
      </c>
      <c r="I1793">
        <v>11698.5</v>
      </c>
      <c r="L1793">
        <v>100</v>
      </c>
      <c r="M1793">
        <v>32603</v>
      </c>
      <c r="N1793">
        <v>0</v>
      </c>
      <c r="O1793">
        <v>0</v>
      </c>
      <c r="P1793">
        <v>0</v>
      </c>
      <c r="Q1793">
        <v>100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7" x14ac:dyDescent="0.25">
      <c r="A1794" t="s">
        <v>519</v>
      </c>
      <c r="B1794" t="s">
        <v>556</v>
      </c>
      <c r="C1794" t="s">
        <v>1859</v>
      </c>
      <c r="D1794" t="s">
        <v>686</v>
      </c>
      <c r="E1794" t="s">
        <v>1295</v>
      </c>
      <c r="F1794" t="s">
        <v>571</v>
      </c>
      <c r="G1794" s="204"/>
      <c r="L1794">
        <v>939</v>
      </c>
      <c r="M1794">
        <v>15408.99</v>
      </c>
      <c r="N1794">
        <v>0</v>
      </c>
      <c r="O1794">
        <v>0</v>
      </c>
      <c r="P1794">
        <v>0</v>
      </c>
      <c r="Q1794">
        <v>939</v>
      </c>
      <c r="R1794">
        <v>15408.99</v>
      </c>
      <c r="S1794">
        <v>16.41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7" x14ac:dyDescent="0.25">
      <c r="A1795" t="s">
        <v>472</v>
      </c>
      <c r="B1795" t="s">
        <v>556</v>
      </c>
      <c r="C1795" t="s">
        <v>1859</v>
      </c>
      <c r="D1795" t="s">
        <v>598</v>
      </c>
      <c r="E1795" t="s">
        <v>1246</v>
      </c>
      <c r="F1795" t="s">
        <v>571</v>
      </c>
      <c r="G1795" s="204"/>
      <c r="L1795">
        <v>400</v>
      </c>
      <c r="M1795">
        <v>70024</v>
      </c>
      <c r="N1795">
        <v>1000</v>
      </c>
      <c r="O1795">
        <v>175060</v>
      </c>
      <c r="P1795">
        <v>1000</v>
      </c>
      <c r="Q1795">
        <v>1400</v>
      </c>
      <c r="T1795">
        <v>0</v>
      </c>
      <c r="U1795">
        <v>0</v>
      </c>
      <c r="V1795">
        <v>500</v>
      </c>
      <c r="W1795">
        <v>87530</v>
      </c>
      <c r="X1795">
        <v>500</v>
      </c>
      <c r="Y1795">
        <v>500</v>
      </c>
      <c r="Z1795">
        <v>87530</v>
      </c>
      <c r="AA1795">
        <v>175.06</v>
      </c>
    </row>
    <row r="1796" spans="1:27" x14ac:dyDescent="0.25">
      <c r="A1796" t="s">
        <v>472</v>
      </c>
      <c r="B1796" t="s">
        <v>556</v>
      </c>
      <c r="C1796" t="s">
        <v>1859</v>
      </c>
      <c r="D1796" t="s">
        <v>598</v>
      </c>
      <c r="E1796" t="s">
        <v>1302</v>
      </c>
      <c r="F1796" t="s">
        <v>571</v>
      </c>
      <c r="G1796" s="204"/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T1796">
        <v>0</v>
      </c>
      <c r="U1796">
        <v>0</v>
      </c>
      <c r="V1796">
        <v>50</v>
      </c>
      <c r="W1796">
        <v>9927.5</v>
      </c>
      <c r="X1796">
        <v>50</v>
      </c>
      <c r="Y1796">
        <v>50</v>
      </c>
      <c r="Z1796">
        <v>9927.5</v>
      </c>
      <c r="AA1796">
        <v>198.55</v>
      </c>
    </row>
    <row r="1797" spans="1:27" x14ac:dyDescent="0.25">
      <c r="A1797" t="s">
        <v>472</v>
      </c>
      <c r="B1797" t="s">
        <v>556</v>
      </c>
      <c r="C1797" t="s">
        <v>1859</v>
      </c>
      <c r="D1797" t="s">
        <v>598</v>
      </c>
      <c r="E1797" t="s">
        <v>1351</v>
      </c>
      <c r="F1797" t="s">
        <v>571</v>
      </c>
      <c r="G1797" s="204"/>
      <c r="H1797">
        <v>68</v>
      </c>
      <c r="L1797">
        <v>50</v>
      </c>
      <c r="M1797">
        <v>9927.5</v>
      </c>
      <c r="N1797">
        <v>0</v>
      </c>
      <c r="O1797">
        <v>0</v>
      </c>
      <c r="P1797">
        <v>0</v>
      </c>
      <c r="Q1797">
        <v>50</v>
      </c>
      <c r="R1797">
        <v>9927.5</v>
      </c>
      <c r="S1797">
        <v>198.55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7" x14ac:dyDescent="0.25">
      <c r="A1798" t="s">
        <v>1543</v>
      </c>
      <c r="B1798" t="s">
        <v>565</v>
      </c>
      <c r="C1798" t="s">
        <v>1859</v>
      </c>
      <c r="D1798" t="s">
        <v>607</v>
      </c>
      <c r="E1798" t="s">
        <v>1295</v>
      </c>
      <c r="F1798" t="s">
        <v>571</v>
      </c>
      <c r="G1798" s="204"/>
      <c r="H1798">
        <v>25</v>
      </c>
      <c r="I1798">
        <v>8192</v>
      </c>
      <c r="J1798">
        <v>25</v>
      </c>
      <c r="K1798">
        <v>8192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7" x14ac:dyDescent="0.25">
      <c r="A1799" t="s">
        <v>195</v>
      </c>
      <c r="B1799" t="s">
        <v>565</v>
      </c>
      <c r="C1799" t="s">
        <v>1859</v>
      </c>
      <c r="D1799" t="s">
        <v>653</v>
      </c>
      <c r="E1799" t="s">
        <v>1295</v>
      </c>
      <c r="F1799" t="s">
        <v>571</v>
      </c>
      <c r="G1799" s="204"/>
      <c r="L1799">
        <v>150</v>
      </c>
      <c r="M1799">
        <v>29536.5</v>
      </c>
      <c r="N1799">
        <v>0</v>
      </c>
      <c r="O1799">
        <v>0</v>
      </c>
      <c r="P1799">
        <v>0</v>
      </c>
      <c r="Q1799">
        <v>150</v>
      </c>
      <c r="R1799">
        <v>29536.5</v>
      </c>
      <c r="S1799">
        <v>196.91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7" x14ac:dyDescent="0.25">
      <c r="A1800" t="s">
        <v>196</v>
      </c>
      <c r="B1800" t="s">
        <v>565</v>
      </c>
      <c r="C1800" t="s">
        <v>1859</v>
      </c>
      <c r="D1800" t="s">
        <v>637</v>
      </c>
      <c r="E1800" t="s">
        <v>1169</v>
      </c>
      <c r="F1800" t="s">
        <v>578</v>
      </c>
      <c r="G1800" s="204">
        <v>46752</v>
      </c>
      <c r="L1800">
        <v>100</v>
      </c>
      <c r="M1800">
        <v>3905</v>
      </c>
      <c r="N1800">
        <v>0</v>
      </c>
      <c r="O1800">
        <v>0</v>
      </c>
      <c r="P1800">
        <v>0</v>
      </c>
      <c r="Q1800">
        <v>100</v>
      </c>
      <c r="R1800">
        <v>3905</v>
      </c>
      <c r="S1800">
        <v>39.049999999999997</v>
      </c>
      <c r="T1800">
        <v>0</v>
      </c>
      <c r="U1800">
        <v>0</v>
      </c>
      <c r="V1800">
        <v>100</v>
      </c>
      <c r="W1800">
        <v>3905</v>
      </c>
      <c r="X1800">
        <v>100</v>
      </c>
      <c r="Y1800">
        <v>100</v>
      </c>
      <c r="Z1800">
        <v>3905</v>
      </c>
      <c r="AA1800">
        <v>39.049999999999997</v>
      </c>
    </row>
    <row r="1801" spans="1:27" x14ac:dyDescent="0.25">
      <c r="A1801" t="s">
        <v>1322</v>
      </c>
      <c r="B1801" t="s">
        <v>567</v>
      </c>
      <c r="C1801" t="s">
        <v>1859</v>
      </c>
      <c r="D1801" t="s">
        <v>637</v>
      </c>
      <c r="E1801" t="s">
        <v>1169</v>
      </c>
      <c r="F1801" t="s">
        <v>571</v>
      </c>
      <c r="G1801" s="204"/>
      <c r="L1801">
        <v>0</v>
      </c>
      <c r="M1801">
        <v>0</v>
      </c>
      <c r="N1801">
        <v>30</v>
      </c>
      <c r="O1801">
        <v>2556.3000000000002</v>
      </c>
      <c r="P1801">
        <v>30</v>
      </c>
      <c r="Q1801">
        <v>30</v>
      </c>
      <c r="R1801">
        <v>2556.3000000000002</v>
      </c>
      <c r="S1801">
        <v>85.210000000000008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7" x14ac:dyDescent="0.25">
      <c r="A1802" t="s">
        <v>197</v>
      </c>
      <c r="B1802" t="s">
        <v>556</v>
      </c>
      <c r="C1802" t="s">
        <v>1859</v>
      </c>
      <c r="D1802" t="s">
        <v>637</v>
      </c>
      <c r="E1802" t="s">
        <v>1169</v>
      </c>
      <c r="F1802" t="s">
        <v>571</v>
      </c>
      <c r="G1802" s="204"/>
      <c r="H1802">
        <v>100</v>
      </c>
      <c r="I1802">
        <v>4500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7" x14ac:dyDescent="0.25">
      <c r="A1803" t="s">
        <v>198</v>
      </c>
      <c r="B1803" t="s">
        <v>562</v>
      </c>
      <c r="C1803" t="s">
        <v>1859</v>
      </c>
      <c r="D1803" t="s">
        <v>670</v>
      </c>
      <c r="E1803" t="s">
        <v>1169</v>
      </c>
      <c r="F1803" t="s">
        <v>578</v>
      </c>
      <c r="G1803" s="204">
        <v>46752</v>
      </c>
      <c r="L1803">
        <v>0</v>
      </c>
      <c r="M1803">
        <v>0</v>
      </c>
      <c r="N1803">
        <v>100</v>
      </c>
      <c r="O1803">
        <v>7551</v>
      </c>
      <c r="P1803">
        <v>100</v>
      </c>
      <c r="Q1803">
        <v>100</v>
      </c>
      <c r="R1803">
        <v>7551</v>
      </c>
      <c r="S1803">
        <v>75.510000000000005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7" x14ac:dyDescent="0.25">
      <c r="A1804" t="s">
        <v>940</v>
      </c>
      <c r="B1804" t="s">
        <v>562</v>
      </c>
      <c r="C1804" t="s">
        <v>1859</v>
      </c>
      <c r="D1804" t="s">
        <v>670</v>
      </c>
      <c r="E1804" t="s">
        <v>1169</v>
      </c>
      <c r="F1804" t="s">
        <v>571</v>
      </c>
      <c r="G1804" s="204"/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T1804">
        <v>0</v>
      </c>
      <c r="U1804">
        <v>0</v>
      </c>
      <c r="V1804">
        <v>69</v>
      </c>
      <c r="W1804">
        <v>6993.84</v>
      </c>
      <c r="X1804">
        <v>69</v>
      </c>
      <c r="Y1804">
        <v>69</v>
      </c>
      <c r="Z1804">
        <v>6993.84</v>
      </c>
      <c r="AA1804">
        <v>101.36</v>
      </c>
    </row>
    <row r="1805" spans="1:27" x14ac:dyDescent="0.25">
      <c r="A1805" t="s">
        <v>1687</v>
      </c>
      <c r="B1805" t="s">
        <v>562</v>
      </c>
      <c r="C1805" t="s">
        <v>564</v>
      </c>
      <c r="D1805" t="s">
        <v>682</v>
      </c>
      <c r="E1805" t="s">
        <v>1252</v>
      </c>
      <c r="F1805" t="s">
        <v>571</v>
      </c>
      <c r="G1805" s="204"/>
      <c r="H1805">
        <v>132</v>
      </c>
      <c r="I1805">
        <v>29436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7" x14ac:dyDescent="0.25">
      <c r="A1806" t="s">
        <v>537</v>
      </c>
      <c r="B1806" t="s">
        <v>554</v>
      </c>
      <c r="C1806" t="s">
        <v>564</v>
      </c>
      <c r="D1806" t="s">
        <v>685</v>
      </c>
      <c r="E1806" t="s">
        <v>1252</v>
      </c>
      <c r="F1806" t="s">
        <v>571</v>
      </c>
      <c r="G1806" s="204"/>
      <c r="J1806">
        <v>50</v>
      </c>
      <c r="K1806">
        <v>14300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7" x14ac:dyDescent="0.25">
      <c r="A1807" t="s">
        <v>543</v>
      </c>
      <c r="B1807" t="s">
        <v>554</v>
      </c>
      <c r="C1807" t="s">
        <v>564</v>
      </c>
      <c r="D1807" t="s">
        <v>685</v>
      </c>
      <c r="E1807" t="s">
        <v>1252</v>
      </c>
      <c r="F1807" t="s">
        <v>571</v>
      </c>
      <c r="G1807" s="204"/>
      <c r="J1807">
        <v>25</v>
      </c>
      <c r="K1807">
        <v>11150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7" x14ac:dyDescent="0.25">
      <c r="A1808" t="s">
        <v>540</v>
      </c>
      <c r="B1808" t="s">
        <v>554</v>
      </c>
      <c r="C1808" t="s">
        <v>564</v>
      </c>
      <c r="D1808" t="s">
        <v>685</v>
      </c>
      <c r="E1808" t="s">
        <v>1252</v>
      </c>
      <c r="F1808" t="s">
        <v>571</v>
      </c>
      <c r="G1808" s="204"/>
      <c r="J1808">
        <v>25</v>
      </c>
      <c r="K1808">
        <v>12450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7" x14ac:dyDescent="0.25">
      <c r="A1809" t="s">
        <v>1094</v>
      </c>
      <c r="B1809" t="s">
        <v>556</v>
      </c>
      <c r="C1809" t="s">
        <v>1859</v>
      </c>
      <c r="D1809" t="s">
        <v>686</v>
      </c>
      <c r="E1809" t="s">
        <v>1295</v>
      </c>
      <c r="F1809" t="s">
        <v>571</v>
      </c>
      <c r="G1809" s="204"/>
      <c r="L1809">
        <v>250</v>
      </c>
      <c r="M1809">
        <v>7307.5</v>
      </c>
      <c r="N1809">
        <v>0</v>
      </c>
      <c r="O1809">
        <v>0</v>
      </c>
      <c r="P1809">
        <v>0</v>
      </c>
      <c r="Q1809">
        <v>250</v>
      </c>
      <c r="R1809">
        <v>7307.5</v>
      </c>
      <c r="S1809">
        <v>29.23</v>
      </c>
      <c r="T1809">
        <v>0</v>
      </c>
      <c r="U1809">
        <v>0</v>
      </c>
      <c r="V1809">
        <v>1250</v>
      </c>
      <c r="W1809">
        <v>36537.5</v>
      </c>
      <c r="X1809">
        <v>1250</v>
      </c>
      <c r="Y1809">
        <v>1250</v>
      </c>
    </row>
    <row r="1810" spans="1:27" x14ac:dyDescent="0.25">
      <c r="A1810" t="s">
        <v>1544</v>
      </c>
      <c r="B1810" t="s">
        <v>565</v>
      </c>
      <c r="C1810" t="s">
        <v>1859</v>
      </c>
      <c r="D1810" t="s">
        <v>1099</v>
      </c>
      <c r="E1810" t="s">
        <v>1295</v>
      </c>
      <c r="F1810" t="s">
        <v>571</v>
      </c>
      <c r="G1810" s="204"/>
      <c r="J1810">
        <v>100</v>
      </c>
      <c r="K1810">
        <v>31074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7" x14ac:dyDescent="0.25">
      <c r="A1811" t="s">
        <v>341</v>
      </c>
      <c r="B1811" t="s">
        <v>556</v>
      </c>
      <c r="C1811" t="s">
        <v>1859</v>
      </c>
      <c r="D1811" t="s">
        <v>597</v>
      </c>
      <c r="E1811" t="s">
        <v>1167</v>
      </c>
      <c r="F1811" t="s">
        <v>571</v>
      </c>
      <c r="G1811" s="204"/>
      <c r="L1811">
        <v>366</v>
      </c>
      <c r="M1811">
        <v>484075.26</v>
      </c>
      <c r="N1811">
        <v>41</v>
      </c>
      <c r="O1811">
        <v>54227.01</v>
      </c>
      <c r="P1811">
        <v>41</v>
      </c>
      <c r="Q1811">
        <v>407</v>
      </c>
      <c r="T1811">
        <v>0</v>
      </c>
      <c r="U1811">
        <v>0</v>
      </c>
      <c r="V1811">
        <v>209</v>
      </c>
      <c r="W1811">
        <v>276425.49000000005</v>
      </c>
      <c r="X1811">
        <v>209</v>
      </c>
      <c r="Y1811">
        <v>209</v>
      </c>
      <c r="Z1811">
        <v>276425.49</v>
      </c>
      <c r="AA1811">
        <v>1322.61</v>
      </c>
    </row>
    <row r="1812" spans="1:27" x14ac:dyDescent="0.25">
      <c r="A1812" t="s">
        <v>199</v>
      </c>
      <c r="B1812" t="s">
        <v>556</v>
      </c>
      <c r="C1812" t="s">
        <v>1859</v>
      </c>
      <c r="D1812" t="s">
        <v>637</v>
      </c>
      <c r="E1812" t="s">
        <v>1276</v>
      </c>
      <c r="F1812" t="s">
        <v>571</v>
      </c>
      <c r="G1812" s="204"/>
      <c r="H1812">
        <v>4000</v>
      </c>
      <c r="I1812">
        <v>121470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7" x14ac:dyDescent="0.25">
      <c r="A1813" t="s">
        <v>199</v>
      </c>
      <c r="B1813" t="s">
        <v>556</v>
      </c>
      <c r="C1813" t="s">
        <v>1859</v>
      </c>
      <c r="D1813" t="s">
        <v>637</v>
      </c>
      <c r="E1813" t="s">
        <v>1169</v>
      </c>
      <c r="F1813" t="s">
        <v>578</v>
      </c>
      <c r="G1813" s="204">
        <v>46752</v>
      </c>
      <c r="H1813">
        <v>650</v>
      </c>
      <c r="I1813">
        <v>19969.5</v>
      </c>
      <c r="L1813">
        <v>1260</v>
      </c>
      <c r="M1813">
        <v>40496.400000000001</v>
      </c>
      <c r="N1813">
        <v>0</v>
      </c>
      <c r="O1813">
        <v>0</v>
      </c>
      <c r="P1813">
        <v>0</v>
      </c>
      <c r="Q1813">
        <v>1260</v>
      </c>
      <c r="T1813">
        <v>0</v>
      </c>
      <c r="U1813">
        <v>0</v>
      </c>
      <c r="V1813">
        <v>777</v>
      </c>
      <c r="W1813">
        <v>24972.78</v>
      </c>
      <c r="X1813">
        <v>777</v>
      </c>
      <c r="Y1813">
        <v>777</v>
      </c>
    </row>
    <row r="1814" spans="1:27" x14ac:dyDescent="0.25">
      <c r="A1814" t="s">
        <v>200</v>
      </c>
      <c r="B1814" t="s">
        <v>565</v>
      </c>
      <c r="C1814" t="s">
        <v>1859</v>
      </c>
      <c r="D1814" t="s">
        <v>637</v>
      </c>
      <c r="E1814" t="s">
        <v>1169</v>
      </c>
      <c r="F1814" t="s">
        <v>578</v>
      </c>
      <c r="G1814" s="204">
        <v>46752</v>
      </c>
      <c r="L1814">
        <v>1360</v>
      </c>
      <c r="M1814">
        <v>58099.199999999997</v>
      </c>
      <c r="N1814">
        <v>0</v>
      </c>
      <c r="O1814">
        <v>0</v>
      </c>
      <c r="P1814">
        <v>0</v>
      </c>
      <c r="Q1814">
        <v>1360</v>
      </c>
      <c r="T1814">
        <v>0</v>
      </c>
      <c r="U1814">
        <v>0</v>
      </c>
      <c r="V1814">
        <v>100</v>
      </c>
      <c r="W1814">
        <v>4272</v>
      </c>
      <c r="X1814">
        <v>100</v>
      </c>
      <c r="Y1814">
        <v>100</v>
      </c>
      <c r="Z1814">
        <v>4272</v>
      </c>
      <c r="AA1814">
        <v>42.72</v>
      </c>
    </row>
    <row r="1815" spans="1:27" x14ac:dyDescent="0.25">
      <c r="A1815" t="s">
        <v>201</v>
      </c>
      <c r="B1815" t="s">
        <v>556</v>
      </c>
      <c r="C1815" t="s">
        <v>1859</v>
      </c>
      <c r="D1815" t="s">
        <v>637</v>
      </c>
      <c r="E1815" t="s">
        <v>1275</v>
      </c>
      <c r="F1815" t="s">
        <v>571</v>
      </c>
      <c r="G1815" s="204"/>
      <c r="J1815">
        <v>944</v>
      </c>
      <c r="K1815">
        <v>29707.68</v>
      </c>
      <c r="L1815">
        <v>1056</v>
      </c>
      <c r="M1815">
        <v>33232.32</v>
      </c>
      <c r="N1815">
        <v>1000</v>
      </c>
      <c r="O1815">
        <v>32140</v>
      </c>
      <c r="P1815">
        <v>1000</v>
      </c>
      <c r="Q1815">
        <v>2056</v>
      </c>
      <c r="T1815">
        <v>0</v>
      </c>
      <c r="U1815">
        <v>0</v>
      </c>
      <c r="V1815">
        <v>1000</v>
      </c>
      <c r="W1815">
        <v>32140</v>
      </c>
      <c r="X1815">
        <v>1000</v>
      </c>
      <c r="Y1815">
        <v>1000</v>
      </c>
    </row>
    <row r="1816" spans="1:27" x14ac:dyDescent="0.25">
      <c r="A1816" t="s">
        <v>201</v>
      </c>
      <c r="B1816" t="s">
        <v>556</v>
      </c>
      <c r="C1816" t="s">
        <v>1859</v>
      </c>
      <c r="D1816" t="s">
        <v>637</v>
      </c>
      <c r="E1816" t="s">
        <v>1169</v>
      </c>
      <c r="F1816" t="s">
        <v>578</v>
      </c>
      <c r="G1816" s="204">
        <v>46752</v>
      </c>
      <c r="H1816">
        <v>1640</v>
      </c>
      <c r="I1816">
        <v>50278.080000000002</v>
      </c>
      <c r="L1816">
        <v>2065</v>
      </c>
      <c r="M1816">
        <v>66369.100000000006</v>
      </c>
      <c r="N1816">
        <v>0</v>
      </c>
      <c r="O1816">
        <v>0</v>
      </c>
      <c r="P1816">
        <v>0</v>
      </c>
      <c r="Q1816">
        <v>2065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7" x14ac:dyDescent="0.25">
      <c r="A1817" t="s">
        <v>201</v>
      </c>
      <c r="B1817" t="s">
        <v>556</v>
      </c>
      <c r="C1817" t="s">
        <v>1859</v>
      </c>
      <c r="D1817" t="s">
        <v>637</v>
      </c>
      <c r="E1817" t="s">
        <v>1328</v>
      </c>
      <c r="F1817" t="s">
        <v>571</v>
      </c>
      <c r="G1817" s="204"/>
      <c r="L1817">
        <v>0</v>
      </c>
      <c r="M1817">
        <v>0</v>
      </c>
      <c r="N1817">
        <v>2917</v>
      </c>
      <c r="O1817">
        <v>93752.38</v>
      </c>
      <c r="P1817">
        <v>2917</v>
      </c>
      <c r="Q1817">
        <v>2917</v>
      </c>
      <c r="T1817">
        <v>0</v>
      </c>
      <c r="U1817">
        <v>0</v>
      </c>
      <c r="V1817">
        <v>1236</v>
      </c>
      <c r="W1817">
        <v>39725.040000000001</v>
      </c>
      <c r="X1817">
        <v>1236</v>
      </c>
      <c r="Y1817">
        <v>1236</v>
      </c>
      <c r="Z1817">
        <v>39725.040000000001</v>
      </c>
      <c r="AA1817">
        <v>32.14</v>
      </c>
    </row>
    <row r="1818" spans="1:27" x14ac:dyDescent="0.25">
      <c r="A1818" t="s">
        <v>202</v>
      </c>
      <c r="B1818" t="s">
        <v>565</v>
      </c>
      <c r="C1818" t="s">
        <v>1859</v>
      </c>
      <c r="D1818" t="s">
        <v>665</v>
      </c>
      <c r="E1818" t="s">
        <v>1169</v>
      </c>
      <c r="F1818" t="s">
        <v>578</v>
      </c>
      <c r="G1818" s="204">
        <v>46752</v>
      </c>
      <c r="L1818">
        <v>100</v>
      </c>
      <c r="M1818">
        <v>4182</v>
      </c>
      <c r="N1818">
        <v>100</v>
      </c>
      <c r="O1818">
        <v>4182</v>
      </c>
      <c r="P1818">
        <v>100</v>
      </c>
      <c r="Q1818">
        <v>200</v>
      </c>
      <c r="T1818">
        <v>0</v>
      </c>
      <c r="U1818">
        <v>0</v>
      </c>
      <c r="V1818">
        <v>100</v>
      </c>
      <c r="W1818">
        <v>4182</v>
      </c>
      <c r="X1818">
        <v>100</v>
      </c>
      <c r="Y1818">
        <v>100</v>
      </c>
      <c r="Z1818">
        <v>4182</v>
      </c>
      <c r="AA1818">
        <v>41.82</v>
      </c>
    </row>
    <row r="1819" spans="1:27" x14ac:dyDescent="0.25">
      <c r="A1819" t="s">
        <v>203</v>
      </c>
      <c r="B1819" t="s">
        <v>565</v>
      </c>
      <c r="C1819" t="s">
        <v>1859</v>
      </c>
      <c r="D1819" t="s">
        <v>665</v>
      </c>
      <c r="E1819" t="s">
        <v>1169</v>
      </c>
      <c r="F1819" t="s">
        <v>578</v>
      </c>
      <c r="G1819" s="204">
        <v>46752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T1819">
        <v>0</v>
      </c>
      <c r="U1819">
        <v>0</v>
      </c>
      <c r="V1819">
        <v>50</v>
      </c>
      <c r="W1819">
        <v>10154</v>
      </c>
      <c r="X1819">
        <v>50</v>
      </c>
      <c r="Y1819">
        <v>50</v>
      </c>
      <c r="Z1819">
        <v>10154</v>
      </c>
      <c r="AA1819">
        <v>203.08</v>
      </c>
    </row>
    <row r="1820" spans="1:27" x14ac:dyDescent="0.25">
      <c r="A1820" t="s">
        <v>342</v>
      </c>
      <c r="B1820" t="s">
        <v>556</v>
      </c>
      <c r="C1820" t="s">
        <v>1859</v>
      </c>
      <c r="D1820" t="s">
        <v>597</v>
      </c>
      <c r="E1820" t="s">
        <v>1167</v>
      </c>
      <c r="F1820" t="s">
        <v>571</v>
      </c>
      <c r="G1820" s="204"/>
      <c r="H1820">
        <v>99</v>
      </c>
      <c r="I1820">
        <v>37882.35</v>
      </c>
      <c r="L1820">
        <v>280</v>
      </c>
      <c r="M1820">
        <v>107142</v>
      </c>
      <c r="N1820">
        <v>200</v>
      </c>
      <c r="O1820">
        <v>76530</v>
      </c>
      <c r="P1820">
        <v>200</v>
      </c>
      <c r="Q1820">
        <v>480</v>
      </c>
      <c r="T1820">
        <v>0</v>
      </c>
      <c r="U1820">
        <v>0</v>
      </c>
      <c r="V1820">
        <v>194</v>
      </c>
      <c r="W1820">
        <v>74234.100000000006</v>
      </c>
      <c r="X1820">
        <v>194</v>
      </c>
      <c r="Y1820">
        <v>194</v>
      </c>
    </row>
    <row r="1821" spans="1:27" x14ac:dyDescent="0.25">
      <c r="A1821" t="s">
        <v>343</v>
      </c>
      <c r="B1821" t="s">
        <v>562</v>
      </c>
      <c r="C1821" t="s">
        <v>1859</v>
      </c>
      <c r="D1821" t="s">
        <v>592</v>
      </c>
      <c r="E1821" t="s">
        <v>1343</v>
      </c>
      <c r="F1821" t="s">
        <v>571</v>
      </c>
      <c r="G1821" s="204"/>
      <c r="L1821">
        <v>9</v>
      </c>
      <c r="M1821">
        <v>5742</v>
      </c>
      <c r="N1821">
        <v>0</v>
      </c>
      <c r="O1821">
        <v>0</v>
      </c>
      <c r="P1821">
        <v>0</v>
      </c>
      <c r="Q1821">
        <v>9</v>
      </c>
      <c r="R1821">
        <v>5742</v>
      </c>
      <c r="S1821">
        <v>638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7" x14ac:dyDescent="0.25">
      <c r="A1822" t="s">
        <v>953</v>
      </c>
      <c r="B1822" t="s">
        <v>565</v>
      </c>
      <c r="C1822" t="s">
        <v>564</v>
      </c>
      <c r="D1822" t="s">
        <v>967</v>
      </c>
      <c r="E1822" t="s">
        <v>1167</v>
      </c>
      <c r="F1822" t="s">
        <v>571</v>
      </c>
      <c r="G1822" s="204"/>
      <c r="H1822">
        <v>4</v>
      </c>
      <c r="I1822">
        <v>1587.2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T1822">
        <v>0</v>
      </c>
      <c r="U1822">
        <v>0</v>
      </c>
      <c r="V1822">
        <v>4</v>
      </c>
      <c r="W1822">
        <v>1587.2</v>
      </c>
      <c r="X1822">
        <v>4</v>
      </c>
      <c r="Y1822">
        <v>4</v>
      </c>
      <c r="Z1822">
        <v>1587.2</v>
      </c>
      <c r="AA1822">
        <v>396.8</v>
      </c>
    </row>
    <row r="1823" spans="1:27" x14ac:dyDescent="0.25">
      <c r="A1823" t="s">
        <v>380</v>
      </c>
      <c r="B1823" t="s">
        <v>565</v>
      </c>
      <c r="C1823" t="s">
        <v>1858</v>
      </c>
      <c r="D1823" t="s">
        <v>648</v>
      </c>
      <c r="E1823" t="s">
        <v>1143</v>
      </c>
      <c r="F1823" t="s">
        <v>571</v>
      </c>
      <c r="G1823" s="204"/>
      <c r="L1823">
        <v>88</v>
      </c>
      <c r="M1823">
        <v>40744</v>
      </c>
      <c r="N1823">
        <v>0</v>
      </c>
      <c r="O1823">
        <v>0</v>
      </c>
      <c r="P1823">
        <v>0</v>
      </c>
      <c r="Q1823">
        <v>88</v>
      </c>
      <c r="T1823">
        <v>0</v>
      </c>
      <c r="U1823">
        <v>0</v>
      </c>
      <c r="V1823">
        <v>37</v>
      </c>
      <c r="W1823">
        <v>18426</v>
      </c>
      <c r="X1823">
        <v>37</v>
      </c>
      <c r="Y1823">
        <v>37</v>
      </c>
      <c r="Z1823">
        <v>18426</v>
      </c>
      <c r="AA1823">
        <v>498</v>
      </c>
    </row>
    <row r="1824" spans="1:27" x14ac:dyDescent="0.25">
      <c r="A1824" t="s">
        <v>380</v>
      </c>
      <c r="B1824" t="s">
        <v>565</v>
      </c>
      <c r="C1824" t="s">
        <v>1858</v>
      </c>
      <c r="D1824" t="s">
        <v>648</v>
      </c>
      <c r="E1824" t="s">
        <v>1818</v>
      </c>
      <c r="F1824" t="s">
        <v>571</v>
      </c>
      <c r="G1824" s="204"/>
      <c r="H1824">
        <v>400</v>
      </c>
      <c r="I1824">
        <v>176000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7" x14ac:dyDescent="0.25">
      <c r="A1825" t="s">
        <v>204</v>
      </c>
      <c r="B1825" t="s">
        <v>565</v>
      </c>
      <c r="C1825" t="s">
        <v>1859</v>
      </c>
      <c r="D1825" t="s">
        <v>637</v>
      </c>
      <c r="E1825" t="s">
        <v>1276</v>
      </c>
      <c r="F1825" t="s">
        <v>571</v>
      </c>
      <c r="G1825" s="204"/>
      <c r="H1825">
        <v>800</v>
      </c>
      <c r="I1825">
        <v>27760</v>
      </c>
      <c r="L1825">
        <v>900</v>
      </c>
      <c r="M1825">
        <v>33030</v>
      </c>
      <c r="N1825">
        <v>450</v>
      </c>
      <c r="O1825">
        <v>16515</v>
      </c>
      <c r="P1825">
        <v>450</v>
      </c>
      <c r="Q1825">
        <v>1350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7" x14ac:dyDescent="0.25">
      <c r="A1826" t="s">
        <v>204</v>
      </c>
      <c r="B1826" t="s">
        <v>565</v>
      </c>
      <c r="C1826" t="s">
        <v>1859</v>
      </c>
      <c r="D1826" t="s">
        <v>637</v>
      </c>
      <c r="E1826" t="s">
        <v>1169</v>
      </c>
      <c r="F1826" t="s">
        <v>578</v>
      </c>
      <c r="G1826" s="204">
        <v>46752</v>
      </c>
      <c r="L1826">
        <v>250</v>
      </c>
      <c r="M1826">
        <v>9175</v>
      </c>
      <c r="N1826">
        <v>0</v>
      </c>
      <c r="O1826">
        <v>0</v>
      </c>
      <c r="P1826">
        <v>0</v>
      </c>
      <c r="Q1826">
        <v>250</v>
      </c>
      <c r="R1826">
        <v>9175</v>
      </c>
      <c r="S1826">
        <v>36.700000000000003</v>
      </c>
      <c r="T1826">
        <v>0</v>
      </c>
      <c r="U1826">
        <v>0</v>
      </c>
      <c r="V1826">
        <v>322</v>
      </c>
      <c r="W1826">
        <v>11817.4</v>
      </c>
      <c r="X1826">
        <v>322</v>
      </c>
      <c r="Y1826">
        <v>322</v>
      </c>
    </row>
    <row r="1827" spans="1:27" x14ac:dyDescent="0.25">
      <c r="A1827" t="s">
        <v>205</v>
      </c>
      <c r="B1827" t="s">
        <v>565</v>
      </c>
      <c r="C1827" t="s">
        <v>1859</v>
      </c>
      <c r="D1827" t="s">
        <v>637</v>
      </c>
      <c r="E1827" t="s">
        <v>1169</v>
      </c>
      <c r="F1827" t="s">
        <v>578</v>
      </c>
      <c r="G1827" s="204">
        <v>46752</v>
      </c>
      <c r="L1827">
        <v>100</v>
      </c>
      <c r="M1827">
        <v>4728</v>
      </c>
      <c r="N1827">
        <v>0</v>
      </c>
      <c r="O1827">
        <v>0</v>
      </c>
      <c r="P1827">
        <v>0</v>
      </c>
      <c r="Q1827">
        <v>100</v>
      </c>
      <c r="R1827">
        <v>4728</v>
      </c>
      <c r="S1827">
        <v>47.28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7" x14ac:dyDescent="0.25">
      <c r="A1828" t="s">
        <v>205</v>
      </c>
      <c r="B1828" t="s">
        <v>565</v>
      </c>
      <c r="C1828" t="s">
        <v>1859</v>
      </c>
      <c r="D1828" t="s">
        <v>637</v>
      </c>
      <c r="E1828" t="s">
        <v>1328</v>
      </c>
      <c r="F1828" t="s">
        <v>571</v>
      </c>
      <c r="G1828" s="204"/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T1828">
        <v>0</v>
      </c>
      <c r="U1828">
        <v>0</v>
      </c>
      <c r="V1828">
        <v>100</v>
      </c>
      <c r="W1828">
        <v>4728</v>
      </c>
      <c r="X1828">
        <v>100</v>
      </c>
      <c r="Y1828">
        <v>100</v>
      </c>
      <c r="Z1828">
        <v>4728</v>
      </c>
      <c r="AA1828">
        <v>47.28</v>
      </c>
    </row>
    <row r="1829" spans="1:27" x14ac:dyDescent="0.25">
      <c r="A1829" t="s">
        <v>739</v>
      </c>
      <c r="B1829" t="s">
        <v>565</v>
      </c>
      <c r="C1829" t="s">
        <v>1859</v>
      </c>
      <c r="D1829" t="s">
        <v>742</v>
      </c>
      <c r="E1829" t="s">
        <v>1169</v>
      </c>
      <c r="F1829" t="s">
        <v>578</v>
      </c>
      <c r="G1829" s="204">
        <v>46752</v>
      </c>
      <c r="L1829">
        <v>100</v>
      </c>
      <c r="M1829">
        <v>4728</v>
      </c>
      <c r="N1829">
        <v>96</v>
      </c>
      <c r="O1829">
        <v>4538.88</v>
      </c>
      <c r="P1829">
        <v>96</v>
      </c>
      <c r="Q1829">
        <v>196</v>
      </c>
      <c r="R1829">
        <v>9266.880000000001</v>
      </c>
      <c r="S1829">
        <v>47.280000000000008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7" x14ac:dyDescent="0.25">
      <c r="A1830" t="s">
        <v>206</v>
      </c>
      <c r="B1830" t="s">
        <v>556</v>
      </c>
      <c r="C1830" t="s">
        <v>1859</v>
      </c>
      <c r="D1830" t="s">
        <v>637</v>
      </c>
      <c r="E1830" t="s">
        <v>1276</v>
      </c>
      <c r="F1830" t="s">
        <v>571</v>
      </c>
      <c r="G1830" s="204"/>
      <c r="H1830">
        <v>1200</v>
      </c>
      <c r="I1830">
        <v>42696</v>
      </c>
      <c r="L1830">
        <v>1750</v>
      </c>
      <c r="M1830">
        <v>65852.5</v>
      </c>
      <c r="N1830">
        <v>650</v>
      </c>
      <c r="O1830">
        <v>24459.5</v>
      </c>
      <c r="P1830">
        <v>650</v>
      </c>
      <c r="Q1830">
        <v>2400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7" x14ac:dyDescent="0.25">
      <c r="A1831" t="s">
        <v>206</v>
      </c>
      <c r="B1831" t="s">
        <v>556</v>
      </c>
      <c r="C1831" t="s">
        <v>1859</v>
      </c>
      <c r="D1831" t="s">
        <v>637</v>
      </c>
      <c r="E1831" t="s">
        <v>1169</v>
      </c>
      <c r="F1831" t="s">
        <v>578</v>
      </c>
      <c r="G1831" s="204">
        <v>46752</v>
      </c>
      <c r="L1831">
        <v>793</v>
      </c>
      <c r="M1831">
        <v>29840.589999999997</v>
      </c>
      <c r="N1831">
        <v>502</v>
      </c>
      <c r="O1831">
        <v>18890.260000000002</v>
      </c>
      <c r="P1831">
        <v>502</v>
      </c>
      <c r="Q1831">
        <v>1295</v>
      </c>
      <c r="R1831">
        <v>48730.849999999991</v>
      </c>
      <c r="S1831">
        <v>37.629999999999995</v>
      </c>
      <c r="T1831">
        <v>0</v>
      </c>
      <c r="U1831">
        <v>0</v>
      </c>
      <c r="V1831">
        <v>1371</v>
      </c>
      <c r="W1831">
        <v>51590.729999999996</v>
      </c>
      <c r="X1831">
        <v>1371</v>
      </c>
      <c r="Y1831">
        <v>1371</v>
      </c>
    </row>
    <row r="1832" spans="1:27" x14ac:dyDescent="0.25">
      <c r="A1832" t="s">
        <v>936</v>
      </c>
      <c r="B1832" t="s">
        <v>565</v>
      </c>
      <c r="C1832" t="s">
        <v>1859</v>
      </c>
      <c r="D1832" t="s">
        <v>637</v>
      </c>
      <c r="E1832" t="s">
        <v>1169</v>
      </c>
      <c r="F1832" t="s">
        <v>578</v>
      </c>
      <c r="G1832" s="204">
        <v>46752</v>
      </c>
      <c r="L1832">
        <v>100</v>
      </c>
      <c r="M1832">
        <v>3763</v>
      </c>
      <c r="N1832">
        <v>100</v>
      </c>
      <c r="O1832">
        <v>3763</v>
      </c>
      <c r="P1832">
        <v>100</v>
      </c>
      <c r="Q1832">
        <v>200</v>
      </c>
      <c r="T1832">
        <v>0</v>
      </c>
      <c r="U1832">
        <v>0</v>
      </c>
      <c r="V1832">
        <v>150</v>
      </c>
      <c r="W1832">
        <v>5644.5</v>
      </c>
      <c r="X1832">
        <v>150</v>
      </c>
      <c r="Y1832">
        <v>150</v>
      </c>
      <c r="Z1832">
        <v>5644.5</v>
      </c>
      <c r="AA1832">
        <v>37.630000000000003</v>
      </c>
    </row>
    <row r="1833" spans="1:27" x14ac:dyDescent="0.25">
      <c r="A1833" t="s">
        <v>552</v>
      </c>
      <c r="B1833" t="s">
        <v>556</v>
      </c>
      <c r="C1833" t="s">
        <v>1859</v>
      </c>
      <c r="D1833" t="s">
        <v>689</v>
      </c>
      <c r="E1833" t="s">
        <v>1169</v>
      </c>
      <c r="F1833" t="s">
        <v>578</v>
      </c>
      <c r="G1833" s="204">
        <v>46752</v>
      </c>
      <c r="H1833">
        <v>51</v>
      </c>
      <c r="L1833">
        <v>50</v>
      </c>
      <c r="M1833">
        <v>2410.5</v>
      </c>
      <c r="N1833">
        <v>0</v>
      </c>
      <c r="O1833">
        <v>0</v>
      </c>
      <c r="P1833">
        <v>0</v>
      </c>
      <c r="Q1833">
        <v>50</v>
      </c>
      <c r="R1833">
        <v>2410.5</v>
      </c>
      <c r="S1833">
        <v>48.21</v>
      </c>
      <c r="T1833">
        <v>0</v>
      </c>
      <c r="U1833">
        <v>0</v>
      </c>
      <c r="V1833">
        <v>50</v>
      </c>
      <c r="W1833">
        <v>2410.5</v>
      </c>
      <c r="X1833">
        <v>50</v>
      </c>
      <c r="Y1833">
        <v>50</v>
      </c>
      <c r="Z1833">
        <v>2410.5</v>
      </c>
      <c r="AA1833">
        <v>48.21</v>
      </c>
    </row>
    <row r="1834" spans="1:27" x14ac:dyDescent="0.25">
      <c r="A1834" t="s">
        <v>937</v>
      </c>
      <c r="B1834" t="s">
        <v>556</v>
      </c>
      <c r="C1834" t="s">
        <v>1859</v>
      </c>
      <c r="D1834" t="s">
        <v>637</v>
      </c>
      <c r="E1834" t="s">
        <v>1169</v>
      </c>
      <c r="F1834" t="s">
        <v>578</v>
      </c>
      <c r="G1834" s="204">
        <v>46752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T1834">
        <v>0</v>
      </c>
      <c r="U1834">
        <v>0</v>
      </c>
      <c r="V1834">
        <v>88</v>
      </c>
      <c r="W1834">
        <v>4242.4800000000005</v>
      </c>
      <c r="X1834">
        <v>88</v>
      </c>
      <c r="Y1834">
        <v>88</v>
      </c>
      <c r="Z1834">
        <v>4242.4800000000005</v>
      </c>
      <c r="AA1834">
        <v>48.210000000000008</v>
      </c>
    </row>
    <row r="1835" spans="1:27" x14ac:dyDescent="0.25">
      <c r="A1835" t="s">
        <v>1095</v>
      </c>
      <c r="B1835" t="s">
        <v>565</v>
      </c>
      <c r="C1835" t="s">
        <v>1859</v>
      </c>
      <c r="D1835" t="s">
        <v>637</v>
      </c>
      <c r="E1835" t="s">
        <v>1169</v>
      </c>
      <c r="F1835" t="s">
        <v>571</v>
      </c>
      <c r="G1835" s="204"/>
      <c r="L1835">
        <v>0</v>
      </c>
      <c r="M1835">
        <v>0</v>
      </c>
      <c r="N1835">
        <v>130</v>
      </c>
      <c r="O1835">
        <v>11207.3</v>
      </c>
      <c r="P1835">
        <v>130</v>
      </c>
      <c r="Q1835">
        <v>130</v>
      </c>
      <c r="R1835">
        <v>11207.3</v>
      </c>
      <c r="S1835">
        <v>86.21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7" x14ac:dyDescent="0.25">
      <c r="A1836" t="s">
        <v>553</v>
      </c>
      <c r="B1836" t="s">
        <v>562</v>
      </c>
      <c r="C1836" t="s">
        <v>1859</v>
      </c>
      <c r="D1836" t="s">
        <v>637</v>
      </c>
      <c r="E1836" t="s">
        <v>1169</v>
      </c>
      <c r="F1836" t="s">
        <v>578</v>
      </c>
      <c r="G1836" s="204">
        <v>46752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T1836">
        <v>0</v>
      </c>
      <c r="U1836">
        <v>0</v>
      </c>
      <c r="V1836">
        <v>54</v>
      </c>
      <c r="W1836">
        <v>2603.34</v>
      </c>
      <c r="X1836">
        <v>54</v>
      </c>
      <c r="Y1836">
        <v>54</v>
      </c>
      <c r="Z1836">
        <v>2603.34</v>
      </c>
      <c r="AA1836">
        <v>48.21</v>
      </c>
    </row>
    <row r="1837" spans="1:27" x14ac:dyDescent="0.25">
      <c r="A1837" t="s">
        <v>207</v>
      </c>
      <c r="B1837" t="s">
        <v>556</v>
      </c>
      <c r="C1837" t="s">
        <v>1859</v>
      </c>
      <c r="D1837" t="s">
        <v>637</v>
      </c>
      <c r="E1837" t="s">
        <v>1276</v>
      </c>
      <c r="F1837" t="s">
        <v>571</v>
      </c>
      <c r="G1837" s="204"/>
      <c r="L1837">
        <v>499</v>
      </c>
      <c r="M1837">
        <v>27469.949999999997</v>
      </c>
      <c r="N1837">
        <v>400</v>
      </c>
      <c r="O1837">
        <v>22020</v>
      </c>
      <c r="P1837">
        <v>400</v>
      </c>
      <c r="Q1837">
        <v>899</v>
      </c>
      <c r="R1837">
        <v>49489.95</v>
      </c>
      <c r="S1837">
        <v>55.05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7" x14ac:dyDescent="0.25">
      <c r="A1838" t="s">
        <v>207</v>
      </c>
      <c r="B1838" t="s">
        <v>556</v>
      </c>
      <c r="C1838" t="s">
        <v>1859</v>
      </c>
      <c r="D1838" t="s">
        <v>637</v>
      </c>
      <c r="E1838" t="s">
        <v>1169</v>
      </c>
      <c r="F1838" t="s">
        <v>578</v>
      </c>
      <c r="G1838" s="204">
        <v>46752</v>
      </c>
      <c r="L1838">
        <v>0</v>
      </c>
      <c r="M1838">
        <v>0</v>
      </c>
      <c r="N1838">
        <v>100</v>
      </c>
      <c r="O1838">
        <v>5505</v>
      </c>
      <c r="P1838">
        <v>100</v>
      </c>
      <c r="Q1838">
        <v>100</v>
      </c>
      <c r="R1838">
        <v>5505</v>
      </c>
      <c r="S1838">
        <v>55.05</v>
      </c>
      <c r="T1838">
        <v>0</v>
      </c>
      <c r="U1838">
        <v>0</v>
      </c>
      <c r="V1838">
        <v>295</v>
      </c>
      <c r="W1838">
        <v>16239.75</v>
      </c>
      <c r="X1838">
        <v>295</v>
      </c>
      <c r="Y1838">
        <v>295</v>
      </c>
    </row>
    <row r="1839" spans="1:27" x14ac:dyDescent="0.25">
      <c r="A1839" t="s">
        <v>208</v>
      </c>
      <c r="B1839" t="s">
        <v>565</v>
      </c>
      <c r="C1839" t="s">
        <v>1859</v>
      </c>
      <c r="D1839" t="s">
        <v>659</v>
      </c>
      <c r="E1839" t="s">
        <v>1169</v>
      </c>
      <c r="F1839" t="s">
        <v>578</v>
      </c>
      <c r="G1839" s="204">
        <v>46752</v>
      </c>
      <c r="L1839">
        <v>50</v>
      </c>
      <c r="M1839">
        <v>3437.5</v>
      </c>
      <c r="N1839">
        <v>0</v>
      </c>
      <c r="O1839">
        <v>0</v>
      </c>
      <c r="P1839">
        <v>0</v>
      </c>
      <c r="Q1839">
        <v>50</v>
      </c>
      <c r="R1839">
        <v>3437.5</v>
      </c>
      <c r="S1839">
        <v>68.75</v>
      </c>
      <c r="T1839">
        <v>0</v>
      </c>
      <c r="U1839">
        <v>0</v>
      </c>
      <c r="V1839">
        <v>179</v>
      </c>
      <c r="W1839">
        <v>12306.25</v>
      </c>
      <c r="X1839">
        <v>179</v>
      </c>
      <c r="Y1839">
        <v>179</v>
      </c>
    </row>
    <row r="1840" spans="1:27" x14ac:dyDescent="0.25">
      <c r="A1840" t="s">
        <v>209</v>
      </c>
      <c r="B1840" t="s">
        <v>565</v>
      </c>
      <c r="C1840" t="s">
        <v>1859</v>
      </c>
      <c r="D1840" t="s">
        <v>659</v>
      </c>
      <c r="E1840" t="s">
        <v>1169</v>
      </c>
      <c r="F1840" t="s">
        <v>571</v>
      </c>
      <c r="G1840" s="204"/>
      <c r="L1840">
        <v>260</v>
      </c>
      <c r="M1840">
        <v>17498</v>
      </c>
      <c r="N1840">
        <v>0</v>
      </c>
      <c r="O1840">
        <v>0</v>
      </c>
      <c r="P1840">
        <v>0</v>
      </c>
      <c r="Q1840">
        <v>260</v>
      </c>
      <c r="T1840">
        <v>0</v>
      </c>
      <c r="U1840">
        <v>0</v>
      </c>
      <c r="V1840">
        <v>130</v>
      </c>
      <c r="W1840">
        <v>11207.3</v>
      </c>
      <c r="X1840">
        <v>130</v>
      </c>
      <c r="Y1840">
        <v>130</v>
      </c>
      <c r="Z1840">
        <v>11207.3</v>
      </c>
      <c r="AA1840">
        <v>86.21</v>
      </c>
    </row>
    <row r="1841" spans="1:27" x14ac:dyDescent="0.25">
      <c r="A1841" t="s">
        <v>1327</v>
      </c>
      <c r="B1841" t="s">
        <v>565</v>
      </c>
      <c r="C1841" t="s">
        <v>1859</v>
      </c>
      <c r="D1841" t="s">
        <v>637</v>
      </c>
      <c r="E1841" t="s">
        <v>1169</v>
      </c>
      <c r="F1841" t="s">
        <v>571</v>
      </c>
      <c r="G1841" s="204"/>
      <c r="J1841">
        <v>40</v>
      </c>
      <c r="K1841">
        <v>2692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T1841">
        <v>0</v>
      </c>
      <c r="U1841">
        <v>0</v>
      </c>
      <c r="V1841">
        <v>130</v>
      </c>
      <c r="W1841">
        <v>11207.3</v>
      </c>
      <c r="X1841">
        <v>130</v>
      </c>
      <c r="Y1841">
        <v>130</v>
      </c>
    </row>
    <row r="1842" spans="1:27" x14ac:dyDescent="0.25">
      <c r="A1842" t="s">
        <v>1326</v>
      </c>
      <c r="B1842" t="s">
        <v>562</v>
      </c>
      <c r="C1842" t="s">
        <v>1859</v>
      </c>
      <c r="D1842" t="s">
        <v>637</v>
      </c>
      <c r="E1842" t="s">
        <v>1169</v>
      </c>
      <c r="F1842" t="s">
        <v>571</v>
      </c>
      <c r="G1842" s="204"/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T1842">
        <v>0</v>
      </c>
      <c r="U1842">
        <v>0</v>
      </c>
      <c r="V1842">
        <v>130</v>
      </c>
      <c r="W1842">
        <v>11207.3</v>
      </c>
      <c r="X1842">
        <v>130</v>
      </c>
      <c r="Y1842">
        <v>130</v>
      </c>
      <c r="Z1842">
        <v>11207.3</v>
      </c>
      <c r="AA1842">
        <v>86.21</v>
      </c>
    </row>
    <row r="1843" spans="1:27" x14ac:dyDescent="0.25">
      <c r="A1843" t="s">
        <v>210</v>
      </c>
      <c r="B1843" t="s">
        <v>556</v>
      </c>
      <c r="C1843" t="s">
        <v>1859</v>
      </c>
      <c r="D1843" t="s">
        <v>637</v>
      </c>
      <c r="E1843" t="s">
        <v>1276</v>
      </c>
      <c r="F1843" t="s">
        <v>571</v>
      </c>
      <c r="G1843" s="204"/>
      <c r="J1843">
        <v>600</v>
      </c>
      <c r="K1843">
        <v>28110</v>
      </c>
      <c r="L1843">
        <v>600</v>
      </c>
      <c r="M1843">
        <v>28110</v>
      </c>
      <c r="N1843">
        <v>1200</v>
      </c>
      <c r="O1843">
        <v>57432</v>
      </c>
      <c r="P1843">
        <v>1200</v>
      </c>
      <c r="Q1843">
        <v>1800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7" x14ac:dyDescent="0.25">
      <c r="A1844" t="s">
        <v>210</v>
      </c>
      <c r="B1844" t="s">
        <v>556</v>
      </c>
      <c r="C1844" t="s">
        <v>1859</v>
      </c>
      <c r="D1844" t="s">
        <v>637</v>
      </c>
      <c r="E1844" t="s">
        <v>1169</v>
      </c>
      <c r="F1844" t="s">
        <v>578</v>
      </c>
      <c r="G1844" s="204">
        <v>46752</v>
      </c>
      <c r="L1844">
        <v>100</v>
      </c>
      <c r="M1844">
        <v>4786</v>
      </c>
      <c r="N1844">
        <v>200</v>
      </c>
      <c r="O1844">
        <v>9572</v>
      </c>
      <c r="P1844">
        <v>200</v>
      </c>
      <c r="Q1844">
        <v>300</v>
      </c>
      <c r="R1844">
        <v>14358</v>
      </c>
      <c r="S1844">
        <v>47.86</v>
      </c>
      <c r="T1844">
        <v>0</v>
      </c>
      <c r="U1844">
        <v>0</v>
      </c>
      <c r="V1844">
        <v>1190</v>
      </c>
      <c r="W1844">
        <v>56953.4</v>
      </c>
      <c r="X1844">
        <v>1190</v>
      </c>
      <c r="Y1844">
        <v>1190</v>
      </c>
    </row>
    <row r="1845" spans="1:27" x14ac:dyDescent="0.25">
      <c r="A1845" t="s">
        <v>932</v>
      </c>
      <c r="B1845" t="s">
        <v>562</v>
      </c>
      <c r="C1845" t="s">
        <v>1859</v>
      </c>
      <c r="D1845" t="s">
        <v>964</v>
      </c>
      <c r="E1845" t="s">
        <v>1169</v>
      </c>
      <c r="F1845" t="s">
        <v>571</v>
      </c>
      <c r="G1845" s="204"/>
      <c r="L1845">
        <v>0</v>
      </c>
      <c r="M1845">
        <v>0</v>
      </c>
      <c r="N1845">
        <v>54</v>
      </c>
      <c r="O1845">
        <v>3712.5</v>
      </c>
      <c r="P1845">
        <v>54</v>
      </c>
      <c r="Q1845">
        <v>54</v>
      </c>
      <c r="R1845">
        <v>3712.5</v>
      </c>
      <c r="S1845">
        <v>68.75</v>
      </c>
      <c r="T1845">
        <v>0</v>
      </c>
      <c r="U1845">
        <v>0</v>
      </c>
      <c r="V1845">
        <v>100</v>
      </c>
      <c r="W1845">
        <v>6875</v>
      </c>
      <c r="X1845">
        <v>100</v>
      </c>
      <c r="Y1845">
        <v>100</v>
      </c>
    </row>
    <row r="1846" spans="1:27" x14ac:dyDescent="0.25">
      <c r="A1846" t="s">
        <v>1323</v>
      </c>
      <c r="B1846" t="s">
        <v>562</v>
      </c>
      <c r="C1846" t="s">
        <v>1859</v>
      </c>
      <c r="D1846" t="s">
        <v>964</v>
      </c>
      <c r="E1846" t="s">
        <v>1169</v>
      </c>
      <c r="F1846" t="s">
        <v>571</v>
      </c>
      <c r="G1846" s="204"/>
      <c r="J1846">
        <v>379</v>
      </c>
      <c r="K1846">
        <v>25506.699999999997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T1846">
        <v>0</v>
      </c>
      <c r="U1846">
        <v>0</v>
      </c>
      <c r="V1846">
        <v>380</v>
      </c>
      <c r="W1846">
        <v>32759.8</v>
      </c>
      <c r="X1846">
        <v>380</v>
      </c>
      <c r="Y1846">
        <v>380</v>
      </c>
    </row>
    <row r="1847" spans="1:27" x14ac:dyDescent="0.25">
      <c r="A1847" t="s">
        <v>1324</v>
      </c>
      <c r="B1847" t="s">
        <v>562</v>
      </c>
      <c r="C1847" t="s">
        <v>1859</v>
      </c>
      <c r="D1847" t="s">
        <v>964</v>
      </c>
      <c r="E1847" t="s">
        <v>1169</v>
      </c>
      <c r="F1847" t="s">
        <v>571</v>
      </c>
      <c r="G1847" s="204"/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T1847">
        <v>0</v>
      </c>
      <c r="U1847">
        <v>0</v>
      </c>
      <c r="V1847">
        <v>190</v>
      </c>
      <c r="W1847">
        <v>16379.9</v>
      </c>
      <c r="X1847">
        <v>190</v>
      </c>
      <c r="Y1847">
        <v>190</v>
      </c>
      <c r="Z1847">
        <v>16379.9</v>
      </c>
      <c r="AA1847">
        <v>86.21</v>
      </c>
    </row>
    <row r="1848" spans="1:27" x14ac:dyDescent="0.25">
      <c r="A1848" t="s">
        <v>1325</v>
      </c>
      <c r="B1848" t="s">
        <v>562</v>
      </c>
      <c r="C1848" t="s">
        <v>1859</v>
      </c>
      <c r="D1848" t="s">
        <v>637</v>
      </c>
      <c r="E1848" t="s">
        <v>1169</v>
      </c>
      <c r="F1848" t="s">
        <v>571</v>
      </c>
      <c r="G1848" s="204"/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T1848">
        <v>0</v>
      </c>
      <c r="U1848">
        <v>0</v>
      </c>
      <c r="V1848">
        <v>190</v>
      </c>
      <c r="W1848">
        <v>16379.9</v>
      </c>
      <c r="X1848">
        <v>190</v>
      </c>
      <c r="Y1848">
        <v>190</v>
      </c>
      <c r="Z1848">
        <v>16379.9</v>
      </c>
      <c r="AA1848">
        <v>86.21</v>
      </c>
    </row>
    <row r="1849" spans="1:27" x14ac:dyDescent="0.25">
      <c r="A1849" t="s">
        <v>1545</v>
      </c>
      <c r="B1849" t="s">
        <v>556</v>
      </c>
      <c r="C1849" t="s">
        <v>1859</v>
      </c>
      <c r="D1849" t="s">
        <v>1861</v>
      </c>
      <c r="E1849" t="s">
        <v>1295</v>
      </c>
      <c r="F1849" t="s">
        <v>571</v>
      </c>
      <c r="G1849" s="204"/>
      <c r="J1849">
        <v>600</v>
      </c>
      <c r="K1849">
        <v>29178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7" x14ac:dyDescent="0.25">
      <c r="A1850" t="s">
        <v>868</v>
      </c>
      <c r="B1850" t="s">
        <v>565</v>
      </c>
      <c r="C1850" t="s">
        <v>1859</v>
      </c>
      <c r="D1850" t="s">
        <v>634</v>
      </c>
      <c r="E1850" t="s">
        <v>1215</v>
      </c>
      <c r="F1850" t="s">
        <v>571</v>
      </c>
      <c r="G1850" s="204"/>
      <c r="J1850">
        <v>76</v>
      </c>
      <c r="K1850">
        <v>1500.24</v>
      </c>
      <c r="L1850">
        <v>500</v>
      </c>
      <c r="M1850">
        <v>9870</v>
      </c>
      <c r="N1850">
        <v>0</v>
      </c>
      <c r="O1850">
        <v>0</v>
      </c>
      <c r="P1850">
        <v>0</v>
      </c>
      <c r="Q1850">
        <v>500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7" x14ac:dyDescent="0.25">
      <c r="A1851" t="s">
        <v>211</v>
      </c>
      <c r="B1851" t="s">
        <v>556</v>
      </c>
      <c r="C1851" t="s">
        <v>1859</v>
      </c>
      <c r="D1851" t="s">
        <v>601</v>
      </c>
      <c r="E1851" t="s">
        <v>1167</v>
      </c>
      <c r="F1851" t="s">
        <v>571</v>
      </c>
      <c r="G1851" s="204"/>
      <c r="H1851">
        <v>134</v>
      </c>
      <c r="I1851">
        <v>227328.9</v>
      </c>
      <c r="L1851">
        <v>127</v>
      </c>
      <c r="M1851">
        <v>245804.35000000003</v>
      </c>
      <c r="N1851">
        <v>45</v>
      </c>
      <c r="O1851">
        <v>87801.75</v>
      </c>
      <c r="P1851">
        <v>45</v>
      </c>
      <c r="Q1851">
        <v>172</v>
      </c>
      <c r="T1851">
        <v>0</v>
      </c>
      <c r="U1851">
        <v>0</v>
      </c>
      <c r="V1851">
        <v>135</v>
      </c>
      <c r="W1851">
        <v>263405.25</v>
      </c>
      <c r="X1851">
        <v>135</v>
      </c>
      <c r="Y1851">
        <v>135</v>
      </c>
    </row>
    <row r="1852" spans="1:27" x14ac:dyDescent="0.25">
      <c r="A1852" t="s">
        <v>212</v>
      </c>
      <c r="B1852" t="s">
        <v>556</v>
      </c>
      <c r="C1852" t="s">
        <v>1859</v>
      </c>
      <c r="D1852" t="s">
        <v>651</v>
      </c>
      <c r="E1852" t="s">
        <v>1295</v>
      </c>
      <c r="F1852" t="s">
        <v>571</v>
      </c>
      <c r="G1852" s="204"/>
      <c r="H1852">
        <v>1500</v>
      </c>
      <c r="I1852">
        <v>30225</v>
      </c>
      <c r="L1852">
        <v>1500</v>
      </c>
      <c r="M1852">
        <v>30225</v>
      </c>
      <c r="N1852">
        <v>0</v>
      </c>
      <c r="O1852">
        <v>0</v>
      </c>
      <c r="P1852">
        <v>0</v>
      </c>
      <c r="Q1852">
        <v>1500</v>
      </c>
      <c r="R1852">
        <v>30225</v>
      </c>
      <c r="S1852">
        <v>20.149999999999999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7" x14ac:dyDescent="0.25">
      <c r="A1853" t="s">
        <v>213</v>
      </c>
      <c r="B1853" t="s">
        <v>556</v>
      </c>
      <c r="C1853" t="s">
        <v>1859</v>
      </c>
      <c r="D1853" t="s">
        <v>602</v>
      </c>
      <c r="E1853" t="s">
        <v>1163</v>
      </c>
      <c r="F1853" t="s">
        <v>571</v>
      </c>
      <c r="G1853" s="204"/>
      <c r="J1853">
        <v>3139</v>
      </c>
      <c r="K1853">
        <v>162749.93</v>
      </c>
      <c r="L1853">
        <v>7295</v>
      </c>
      <c r="M1853">
        <v>395903.55000000005</v>
      </c>
      <c r="N1853">
        <v>2890</v>
      </c>
      <c r="O1853">
        <v>166897.5</v>
      </c>
      <c r="P1853">
        <v>2890</v>
      </c>
      <c r="Q1853">
        <v>10185</v>
      </c>
      <c r="T1853">
        <v>0</v>
      </c>
      <c r="U1853">
        <v>0</v>
      </c>
      <c r="V1853">
        <v>5020</v>
      </c>
      <c r="W1853">
        <v>289905</v>
      </c>
      <c r="X1853">
        <v>5020</v>
      </c>
      <c r="Y1853">
        <v>5020</v>
      </c>
    </row>
    <row r="1854" spans="1:27" x14ac:dyDescent="0.25">
      <c r="A1854" t="s">
        <v>865</v>
      </c>
      <c r="B1854" t="s">
        <v>565</v>
      </c>
      <c r="C1854" t="s">
        <v>1859</v>
      </c>
      <c r="D1854" t="s">
        <v>634</v>
      </c>
      <c r="E1854" t="s">
        <v>1215</v>
      </c>
      <c r="F1854" t="s">
        <v>571</v>
      </c>
      <c r="G1854" s="204"/>
      <c r="J1854">
        <v>80</v>
      </c>
      <c r="K1854">
        <v>4364</v>
      </c>
      <c r="L1854">
        <v>600</v>
      </c>
      <c r="M1854">
        <v>46668</v>
      </c>
      <c r="N1854">
        <v>100</v>
      </c>
      <c r="O1854">
        <v>7778</v>
      </c>
      <c r="P1854">
        <v>100</v>
      </c>
      <c r="Q1854">
        <v>700</v>
      </c>
      <c r="T1854">
        <v>0</v>
      </c>
      <c r="U1854">
        <v>0</v>
      </c>
      <c r="V1854">
        <v>300</v>
      </c>
      <c r="W1854">
        <v>23334</v>
      </c>
      <c r="X1854">
        <v>300</v>
      </c>
      <c r="Y1854">
        <v>300</v>
      </c>
    </row>
    <row r="1855" spans="1:27" x14ac:dyDescent="0.25">
      <c r="A1855" t="s">
        <v>344</v>
      </c>
      <c r="B1855" t="s">
        <v>556</v>
      </c>
      <c r="C1855" t="s">
        <v>1859</v>
      </c>
      <c r="D1855" t="s">
        <v>592</v>
      </c>
      <c r="E1855" t="s">
        <v>1167</v>
      </c>
      <c r="F1855" t="s">
        <v>571</v>
      </c>
      <c r="G1855" s="204"/>
      <c r="L1855">
        <v>551</v>
      </c>
      <c r="M1855">
        <v>370062.62</v>
      </c>
      <c r="N1855">
        <v>130</v>
      </c>
      <c r="O1855">
        <v>87310.6</v>
      </c>
      <c r="P1855">
        <v>130</v>
      </c>
      <c r="Q1855">
        <v>681</v>
      </c>
      <c r="T1855">
        <v>0</v>
      </c>
      <c r="U1855">
        <v>0</v>
      </c>
      <c r="V1855">
        <v>346</v>
      </c>
      <c r="W1855">
        <v>232380.52000000002</v>
      </c>
      <c r="X1855">
        <v>346</v>
      </c>
      <c r="Y1855">
        <v>346</v>
      </c>
      <c r="Z1855">
        <v>232380.52</v>
      </c>
      <c r="AA1855">
        <v>671.62</v>
      </c>
    </row>
    <row r="1856" spans="1:27" x14ac:dyDescent="0.25">
      <c r="A1856" t="s">
        <v>345</v>
      </c>
      <c r="B1856" t="s">
        <v>556</v>
      </c>
      <c r="C1856" t="s">
        <v>1859</v>
      </c>
      <c r="D1856" t="s">
        <v>581</v>
      </c>
      <c r="E1856" t="s">
        <v>1213</v>
      </c>
      <c r="F1856" t="s">
        <v>571</v>
      </c>
      <c r="G1856" s="204"/>
      <c r="J1856">
        <v>139</v>
      </c>
      <c r="K1856">
        <v>41417.83</v>
      </c>
      <c r="L1856">
        <v>565</v>
      </c>
      <c r="M1856">
        <v>168353.05000000002</v>
      </c>
      <c r="N1856">
        <v>216</v>
      </c>
      <c r="O1856">
        <v>64361.520000000004</v>
      </c>
      <c r="P1856">
        <v>216</v>
      </c>
      <c r="Q1856">
        <v>781</v>
      </c>
      <c r="T1856">
        <v>0</v>
      </c>
      <c r="U1856">
        <v>0</v>
      </c>
      <c r="V1856">
        <v>648</v>
      </c>
      <c r="W1856">
        <v>193084.56</v>
      </c>
      <c r="X1856">
        <v>648</v>
      </c>
      <c r="Y1856">
        <v>648</v>
      </c>
    </row>
    <row r="1857" spans="1:27" x14ac:dyDescent="0.25">
      <c r="A1857" t="s">
        <v>345</v>
      </c>
      <c r="B1857" t="s">
        <v>556</v>
      </c>
      <c r="C1857" t="s">
        <v>1859</v>
      </c>
      <c r="D1857" t="s">
        <v>581</v>
      </c>
      <c r="E1857" t="s">
        <v>1169</v>
      </c>
      <c r="F1857" t="s">
        <v>571</v>
      </c>
      <c r="G1857" s="204"/>
      <c r="L1857">
        <v>26</v>
      </c>
      <c r="M1857">
        <v>7747.22</v>
      </c>
      <c r="N1857">
        <v>91</v>
      </c>
      <c r="O1857">
        <v>27115.27</v>
      </c>
      <c r="P1857">
        <v>91</v>
      </c>
      <c r="Q1857">
        <v>117</v>
      </c>
      <c r="R1857">
        <v>34862.49</v>
      </c>
      <c r="S1857">
        <v>297.96999999999997</v>
      </c>
      <c r="T1857">
        <v>0</v>
      </c>
      <c r="U1857">
        <v>0</v>
      </c>
      <c r="V1857">
        <v>190</v>
      </c>
      <c r="W1857">
        <v>56614.3</v>
      </c>
      <c r="X1857">
        <v>190</v>
      </c>
      <c r="Y1857">
        <v>190</v>
      </c>
    </row>
    <row r="1858" spans="1:27" x14ac:dyDescent="0.25">
      <c r="A1858" t="s">
        <v>345</v>
      </c>
      <c r="B1858" t="s">
        <v>556</v>
      </c>
      <c r="C1858" t="s">
        <v>1859</v>
      </c>
      <c r="D1858" t="s">
        <v>581</v>
      </c>
      <c r="E1858" t="s">
        <v>1337</v>
      </c>
      <c r="F1858" t="s">
        <v>571</v>
      </c>
      <c r="G1858" s="204"/>
      <c r="L1858">
        <v>3198</v>
      </c>
      <c r="M1858">
        <v>94054.680000000008</v>
      </c>
      <c r="N1858">
        <v>0</v>
      </c>
      <c r="O1858">
        <v>0</v>
      </c>
      <c r="P1858">
        <v>0</v>
      </c>
      <c r="Q1858">
        <v>3198</v>
      </c>
      <c r="R1858">
        <v>94054.680000000008</v>
      </c>
      <c r="S1858">
        <v>29.410469043151974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7" x14ac:dyDescent="0.25">
      <c r="A1859" t="s">
        <v>214</v>
      </c>
      <c r="B1859" t="s">
        <v>556</v>
      </c>
      <c r="C1859" t="s">
        <v>1859</v>
      </c>
      <c r="D1859" t="s">
        <v>587</v>
      </c>
      <c r="E1859" t="s">
        <v>1167</v>
      </c>
      <c r="F1859" t="s">
        <v>571</v>
      </c>
      <c r="G1859" s="204"/>
      <c r="J1859">
        <v>267</v>
      </c>
      <c r="K1859">
        <v>373354.11</v>
      </c>
      <c r="L1859">
        <v>560</v>
      </c>
      <c r="M1859">
        <v>783064.80000000028</v>
      </c>
      <c r="N1859">
        <v>126</v>
      </c>
      <c r="O1859">
        <v>176189.58000000002</v>
      </c>
      <c r="P1859">
        <v>126</v>
      </c>
      <c r="Q1859">
        <v>686</v>
      </c>
      <c r="T1859">
        <v>0</v>
      </c>
      <c r="U1859">
        <v>0</v>
      </c>
      <c r="V1859">
        <v>357</v>
      </c>
      <c r="W1859">
        <v>496704.51</v>
      </c>
      <c r="X1859">
        <v>357</v>
      </c>
      <c r="Y1859">
        <v>357</v>
      </c>
    </row>
    <row r="1860" spans="1:27" x14ac:dyDescent="0.25">
      <c r="A1860" t="s">
        <v>215</v>
      </c>
      <c r="B1860" t="s">
        <v>556</v>
      </c>
      <c r="C1860" t="s">
        <v>1859</v>
      </c>
      <c r="D1860" t="s">
        <v>587</v>
      </c>
      <c r="E1860" t="s">
        <v>1167</v>
      </c>
      <c r="F1860" t="s">
        <v>571</v>
      </c>
      <c r="G1860" s="204"/>
      <c r="J1860">
        <v>1690</v>
      </c>
      <c r="K1860">
        <v>507253.50000000012</v>
      </c>
      <c r="L1860">
        <v>2114</v>
      </c>
      <c r="M1860">
        <v>634517.10000000021</v>
      </c>
      <c r="N1860">
        <v>89</v>
      </c>
      <c r="O1860">
        <v>26713.35</v>
      </c>
      <c r="P1860">
        <v>89</v>
      </c>
      <c r="Q1860">
        <v>2203</v>
      </c>
      <c r="T1860">
        <v>0</v>
      </c>
      <c r="U1860">
        <v>0</v>
      </c>
      <c r="V1860">
        <v>1810</v>
      </c>
      <c r="W1860">
        <v>543271.5</v>
      </c>
      <c r="X1860">
        <v>1810</v>
      </c>
      <c r="Y1860">
        <v>1810</v>
      </c>
    </row>
    <row r="1861" spans="1:27" x14ac:dyDescent="0.25">
      <c r="A1861" t="s">
        <v>22</v>
      </c>
      <c r="B1861" t="s">
        <v>565</v>
      </c>
      <c r="C1861" t="s">
        <v>564</v>
      </c>
      <c r="D1861" t="s">
        <v>674</v>
      </c>
      <c r="E1861" t="s">
        <v>1167</v>
      </c>
      <c r="F1861" t="s">
        <v>571</v>
      </c>
      <c r="G1861" s="204"/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T1861">
        <v>0</v>
      </c>
      <c r="U1861">
        <v>0</v>
      </c>
      <c r="V1861">
        <v>65</v>
      </c>
      <c r="W1861">
        <v>4343.95</v>
      </c>
      <c r="X1861">
        <v>65</v>
      </c>
      <c r="Y1861">
        <v>65</v>
      </c>
      <c r="Z1861">
        <v>4343.95</v>
      </c>
      <c r="AA1861">
        <v>66.83</v>
      </c>
    </row>
    <row r="1862" spans="1:27" x14ac:dyDescent="0.25">
      <c r="A1862" t="s">
        <v>22</v>
      </c>
      <c r="B1862" t="s">
        <v>565</v>
      </c>
      <c r="C1862" t="s">
        <v>564</v>
      </c>
      <c r="D1862" t="s">
        <v>674</v>
      </c>
      <c r="E1862" t="s">
        <v>1243</v>
      </c>
      <c r="F1862" t="s">
        <v>571</v>
      </c>
      <c r="G1862" s="204"/>
      <c r="L1862">
        <v>136</v>
      </c>
      <c r="M1862">
        <v>12223.68</v>
      </c>
      <c r="N1862">
        <v>0</v>
      </c>
      <c r="O1862">
        <v>0</v>
      </c>
      <c r="P1862">
        <v>0</v>
      </c>
      <c r="Q1862">
        <v>136</v>
      </c>
      <c r="R1862">
        <v>12223.68</v>
      </c>
      <c r="S1862">
        <v>89.88</v>
      </c>
      <c r="T1862">
        <v>0</v>
      </c>
      <c r="U1862">
        <v>0</v>
      </c>
      <c r="V1862">
        <v>500</v>
      </c>
      <c r="W1862">
        <v>42250</v>
      </c>
      <c r="X1862">
        <v>500</v>
      </c>
      <c r="Y1862">
        <v>500</v>
      </c>
    </row>
    <row r="1863" spans="1:27" x14ac:dyDescent="0.25">
      <c r="A1863" t="s">
        <v>1024</v>
      </c>
      <c r="B1863" t="s">
        <v>562</v>
      </c>
      <c r="C1863" t="s">
        <v>1860</v>
      </c>
      <c r="D1863" t="s">
        <v>1878</v>
      </c>
      <c r="E1863" t="s">
        <v>1132</v>
      </c>
      <c r="F1863" t="s">
        <v>571</v>
      </c>
      <c r="G1863" s="204"/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T1863">
        <v>0</v>
      </c>
      <c r="U1863">
        <v>0</v>
      </c>
      <c r="V1863">
        <v>42</v>
      </c>
      <c r="W1863">
        <v>0</v>
      </c>
      <c r="X1863">
        <v>0</v>
      </c>
      <c r="Y1863">
        <v>0</v>
      </c>
      <c r="Z1863">
        <v>0</v>
      </c>
    </row>
    <row r="1864" spans="1:27" x14ac:dyDescent="0.25">
      <c r="A1864" t="s">
        <v>1024</v>
      </c>
      <c r="B1864" t="s">
        <v>562</v>
      </c>
      <c r="C1864" t="s">
        <v>1860</v>
      </c>
      <c r="D1864" t="s">
        <v>1878</v>
      </c>
      <c r="E1864" t="s">
        <v>1216</v>
      </c>
      <c r="F1864" t="s">
        <v>571</v>
      </c>
      <c r="G1864" s="204"/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T1864">
        <v>0</v>
      </c>
      <c r="U1864">
        <v>0</v>
      </c>
      <c r="V1864">
        <v>42</v>
      </c>
      <c r="W1864">
        <v>43117.2</v>
      </c>
      <c r="X1864">
        <v>42</v>
      </c>
      <c r="Y1864">
        <v>42</v>
      </c>
      <c r="Z1864">
        <v>43117.2</v>
      </c>
      <c r="AA1864">
        <v>1026.5999999999999</v>
      </c>
    </row>
    <row r="1865" spans="1:27" x14ac:dyDescent="0.25">
      <c r="A1865" t="s">
        <v>216</v>
      </c>
      <c r="B1865" t="s">
        <v>556</v>
      </c>
      <c r="C1865" t="s">
        <v>1859</v>
      </c>
      <c r="D1865" t="s">
        <v>599</v>
      </c>
      <c r="E1865" t="s">
        <v>1163</v>
      </c>
      <c r="F1865" t="s">
        <v>571</v>
      </c>
      <c r="G1865" s="204"/>
      <c r="J1865">
        <v>1905</v>
      </c>
      <c r="K1865">
        <v>119208.54999999999</v>
      </c>
      <c r="L1865">
        <v>3986</v>
      </c>
      <c r="M1865">
        <v>252043.37999999998</v>
      </c>
      <c r="N1865">
        <v>1685</v>
      </c>
      <c r="O1865">
        <v>108867.85</v>
      </c>
      <c r="P1865">
        <v>1685</v>
      </c>
      <c r="Q1865">
        <v>5671</v>
      </c>
      <c r="T1865">
        <v>0</v>
      </c>
      <c r="U1865">
        <v>0</v>
      </c>
      <c r="V1865">
        <v>2027</v>
      </c>
      <c r="W1865">
        <v>130964.47</v>
      </c>
      <c r="X1865">
        <v>2027</v>
      </c>
      <c r="Y1865">
        <v>2027</v>
      </c>
    </row>
    <row r="1866" spans="1:27" x14ac:dyDescent="0.25">
      <c r="A1866" t="s">
        <v>1819</v>
      </c>
      <c r="C1866" t="s">
        <v>1860</v>
      </c>
      <c r="D1866" t="s">
        <v>561</v>
      </c>
      <c r="E1866" t="s">
        <v>1789</v>
      </c>
      <c r="F1866" t="s">
        <v>571</v>
      </c>
      <c r="G1866" s="204"/>
      <c r="J1866">
        <v>124</v>
      </c>
      <c r="K1866">
        <v>8475.4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7" x14ac:dyDescent="0.25">
      <c r="A1867" t="s">
        <v>1820</v>
      </c>
      <c r="C1867" t="s">
        <v>569</v>
      </c>
      <c r="D1867" t="s">
        <v>569</v>
      </c>
      <c r="E1867" t="s">
        <v>1789</v>
      </c>
      <c r="F1867" t="s">
        <v>571</v>
      </c>
      <c r="G1867" s="204"/>
      <c r="J1867">
        <v>68</v>
      </c>
      <c r="K1867">
        <v>6921.46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7" x14ac:dyDescent="0.25">
      <c r="A1868" t="s">
        <v>217</v>
      </c>
      <c r="B1868" t="s">
        <v>556</v>
      </c>
      <c r="C1868" t="s">
        <v>1859</v>
      </c>
      <c r="D1868" t="s">
        <v>602</v>
      </c>
      <c r="E1868" t="s">
        <v>1163</v>
      </c>
      <c r="F1868" t="s">
        <v>571</v>
      </c>
      <c r="G1868" s="204"/>
      <c r="H1868">
        <v>100</v>
      </c>
      <c r="I1868">
        <v>5874</v>
      </c>
      <c r="J1868">
        <v>100</v>
      </c>
      <c r="K1868">
        <v>5874</v>
      </c>
      <c r="L1868">
        <v>100</v>
      </c>
      <c r="M1868">
        <v>5874</v>
      </c>
      <c r="N1868">
        <v>200</v>
      </c>
      <c r="O1868">
        <v>11866</v>
      </c>
      <c r="P1868">
        <v>200</v>
      </c>
      <c r="Q1868">
        <v>300</v>
      </c>
      <c r="T1868">
        <v>0</v>
      </c>
      <c r="U1868">
        <v>0</v>
      </c>
      <c r="V1868">
        <v>500</v>
      </c>
      <c r="W1868">
        <v>29665</v>
      </c>
      <c r="X1868">
        <v>500</v>
      </c>
      <c r="Y1868">
        <v>500</v>
      </c>
    </row>
    <row r="1869" spans="1:27" x14ac:dyDescent="0.25">
      <c r="A1869" t="s">
        <v>217</v>
      </c>
      <c r="B1869" t="s">
        <v>556</v>
      </c>
      <c r="C1869" t="s">
        <v>1859</v>
      </c>
      <c r="D1869" t="s">
        <v>602</v>
      </c>
      <c r="E1869" t="s">
        <v>1295</v>
      </c>
      <c r="F1869" t="s">
        <v>571</v>
      </c>
      <c r="G1869" s="204"/>
      <c r="L1869">
        <v>1000</v>
      </c>
      <c r="M1869">
        <v>68010</v>
      </c>
      <c r="N1869">
        <v>0</v>
      </c>
      <c r="O1869">
        <v>0</v>
      </c>
      <c r="P1869">
        <v>0</v>
      </c>
      <c r="Q1869">
        <v>1000</v>
      </c>
      <c r="T1869">
        <v>0</v>
      </c>
      <c r="U1869">
        <v>0</v>
      </c>
      <c r="V1869">
        <v>500</v>
      </c>
      <c r="W1869">
        <v>34005</v>
      </c>
      <c r="X1869">
        <v>500</v>
      </c>
      <c r="Y1869">
        <v>500</v>
      </c>
      <c r="Z1869">
        <v>34005</v>
      </c>
      <c r="AA1869">
        <v>68.010000000000005</v>
      </c>
    </row>
    <row r="1870" spans="1:27" x14ac:dyDescent="0.25">
      <c r="A1870" t="s">
        <v>218</v>
      </c>
      <c r="B1870" t="s">
        <v>556</v>
      </c>
      <c r="C1870" t="s">
        <v>1859</v>
      </c>
      <c r="D1870" t="s">
        <v>599</v>
      </c>
      <c r="E1870" t="s">
        <v>1163</v>
      </c>
      <c r="F1870" t="s">
        <v>571</v>
      </c>
      <c r="G1870" s="204"/>
      <c r="L1870">
        <v>3168</v>
      </c>
      <c r="M1870">
        <v>205254.72</v>
      </c>
      <c r="N1870">
        <v>3000</v>
      </c>
      <c r="O1870">
        <v>196320</v>
      </c>
      <c r="P1870">
        <v>3000</v>
      </c>
      <c r="Q1870">
        <v>6168</v>
      </c>
      <c r="T1870">
        <v>0</v>
      </c>
      <c r="U1870">
        <v>0</v>
      </c>
      <c r="V1870">
        <v>1000</v>
      </c>
      <c r="W1870">
        <v>65440</v>
      </c>
      <c r="X1870">
        <v>1000</v>
      </c>
      <c r="Y1870">
        <v>1000</v>
      </c>
      <c r="Z1870">
        <v>65440</v>
      </c>
      <c r="AA1870">
        <v>65.44</v>
      </c>
    </row>
    <row r="1871" spans="1:27" x14ac:dyDescent="0.25">
      <c r="A1871" t="s">
        <v>219</v>
      </c>
      <c r="B1871" t="s">
        <v>556</v>
      </c>
      <c r="C1871" t="s">
        <v>1859</v>
      </c>
      <c r="D1871" t="s">
        <v>599</v>
      </c>
      <c r="E1871" t="s">
        <v>1163</v>
      </c>
      <c r="F1871" t="s">
        <v>571</v>
      </c>
      <c r="G1871" s="204"/>
      <c r="L1871">
        <v>3888</v>
      </c>
      <c r="M1871">
        <v>259804.68999999994</v>
      </c>
      <c r="N1871">
        <v>1617</v>
      </c>
      <c r="O1871">
        <v>110489.61</v>
      </c>
      <c r="P1871">
        <v>1617</v>
      </c>
      <c r="Q1871">
        <v>5505</v>
      </c>
      <c r="T1871">
        <v>0</v>
      </c>
      <c r="U1871">
        <v>0</v>
      </c>
      <c r="V1871">
        <v>2000</v>
      </c>
      <c r="W1871">
        <v>136660</v>
      </c>
      <c r="X1871">
        <v>2000</v>
      </c>
      <c r="Y1871">
        <v>2000</v>
      </c>
      <c r="Z1871">
        <v>136660</v>
      </c>
      <c r="AA1871">
        <v>68.33</v>
      </c>
    </row>
    <row r="1872" spans="1:27" x14ac:dyDescent="0.25">
      <c r="A1872" t="s">
        <v>346</v>
      </c>
      <c r="B1872" t="s">
        <v>565</v>
      </c>
      <c r="C1872" t="s">
        <v>1859</v>
      </c>
      <c r="D1872" t="s">
        <v>610</v>
      </c>
      <c r="E1872" t="s">
        <v>1169</v>
      </c>
      <c r="F1872" t="s">
        <v>571</v>
      </c>
      <c r="G1872" s="204"/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T1872">
        <v>0</v>
      </c>
      <c r="U1872">
        <v>0</v>
      </c>
      <c r="V1872">
        <v>84</v>
      </c>
      <c r="W1872">
        <v>21840</v>
      </c>
      <c r="X1872">
        <v>84</v>
      </c>
      <c r="Y1872">
        <v>84</v>
      </c>
      <c r="Z1872">
        <v>21840</v>
      </c>
      <c r="AA1872">
        <v>260</v>
      </c>
    </row>
    <row r="1873" spans="1:27" x14ac:dyDescent="0.25">
      <c r="A1873" t="s">
        <v>347</v>
      </c>
      <c r="B1873" t="s">
        <v>565</v>
      </c>
      <c r="C1873" t="s">
        <v>1859</v>
      </c>
      <c r="D1873" t="s">
        <v>610</v>
      </c>
      <c r="E1873" t="s">
        <v>1169</v>
      </c>
      <c r="F1873" t="s">
        <v>571</v>
      </c>
      <c r="G1873" s="204"/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T1873">
        <v>0</v>
      </c>
      <c r="U1873">
        <v>0</v>
      </c>
      <c r="V1873">
        <v>163</v>
      </c>
      <c r="W1873">
        <v>25917</v>
      </c>
      <c r="X1873">
        <v>163</v>
      </c>
      <c r="Y1873">
        <v>163</v>
      </c>
      <c r="Z1873">
        <v>25917</v>
      </c>
      <c r="AA1873">
        <v>159</v>
      </c>
    </row>
    <row r="1874" spans="1:27" x14ac:dyDescent="0.25">
      <c r="A1874" t="s">
        <v>220</v>
      </c>
      <c r="B1874" t="s">
        <v>562</v>
      </c>
      <c r="C1874" t="s">
        <v>1859</v>
      </c>
      <c r="D1874" t="s">
        <v>617</v>
      </c>
      <c r="E1874" t="s">
        <v>1295</v>
      </c>
      <c r="F1874" t="s">
        <v>571</v>
      </c>
      <c r="G1874" s="204"/>
      <c r="L1874">
        <v>250</v>
      </c>
      <c r="M1874">
        <v>220869.4</v>
      </c>
      <c r="N1874">
        <v>0</v>
      </c>
      <c r="O1874">
        <v>0</v>
      </c>
      <c r="P1874">
        <v>0</v>
      </c>
      <c r="Q1874">
        <v>250</v>
      </c>
      <c r="T1874">
        <v>0</v>
      </c>
      <c r="U1874">
        <v>0</v>
      </c>
      <c r="V1874">
        <v>100</v>
      </c>
      <c r="W1874">
        <v>91244</v>
      </c>
      <c r="X1874">
        <v>100</v>
      </c>
      <c r="Y1874">
        <v>100</v>
      </c>
      <c r="Z1874">
        <v>91244</v>
      </c>
      <c r="AA1874">
        <v>912.44</v>
      </c>
    </row>
    <row r="1875" spans="1:27" x14ac:dyDescent="0.25">
      <c r="A1875" t="s">
        <v>348</v>
      </c>
      <c r="B1875" t="s">
        <v>565</v>
      </c>
      <c r="C1875" t="s">
        <v>1859</v>
      </c>
      <c r="D1875" t="s">
        <v>630</v>
      </c>
      <c r="E1875" t="s">
        <v>1167</v>
      </c>
      <c r="F1875" t="s">
        <v>571</v>
      </c>
      <c r="G1875" s="204"/>
      <c r="L1875">
        <v>11</v>
      </c>
      <c r="M1875">
        <v>50123.920000000006</v>
      </c>
      <c r="N1875">
        <v>6</v>
      </c>
      <c r="O1875">
        <v>27340.32</v>
      </c>
      <c r="P1875">
        <v>6</v>
      </c>
      <c r="Q1875">
        <v>17</v>
      </c>
      <c r="R1875">
        <v>77464.240000000005</v>
      </c>
      <c r="S1875">
        <v>4556.72</v>
      </c>
      <c r="T1875">
        <v>0</v>
      </c>
      <c r="U1875">
        <v>0</v>
      </c>
      <c r="V1875">
        <v>20</v>
      </c>
      <c r="W1875">
        <v>91134.400000000009</v>
      </c>
      <c r="X1875">
        <v>20</v>
      </c>
      <c r="Y1875">
        <v>20</v>
      </c>
    </row>
    <row r="1876" spans="1:27" x14ac:dyDescent="0.25">
      <c r="A1876" t="s">
        <v>1211</v>
      </c>
      <c r="B1876" t="s">
        <v>565</v>
      </c>
      <c r="C1876" t="s">
        <v>1859</v>
      </c>
      <c r="D1876" t="s">
        <v>598</v>
      </c>
      <c r="E1876" t="s">
        <v>1210</v>
      </c>
      <c r="F1876" t="s">
        <v>571</v>
      </c>
      <c r="G1876" s="204"/>
      <c r="H1876">
        <v>90</v>
      </c>
      <c r="I1876">
        <v>4265.6000000000004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T1876">
        <v>0</v>
      </c>
      <c r="U1876">
        <v>0</v>
      </c>
      <c r="V1876">
        <v>150</v>
      </c>
      <c r="W1876">
        <v>207948</v>
      </c>
      <c r="X1876">
        <v>150</v>
      </c>
      <c r="Y1876">
        <v>150</v>
      </c>
    </row>
    <row r="1877" spans="1:27" x14ac:dyDescent="0.25">
      <c r="A1877" t="s">
        <v>902</v>
      </c>
      <c r="B1877" t="s">
        <v>556</v>
      </c>
      <c r="C1877" t="s">
        <v>564</v>
      </c>
      <c r="D1877" t="s">
        <v>674</v>
      </c>
      <c r="E1877" t="s">
        <v>1167</v>
      </c>
      <c r="F1877" t="s">
        <v>571</v>
      </c>
      <c r="G1877" s="204"/>
      <c r="L1877">
        <v>0</v>
      </c>
      <c r="M1877">
        <v>0</v>
      </c>
      <c r="N1877">
        <v>57</v>
      </c>
      <c r="O1877">
        <v>10103.25</v>
      </c>
      <c r="P1877">
        <v>57</v>
      </c>
      <c r="Q1877">
        <v>57</v>
      </c>
      <c r="R1877">
        <v>10103.25</v>
      </c>
      <c r="S1877">
        <v>177.25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7" x14ac:dyDescent="0.25">
      <c r="A1878" t="s">
        <v>221</v>
      </c>
      <c r="B1878" t="s">
        <v>556</v>
      </c>
      <c r="C1878" t="s">
        <v>1859</v>
      </c>
      <c r="D1878" t="s">
        <v>602</v>
      </c>
      <c r="E1878" t="s">
        <v>1163</v>
      </c>
      <c r="F1878" t="s">
        <v>571</v>
      </c>
      <c r="G1878" s="204"/>
      <c r="L1878">
        <v>2105</v>
      </c>
      <c r="M1878">
        <v>115880.25</v>
      </c>
      <c r="N1878">
        <v>1530</v>
      </c>
      <c r="O1878">
        <v>86337.9</v>
      </c>
      <c r="P1878">
        <v>1530</v>
      </c>
      <c r="Q1878">
        <v>3635</v>
      </c>
      <c r="T1878">
        <v>0</v>
      </c>
      <c r="U1878">
        <v>0</v>
      </c>
      <c r="V1878">
        <v>1530</v>
      </c>
      <c r="W1878">
        <v>86337.9</v>
      </c>
      <c r="X1878">
        <v>1530</v>
      </c>
      <c r="Y1878">
        <v>1530</v>
      </c>
      <c r="Z1878">
        <v>86337.9</v>
      </c>
      <c r="AA1878">
        <v>56.43</v>
      </c>
    </row>
    <row r="1879" spans="1:27" x14ac:dyDescent="0.25">
      <c r="A1879" t="s">
        <v>222</v>
      </c>
      <c r="B1879" t="s">
        <v>556</v>
      </c>
      <c r="C1879" t="s">
        <v>1859</v>
      </c>
      <c r="D1879" t="s">
        <v>595</v>
      </c>
      <c r="E1879" t="s">
        <v>1167</v>
      </c>
      <c r="F1879" t="s">
        <v>571</v>
      </c>
      <c r="G1879" s="204"/>
      <c r="L1879">
        <v>178</v>
      </c>
      <c r="M1879">
        <v>455324</v>
      </c>
      <c r="N1879">
        <v>0</v>
      </c>
      <c r="O1879">
        <v>0</v>
      </c>
      <c r="P1879">
        <v>0</v>
      </c>
      <c r="Q1879">
        <v>178</v>
      </c>
      <c r="T1879">
        <v>0</v>
      </c>
      <c r="U1879">
        <v>0</v>
      </c>
      <c r="V1879">
        <v>58</v>
      </c>
      <c r="W1879">
        <v>148364</v>
      </c>
      <c r="X1879">
        <v>58</v>
      </c>
      <c r="Y1879">
        <v>58</v>
      </c>
      <c r="Z1879">
        <v>148364</v>
      </c>
      <c r="AA1879">
        <v>2558</v>
      </c>
    </row>
    <row r="1880" spans="1:27" x14ac:dyDescent="0.25">
      <c r="A1880" t="s">
        <v>223</v>
      </c>
      <c r="B1880" t="s">
        <v>556</v>
      </c>
      <c r="C1880" t="s">
        <v>1859</v>
      </c>
      <c r="D1880" t="s">
        <v>593</v>
      </c>
      <c r="E1880" t="s">
        <v>1167</v>
      </c>
      <c r="F1880" t="s">
        <v>571</v>
      </c>
      <c r="G1880" s="204"/>
      <c r="L1880">
        <v>0</v>
      </c>
      <c r="M1880">
        <v>0</v>
      </c>
      <c r="N1880">
        <v>184</v>
      </c>
      <c r="O1880">
        <v>220336.32</v>
      </c>
      <c r="P1880">
        <v>184</v>
      </c>
      <c r="Q1880">
        <v>184</v>
      </c>
      <c r="R1880">
        <v>220336.32</v>
      </c>
      <c r="S1880">
        <v>1197.48</v>
      </c>
      <c r="T1880">
        <v>0</v>
      </c>
      <c r="U1880">
        <v>0</v>
      </c>
      <c r="V1880">
        <v>448</v>
      </c>
      <c r="W1880">
        <v>536471.04000000004</v>
      </c>
      <c r="X1880">
        <v>448</v>
      </c>
      <c r="Y1880">
        <v>448</v>
      </c>
    </row>
    <row r="1881" spans="1:27" x14ac:dyDescent="0.25">
      <c r="A1881" t="s">
        <v>224</v>
      </c>
      <c r="B1881" t="s">
        <v>554</v>
      </c>
      <c r="C1881" t="s">
        <v>1859</v>
      </c>
      <c r="D1881" t="s">
        <v>588</v>
      </c>
      <c r="E1881" t="s">
        <v>1167</v>
      </c>
      <c r="F1881" t="s">
        <v>571</v>
      </c>
      <c r="G1881" s="204"/>
      <c r="L1881">
        <v>0</v>
      </c>
      <c r="M1881">
        <v>0</v>
      </c>
      <c r="N1881">
        <v>15</v>
      </c>
      <c r="O1881">
        <v>44808.15</v>
      </c>
      <c r="P1881">
        <v>15</v>
      </c>
      <c r="Q1881">
        <v>15</v>
      </c>
      <c r="R1881">
        <v>44808.15</v>
      </c>
      <c r="S1881">
        <v>2987.21</v>
      </c>
      <c r="T1881">
        <v>0</v>
      </c>
      <c r="U1881">
        <v>0</v>
      </c>
      <c r="V1881">
        <v>235</v>
      </c>
      <c r="W1881">
        <v>701994.35</v>
      </c>
      <c r="X1881">
        <v>235</v>
      </c>
      <c r="Y1881">
        <v>235</v>
      </c>
    </row>
    <row r="1882" spans="1:27" x14ac:dyDescent="0.25">
      <c r="A1882" t="s">
        <v>1505</v>
      </c>
      <c r="E1882" t="s">
        <v>1286</v>
      </c>
      <c r="F1882" t="s">
        <v>571</v>
      </c>
      <c r="G1882" s="204"/>
      <c r="L1882">
        <v>92</v>
      </c>
      <c r="M1882">
        <v>0</v>
      </c>
      <c r="N1882">
        <v>0</v>
      </c>
      <c r="O1882">
        <v>0</v>
      </c>
      <c r="P1882">
        <v>0</v>
      </c>
      <c r="Q1882">
        <v>92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7" x14ac:dyDescent="0.25">
      <c r="A1883" t="s">
        <v>904</v>
      </c>
      <c r="B1883" t="s">
        <v>562</v>
      </c>
      <c r="C1883" t="s">
        <v>1860</v>
      </c>
      <c r="D1883" t="s">
        <v>981</v>
      </c>
      <c r="E1883" t="s">
        <v>1417</v>
      </c>
      <c r="F1883" t="s">
        <v>571</v>
      </c>
      <c r="G1883" s="204"/>
      <c r="L1883">
        <v>4</v>
      </c>
      <c r="M1883">
        <v>7676.16</v>
      </c>
      <c r="N1883">
        <v>0</v>
      </c>
      <c r="O1883">
        <v>0</v>
      </c>
      <c r="P1883">
        <v>0</v>
      </c>
      <c r="Q1883">
        <v>4</v>
      </c>
      <c r="R1883">
        <v>7676.16</v>
      </c>
      <c r="S1883">
        <v>1919.04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7" x14ac:dyDescent="0.25">
      <c r="A1884" t="s">
        <v>900</v>
      </c>
      <c r="B1884" t="s">
        <v>562</v>
      </c>
      <c r="C1884" t="s">
        <v>1860</v>
      </c>
      <c r="D1884" t="s">
        <v>981</v>
      </c>
      <c r="E1884" t="s">
        <v>1417</v>
      </c>
      <c r="F1884" t="s">
        <v>571</v>
      </c>
      <c r="G1884" s="204"/>
      <c r="L1884">
        <v>7</v>
      </c>
      <c r="M1884">
        <v>12285</v>
      </c>
      <c r="N1884">
        <v>0</v>
      </c>
      <c r="O1884">
        <v>0</v>
      </c>
      <c r="P1884">
        <v>0</v>
      </c>
      <c r="Q1884">
        <v>7</v>
      </c>
      <c r="R1884">
        <v>12285</v>
      </c>
      <c r="S1884">
        <v>1755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7" x14ac:dyDescent="0.25">
      <c r="A1885" t="s">
        <v>907</v>
      </c>
      <c r="B1885" t="s">
        <v>562</v>
      </c>
      <c r="C1885" t="s">
        <v>1860</v>
      </c>
      <c r="D1885" t="s">
        <v>981</v>
      </c>
      <c r="E1885" t="s">
        <v>1417</v>
      </c>
      <c r="F1885" t="s">
        <v>571</v>
      </c>
      <c r="G1885" s="204"/>
      <c r="L1885">
        <v>4</v>
      </c>
      <c r="M1885">
        <v>6631.52</v>
      </c>
      <c r="N1885">
        <v>0</v>
      </c>
      <c r="O1885">
        <v>0</v>
      </c>
      <c r="P1885">
        <v>0</v>
      </c>
      <c r="Q1885">
        <v>4</v>
      </c>
      <c r="R1885">
        <v>6631.52</v>
      </c>
      <c r="S1885">
        <v>1657.88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7" x14ac:dyDescent="0.25">
      <c r="A1886" t="s">
        <v>910</v>
      </c>
      <c r="B1886" t="s">
        <v>562</v>
      </c>
      <c r="C1886" t="s">
        <v>1860</v>
      </c>
      <c r="D1886" t="s">
        <v>981</v>
      </c>
      <c r="E1886" t="s">
        <v>1417</v>
      </c>
      <c r="F1886" t="s">
        <v>571</v>
      </c>
      <c r="G1886" s="204"/>
      <c r="L1886">
        <v>4</v>
      </c>
      <c r="M1886">
        <v>6005.44</v>
      </c>
      <c r="N1886">
        <v>0</v>
      </c>
      <c r="O1886">
        <v>0</v>
      </c>
      <c r="P1886">
        <v>0</v>
      </c>
      <c r="Q1886">
        <v>4</v>
      </c>
      <c r="R1886">
        <v>6005.44</v>
      </c>
      <c r="S1886">
        <v>1501.36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7" x14ac:dyDescent="0.25">
      <c r="A1887" t="s">
        <v>908</v>
      </c>
      <c r="B1887" t="s">
        <v>562</v>
      </c>
      <c r="C1887" t="s">
        <v>1860</v>
      </c>
      <c r="D1887" t="s">
        <v>981</v>
      </c>
      <c r="E1887" t="s">
        <v>1417</v>
      </c>
      <c r="F1887" t="s">
        <v>571</v>
      </c>
      <c r="G1887" s="204"/>
      <c r="L1887">
        <v>4</v>
      </c>
      <c r="M1887">
        <v>6182.64</v>
      </c>
      <c r="N1887">
        <v>0</v>
      </c>
      <c r="O1887">
        <v>0</v>
      </c>
      <c r="P1887">
        <v>0</v>
      </c>
      <c r="Q1887">
        <v>4</v>
      </c>
      <c r="R1887">
        <v>6182.64</v>
      </c>
      <c r="S1887">
        <v>1545.66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7" x14ac:dyDescent="0.25">
      <c r="A1888" t="s">
        <v>1418</v>
      </c>
      <c r="B1888" t="s">
        <v>562</v>
      </c>
      <c r="C1888" t="s">
        <v>1860</v>
      </c>
      <c r="D1888" t="s">
        <v>981</v>
      </c>
      <c r="E1888" t="s">
        <v>1417</v>
      </c>
      <c r="F1888" t="s">
        <v>571</v>
      </c>
      <c r="G1888" s="204"/>
      <c r="L1888">
        <v>4</v>
      </c>
      <c r="M1888">
        <v>8000</v>
      </c>
      <c r="N1888">
        <v>0</v>
      </c>
      <c r="O1888">
        <v>0</v>
      </c>
      <c r="P1888">
        <v>0</v>
      </c>
      <c r="Q1888">
        <v>4</v>
      </c>
      <c r="R1888">
        <v>8000</v>
      </c>
      <c r="S1888">
        <v>2000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6" x14ac:dyDescent="0.25">
      <c r="A1889" t="s">
        <v>1026</v>
      </c>
      <c r="B1889" t="s">
        <v>554</v>
      </c>
      <c r="E1889" t="s">
        <v>1111</v>
      </c>
      <c r="F1889" t="s">
        <v>571</v>
      </c>
      <c r="G1889" s="204"/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T1889">
        <v>0</v>
      </c>
      <c r="U1889">
        <v>0</v>
      </c>
      <c r="V1889">
        <v>16000</v>
      </c>
      <c r="W1889">
        <v>0</v>
      </c>
      <c r="X1889">
        <v>0</v>
      </c>
      <c r="Y1889">
        <v>0</v>
      </c>
      <c r="Z1889">
        <v>0</v>
      </c>
    </row>
    <row r="1890" spans="1:26" x14ac:dyDescent="0.25">
      <c r="A1890" t="s">
        <v>1688</v>
      </c>
      <c r="B1890" t="s">
        <v>554</v>
      </c>
      <c r="C1890" t="s">
        <v>1859</v>
      </c>
      <c r="D1890" t="s">
        <v>618</v>
      </c>
      <c r="E1890" t="s">
        <v>1167</v>
      </c>
      <c r="F1890" t="s">
        <v>571</v>
      </c>
      <c r="G1890" s="204"/>
      <c r="J1890">
        <v>2</v>
      </c>
      <c r="K1890">
        <v>5000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6" x14ac:dyDescent="0.25">
      <c r="A1891" t="s">
        <v>464</v>
      </c>
      <c r="B1891" t="s">
        <v>562</v>
      </c>
      <c r="C1891" t="s">
        <v>555</v>
      </c>
      <c r="D1891" t="s">
        <v>580</v>
      </c>
      <c r="E1891" t="s">
        <v>1269</v>
      </c>
      <c r="F1891" t="s">
        <v>571</v>
      </c>
      <c r="G1891" s="204"/>
      <c r="H1891">
        <v>1</v>
      </c>
      <c r="I1891">
        <v>71089.899999999994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6" x14ac:dyDescent="0.25">
      <c r="A1892" t="s">
        <v>510</v>
      </c>
      <c r="B1892" t="s">
        <v>556</v>
      </c>
      <c r="C1892" t="s">
        <v>555</v>
      </c>
      <c r="D1892" t="s">
        <v>683</v>
      </c>
      <c r="E1892" t="s">
        <v>1269</v>
      </c>
      <c r="F1892" t="s">
        <v>571</v>
      </c>
      <c r="G1892" s="204"/>
      <c r="H1892">
        <v>16</v>
      </c>
      <c r="I1892">
        <v>95760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6" x14ac:dyDescent="0.25">
      <c r="A1893" t="s">
        <v>24</v>
      </c>
      <c r="B1893" t="s">
        <v>565</v>
      </c>
      <c r="C1893" t="s">
        <v>564</v>
      </c>
      <c r="D1893" t="s">
        <v>641</v>
      </c>
      <c r="E1893" t="s">
        <v>1167</v>
      </c>
      <c r="F1893" t="s">
        <v>571</v>
      </c>
      <c r="G1893" s="204"/>
      <c r="J1893">
        <v>6</v>
      </c>
      <c r="K1893">
        <v>1516.92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T1893">
        <v>0</v>
      </c>
      <c r="U1893">
        <v>0</v>
      </c>
      <c r="V1893">
        <v>128</v>
      </c>
      <c r="W1893">
        <v>32360.959999999999</v>
      </c>
      <c r="X1893">
        <v>128</v>
      </c>
      <c r="Y1893">
        <v>128</v>
      </c>
    </row>
    <row r="1894" spans="1:26" x14ac:dyDescent="0.25">
      <c r="A1894" t="s">
        <v>433</v>
      </c>
      <c r="B1894" t="s">
        <v>554</v>
      </c>
      <c r="C1894" t="s">
        <v>555</v>
      </c>
      <c r="D1894" t="s">
        <v>580</v>
      </c>
      <c r="E1894" t="s">
        <v>1269</v>
      </c>
      <c r="F1894" t="s">
        <v>571</v>
      </c>
      <c r="G1894" s="204"/>
      <c r="L1894">
        <v>0</v>
      </c>
      <c r="M1894">
        <v>0</v>
      </c>
      <c r="N1894">
        <v>27</v>
      </c>
      <c r="O1894">
        <v>1939365</v>
      </c>
      <c r="P1894">
        <v>27</v>
      </c>
      <c r="Q1894">
        <v>27</v>
      </c>
      <c r="R1894">
        <v>1939365</v>
      </c>
      <c r="S1894">
        <v>71828.333333333328</v>
      </c>
      <c r="T1894">
        <v>0</v>
      </c>
      <c r="U1894">
        <v>0</v>
      </c>
      <c r="V1894">
        <v>109</v>
      </c>
      <c r="W1894">
        <v>7902500</v>
      </c>
      <c r="X1894">
        <v>109</v>
      </c>
      <c r="Y1894">
        <v>109</v>
      </c>
    </row>
    <row r="1895" spans="1:26" x14ac:dyDescent="0.25">
      <c r="A1895" t="s">
        <v>434</v>
      </c>
      <c r="C1895" t="s">
        <v>555</v>
      </c>
      <c r="D1895" t="s">
        <v>580</v>
      </c>
      <c r="E1895" t="s">
        <v>1269</v>
      </c>
      <c r="F1895" t="s">
        <v>571</v>
      </c>
      <c r="G1895" s="204"/>
      <c r="L1895">
        <v>1</v>
      </c>
      <c r="M1895">
        <v>12797.5</v>
      </c>
      <c r="N1895">
        <v>0</v>
      </c>
      <c r="O1895">
        <v>0</v>
      </c>
      <c r="P1895">
        <v>0</v>
      </c>
      <c r="Q1895">
        <v>1</v>
      </c>
      <c r="R1895">
        <v>12797.5</v>
      </c>
      <c r="S1895">
        <v>12797.5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6" x14ac:dyDescent="0.25">
      <c r="A1896" t="s">
        <v>867</v>
      </c>
      <c r="B1896" t="s">
        <v>554</v>
      </c>
      <c r="C1896" t="s">
        <v>564</v>
      </c>
      <c r="D1896" t="s">
        <v>632</v>
      </c>
      <c r="E1896" t="s">
        <v>1164</v>
      </c>
      <c r="F1896" t="s">
        <v>571</v>
      </c>
      <c r="G1896" s="204"/>
      <c r="L1896">
        <v>601</v>
      </c>
      <c r="M1896">
        <v>105453.17</v>
      </c>
      <c r="N1896">
        <v>0</v>
      </c>
      <c r="O1896">
        <v>0</v>
      </c>
      <c r="P1896">
        <v>0</v>
      </c>
      <c r="Q1896">
        <v>601</v>
      </c>
      <c r="R1896">
        <v>105453.17</v>
      </c>
      <c r="S1896">
        <v>175.4628452579035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6" x14ac:dyDescent="0.25">
      <c r="A1897" t="s">
        <v>1115</v>
      </c>
      <c r="B1897" t="s">
        <v>554</v>
      </c>
      <c r="C1897" t="s">
        <v>1859</v>
      </c>
      <c r="D1897" t="s">
        <v>569</v>
      </c>
      <c r="E1897" t="s">
        <v>1111</v>
      </c>
      <c r="F1897" t="s">
        <v>571</v>
      </c>
      <c r="G1897" s="204"/>
      <c r="L1897">
        <v>0</v>
      </c>
      <c r="M1897">
        <v>0</v>
      </c>
      <c r="N1897">
        <v>100</v>
      </c>
      <c r="O1897">
        <v>0.01</v>
      </c>
      <c r="P1897">
        <v>0</v>
      </c>
      <c r="Q1897">
        <v>0</v>
      </c>
      <c r="R1897">
        <v>0.01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6" x14ac:dyDescent="0.25">
      <c r="A1898" t="s">
        <v>1116</v>
      </c>
      <c r="B1898" t="s">
        <v>554</v>
      </c>
      <c r="C1898" t="s">
        <v>1859</v>
      </c>
      <c r="D1898" t="s">
        <v>569</v>
      </c>
      <c r="E1898" t="s">
        <v>1111</v>
      </c>
      <c r="F1898" t="s">
        <v>571</v>
      </c>
      <c r="G1898" s="204"/>
      <c r="L1898">
        <v>0</v>
      </c>
      <c r="M1898">
        <v>0</v>
      </c>
      <c r="N1898">
        <v>100</v>
      </c>
      <c r="O1898">
        <v>0.01</v>
      </c>
      <c r="P1898">
        <v>0</v>
      </c>
      <c r="Q1898">
        <v>0</v>
      </c>
      <c r="R1898">
        <v>0.01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6" x14ac:dyDescent="0.25">
      <c r="A1899" t="s">
        <v>1119</v>
      </c>
      <c r="B1899" t="s">
        <v>554</v>
      </c>
      <c r="C1899" t="s">
        <v>1859</v>
      </c>
      <c r="D1899" t="s">
        <v>569</v>
      </c>
      <c r="E1899" t="s">
        <v>1111</v>
      </c>
      <c r="F1899" t="s">
        <v>571</v>
      </c>
      <c r="G1899" s="204"/>
      <c r="L1899">
        <v>0</v>
      </c>
      <c r="M1899">
        <v>0</v>
      </c>
      <c r="N1899">
        <v>100</v>
      </c>
      <c r="O1899">
        <v>0.01</v>
      </c>
      <c r="P1899">
        <v>0</v>
      </c>
      <c r="Q1899">
        <v>0</v>
      </c>
      <c r="R1899">
        <v>0.01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6" x14ac:dyDescent="0.25">
      <c r="A1900" t="s">
        <v>1117</v>
      </c>
      <c r="B1900" t="s">
        <v>554</v>
      </c>
      <c r="C1900" t="s">
        <v>1859</v>
      </c>
      <c r="D1900" t="s">
        <v>569</v>
      </c>
      <c r="E1900" t="s">
        <v>1111</v>
      </c>
      <c r="F1900" t="s">
        <v>571</v>
      </c>
      <c r="G1900" s="204"/>
      <c r="L1900">
        <v>0</v>
      </c>
      <c r="M1900">
        <v>0</v>
      </c>
      <c r="N1900">
        <v>100</v>
      </c>
      <c r="O1900">
        <v>0.01</v>
      </c>
      <c r="P1900">
        <v>0</v>
      </c>
      <c r="Q1900">
        <v>0</v>
      </c>
      <c r="R1900">
        <v>0.01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6" x14ac:dyDescent="0.25">
      <c r="A1901" t="s">
        <v>1118</v>
      </c>
      <c r="B1901" t="s">
        <v>554</v>
      </c>
      <c r="C1901" t="s">
        <v>1859</v>
      </c>
      <c r="D1901" t="s">
        <v>569</v>
      </c>
      <c r="E1901" t="s">
        <v>1111</v>
      </c>
      <c r="F1901" t="s">
        <v>571</v>
      </c>
      <c r="G1901" s="204"/>
      <c r="L1901">
        <v>0</v>
      </c>
      <c r="M1901">
        <v>0</v>
      </c>
      <c r="N1901">
        <v>100</v>
      </c>
      <c r="O1901">
        <v>0.01</v>
      </c>
      <c r="P1901">
        <v>0</v>
      </c>
      <c r="Q1901">
        <v>0</v>
      </c>
      <c r="R1901">
        <v>0.01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6" x14ac:dyDescent="0.25">
      <c r="A1902" t="s">
        <v>1120</v>
      </c>
      <c r="B1902" t="s">
        <v>554</v>
      </c>
      <c r="C1902" t="s">
        <v>1859</v>
      </c>
      <c r="D1902" t="s">
        <v>569</v>
      </c>
      <c r="E1902" t="s">
        <v>1111</v>
      </c>
      <c r="F1902" t="s">
        <v>571</v>
      </c>
      <c r="G1902" s="204"/>
      <c r="L1902">
        <v>0</v>
      </c>
      <c r="M1902">
        <v>0</v>
      </c>
      <c r="N1902">
        <v>100</v>
      </c>
      <c r="O1902">
        <v>0.01</v>
      </c>
      <c r="P1902">
        <v>0</v>
      </c>
      <c r="Q1902">
        <v>0</v>
      </c>
      <c r="R1902">
        <v>0.01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6" x14ac:dyDescent="0.25">
      <c r="A1903" t="s">
        <v>1121</v>
      </c>
      <c r="B1903" t="s">
        <v>554</v>
      </c>
      <c r="C1903" t="s">
        <v>1859</v>
      </c>
      <c r="D1903" t="s">
        <v>569</v>
      </c>
      <c r="E1903" t="s">
        <v>1111</v>
      </c>
      <c r="F1903" t="s">
        <v>571</v>
      </c>
      <c r="G1903" s="204"/>
      <c r="L1903">
        <v>0</v>
      </c>
      <c r="M1903">
        <v>0</v>
      </c>
      <c r="N1903">
        <v>100</v>
      </c>
      <c r="O1903">
        <v>0.01</v>
      </c>
      <c r="P1903">
        <v>0</v>
      </c>
      <c r="Q1903">
        <v>0</v>
      </c>
      <c r="R1903">
        <v>0.01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6" x14ac:dyDescent="0.25">
      <c r="A1904" t="s">
        <v>1122</v>
      </c>
      <c r="B1904" t="s">
        <v>554</v>
      </c>
      <c r="C1904" t="s">
        <v>1859</v>
      </c>
      <c r="D1904" t="s">
        <v>569</v>
      </c>
      <c r="E1904" t="s">
        <v>1111</v>
      </c>
      <c r="F1904" t="s">
        <v>571</v>
      </c>
      <c r="G1904" s="204"/>
      <c r="L1904">
        <v>0</v>
      </c>
      <c r="M1904">
        <v>0</v>
      </c>
      <c r="N1904">
        <v>100</v>
      </c>
      <c r="O1904">
        <v>0.01</v>
      </c>
      <c r="P1904">
        <v>0</v>
      </c>
      <c r="Q1904">
        <v>0</v>
      </c>
      <c r="R1904">
        <v>0.01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7" x14ac:dyDescent="0.25">
      <c r="A1905" t="s">
        <v>1126</v>
      </c>
      <c r="E1905" t="s">
        <v>1111</v>
      </c>
      <c r="F1905" t="s">
        <v>571</v>
      </c>
      <c r="G1905" s="204"/>
      <c r="L1905">
        <v>0</v>
      </c>
      <c r="M1905">
        <v>0</v>
      </c>
      <c r="N1905">
        <v>10</v>
      </c>
      <c r="O1905">
        <v>0</v>
      </c>
      <c r="P1905">
        <v>0</v>
      </c>
      <c r="Q1905">
        <v>0</v>
      </c>
      <c r="R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7" x14ac:dyDescent="0.25">
      <c r="A1906" t="s">
        <v>1128</v>
      </c>
      <c r="E1906" t="s">
        <v>1111</v>
      </c>
      <c r="F1906" t="s">
        <v>571</v>
      </c>
      <c r="G1906" s="204"/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</row>
    <row r="1907" spans="1:27" x14ac:dyDescent="0.25">
      <c r="A1907" t="s">
        <v>1821</v>
      </c>
      <c r="C1907" t="s">
        <v>555</v>
      </c>
      <c r="D1907" t="s">
        <v>1896</v>
      </c>
      <c r="E1907" t="s">
        <v>1789</v>
      </c>
      <c r="F1907" t="s">
        <v>571</v>
      </c>
      <c r="G1907" s="204"/>
      <c r="J1907">
        <v>4673</v>
      </c>
      <c r="K1907">
        <v>57898.47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7" x14ac:dyDescent="0.25">
      <c r="A1908" t="s">
        <v>1494</v>
      </c>
      <c r="C1908" t="s">
        <v>1858</v>
      </c>
      <c r="D1908" t="s">
        <v>1897</v>
      </c>
      <c r="E1908" t="s">
        <v>1402</v>
      </c>
      <c r="F1908" t="s">
        <v>571</v>
      </c>
      <c r="G1908" s="204"/>
      <c r="L1908">
        <v>1679</v>
      </c>
      <c r="M1908">
        <v>67160</v>
      </c>
      <c r="N1908">
        <v>0</v>
      </c>
      <c r="O1908">
        <v>0</v>
      </c>
      <c r="P1908">
        <v>0</v>
      </c>
      <c r="Q1908">
        <v>1679</v>
      </c>
      <c r="R1908">
        <v>67160</v>
      </c>
      <c r="S1908">
        <v>40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7" x14ac:dyDescent="0.25">
      <c r="A1909" t="s">
        <v>1822</v>
      </c>
      <c r="C1909" t="s">
        <v>1858</v>
      </c>
      <c r="D1909" t="s">
        <v>569</v>
      </c>
      <c r="E1909" t="s">
        <v>1402</v>
      </c>
      <c r="F1909" t="s">
        <v>571</v>
      </c>
      <c r="G1909" s="204"/>
      <c r="H1909">
        <v>50</v>
      </c>
      <c r="I1909">
        <v>2476.5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7" x14ac:dyDescent="0.25">
      <c r="A1910" t="s">
        <v>1823</v>
      </c>
      <c r="C1910" t="s">
        <v>920</v>
      </c>
      <c r="D1910" t="s">
        <v>920</v>
      </c>
      <c r="E1910" t="s">
        <v>1138</v>
      </c>
      <c r="F1910" t="s">
        <v>571</v>
      </c>
      <c r="G1910" s="204"/>
      <c r="H1910">
        <v>200</v>
      </c>
      <c r="I1910">
        <v>190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7" x14ac:dyDescent="0.25">
      <c r="A1911" t="s">
        <v>1824</v>
      </c>
      <c r="C1911" t="s">
        <v>920</v>
      </c>
      <c r="D1911" t="s">
        <v>920</v>
      </c>
      <c r="E1911" t="s">
        <v>1138</v>
      </c>
      <c r="F1911" t="s">
        <v>571</v>
      </c>
      <c r="G1911" s="204"/>
      <c r="H1911">
        <v>100</v>
      </c>
      <c r="I1911">
        <v>145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7" x14ac:dyDescent="0.25">
      <c r="A1912" t="s">
        <v>1825</v>
      </c>
      <c r="C1912" t="s">
        <v>920</v>
      </c>
      <c r="D1912" t="s">
        <v>920</v>
      </c>
      <c r="E1912" t="s">
        <v>1138</v>
      </c>
      <c r="F1912" t="s">
        <v>571</v>
      </c>
      <c r="G1912" s="204"/>
      <c r="H1912">
        <v>200</v>
      </c>
      <c r="I1912">
        <v>330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7" x14ac:dyDescent="0.25">
      <c r="A1913" t="s">
        <v>1826</v>
      </c>
      <c r="C1913" t="s">
        <v>569</v>
      </c>
      <c r="D1913" t="s">
        <v>569</v>
      </c>
      <c r="E1913" t="s">
        <v>1138</v>
      </c>
      <c r="F1913" t="s">
        <v>571</v>
      </c>
      <c r="G1913" s="204"/>
      <c r="J1913">
        <v>23</v>
      </c>
      <c r="K1913">
        <v>690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7" x14ac:dyDescent="0.25">
      <c r="A1914" t="s">
        <v>1827</v>
      </c>
      <c r="C1914" t="s">
        <v>920</v>
      </c>
      <c r="D1914" t="s">
        <v>920</v>
      </c>
      <c r="E1914" t="s">
        <v>1138</v>
      </c>
      <c r="F1914" t="s">
        <v>571</v>
      </c>
      <c r="G1914" s="204"/>
      <c r="H1914">
        <v>150</v>
      </c>
      <c r="I1914">
        <v>543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7" x14ac:dyDescent="0.25">
      <c r="A1915" t="s">
        <v>1828</v>
      </c>
      <c r="C1915" t="s">
        <v>920</v>
      </c>
      <c r="D1915" t="s">
        <v>920</v>
      </c>
      <c r="E1915" t="s">
        <v>1138</v>
      </c>
      <c r="F1915" t="s">
        <v>571</v>
      </c>
      <c r="G1915" s="204"/>
      <c r="H1915">
        <v>25</v>
      </c>
      <c r="I1915">
        <v>186.75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7" x14ac:dyDescent="0.25">
      <c r="A1916" t="s">
        <v>1829</v>
      </c>
      <c r="C1916" t="s">
        <v>920</v>
      </c>
      <c r="D1916" t="s">
        <v>920</v>
      </c>
      <c r="E1916" t="s">
        <v>1138</v>
      </c>
      <c r="F1916" t="s">
        <v>571</v>
      </c>
      <c r="G1916" s="204"/>
      <c r="H1916">
        <v>700</v>
      </c>
      <c r="I1916">
        <v>1288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7" x14ac:dyDescent="0.25">
      <c r="A1917" t="s">
        <v>1537</v>
      </c>
      <c r="B1917" t="s">
        <v>565</v>
      </c>
      <c r="C1917" t="s">
        <v>1859</v>
      </c>
      <c r="D1917" t="s">
        <v>654</v>
      </c>
      <c r="E1917" t="s">
        <v>1167</v>
      </c>
      <c r="F1917" t="s">
        <v>571</v>
      </c>
      <c r="G1917" s="204"/>
      <c r="H1917">
        <v>1</v>
      </c>
      <c r="I1917">
        <v>5252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7" x14ac:dyDescent="0.25">
      <c r="A1918" t="s">
        <v>1830</v>
      </c>
      <c r="C1918" t="s">
        <v>555</v>
      </c>
      <c r="D1918" t="s">
        <v>600</v>
      </c>
      <c r="E1918" t="s">
        <v>1789</v>
      </c>
      <c r="F1918" t="s">
        <v>571</v>
      </c>
      <c r="G1918" s="204"/>
      <c r="H1918">
        <v>23</v>
      </c>
      <c r="I1918">
        <v>230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7" x14ac:dyDescent="0.25">
      <c r="A1919" t="s">
        <v>349</v>
      </c>
      <c r="B1919" t="s">
        <v>562</v>
      </c>
      <c r="C1919" t="s">
        <v>1859</v>
      </c>
      <c r="D1919" t="s">
        <v>662</v>
      </c>
      <c r="E1919" t="s">
        <v>1167</v>
      </c>
      <c r="F1919" t="s">
        <v>571</v>
      </c>
      <c r="G1919" s="204"/>
      <c r="L1919">
        <v>16</v>
      </c>
      <c r="M1919">
        <v>15804.64</v>
      </c>
      <c r="N1919">
        <v>0</v>
      </c>
      <c r="O1919">
        <v>0</v>
      </c>
      <c r="P1919">
        <v>0</v>
      </c>
      <c r="Q1919">
        <v>16</v>
      </c>
      <c r="T1919">
        <v>0</v>
      </c>
      <c r="U1919">
        <v>0</v>
      </c>
      <c r="V1919">
        <v>2</v>
      </c>
      <c r="W1919">
        <v>1975.58</v>
      </c>
      <c r="X1919">
        <v>2</v>
      </c>
      <c r="Y1919">
        <v>2</v>
      </c>
      <c r="Z1919">
        <v>1975.58</v>
      </c>
      <c r="AA1919">
        <v>987.79</v>
      </c>
    </row>
    <row r="1920" spans="1:27" x14ac:dyDescent="0.25">
      <c r="A1920" t="s">
        <v>349</v>
      </c>
      <c r="B1920" t="s">
        <v>562</v>
      </c>
      <c r="C1920" t="s">
        <v>1859</v>
      </c>
      <c r="D1920" t="s">
        <v>662</v>
      </c>
      <c r="E1920" t="s">
        <v>1170</v>
      </c>
      <c r="F1920" t="s">
        <v>571</v>
      </c>
      <c r="G1920" s="204"/>
      <c r="H1920">
        <v>100</v>
      </c>
      <c r="I1920">
        <v>46625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T1920">
        <v>0</v>
      </c>
      <c r="U1920">
        <v>0</v>
      </c>
      <c r="V1920">
        <v>100</v>
      </c>
      <c r="W1920">
        <v>98779</v>
      </c>
      <c r="X1920">
        <v>100</v>
      </c>
      <c r="Y1920">
        <v>100</v>
      </c>
      <c r="Z1920">
        <v>98779</v>
      </c>
      <c r="AA1920">
        <v>987.79</v>
      </c>
    </row>
    <row r="1921" spans="1:27" x14ac:dyDescent="0.25">
      <c r="A1921" t="s">
        <v>350</v>
      </c>
      <c r="B1921" t="s">
        <v>556</v>
      </c>
      <c r="C1921" t="s">
        <v>1859</v>
      </c>
      <c r="D1921" t="s">
        <v>610</v>
      </c>
      <c r="E1921" t="s">
        <v>1169</v>
      </c>
      <c r="F1921" t="s">
        <v>571</v>
      </c>
      <c r="G1921" s="204"/>
      <c r="L1921">
        <v>0</v>
      </c>
      <c r="M1921">
        <v>0</v>
      </c>
      <c r="N1921">
        <v>1</v>
      </c>
      <c r="O1921">
        <v>521.82000000000005</v>
      </c>
      <c r="P1921">
        <v>1</v>
      </c>
      <c r="Q1921">
        <v>1</v>
      </c>
      <c r="R1921">
        <v>521.82000000000005</v>
      </c>
      <c r="S1921">
        <v>521.82000000000005</v>
      </c>
      <c r="T1921">
        <v>0</v>
      </c>
      <c r="U1921">
        <v>0</v>
      </c>
      <c r="V1921">
        <v>31</v>
      </c>
      <c r="W1921">
        <v>16176.420000000002</v>
      </c>
      <c r="X1921">
        <v>31</v>
      </c>
      <c r="Y1921">
        <v>31</v>
      </c>
    </row>
    <row r="1922" spans="1:27" x14ac:dyDescent="0.25">
      <c r="A1922" t="s">
        <v>350</v>
      </c>
      <c r="B1922" t="s">
        <v>556</v>
      </c>
      <c r="C1922" t="s">
        <v>1859</v>
      </c>
      <c r="D1922" t="s">
        <v>610</v>
      </c>
      <c r="E1922" t="s">
        <v>1389</v>
      </c>
      <c r="F1922" t="s">
        <v>571</v>
      </c>
      <c r="G1922" s="204"/>
      <c r="L1922">
        <v>26</v>
      </c>
      <c r="M1922">
        <v>13567.32</v>
      </c>
      <c r="N1922">
        <v>0</v>
      </c>
      <c r="O1922">
        <v>0</v>
      </c>
      <c r="P1922">
        <v>0</v>
      </c>
      <c r="Q1922">
        <v>26</v>
      </c>
      <c r="R1922">
        <v>13567.32</v>
      </c>
      <c r="S1922">
        <v>521.81999999999994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7" x14ac:dyDescent="0.25">
      <c r="A1923" t="s">
        <v>381</v>
      </c>
      <c r="B1923" t="s">
        <v>562</v>
      </c>
      <c r="C1923" t="s">
        <v>1858</v>
      </c>
      <c r="D1923" t="s">
        <v>639</v>
      </c>
      <c r="E1923" t="s">
        <v>1343</v>
      </c>
      <c r="F1923" t="s">
        <v>571</v>
      </c>
      <c r="G1923" s="204"/>
      <c r="J1923">
        <v>9</v>
      </c>
      <c r="K1923">
        <v>45000</v>
      </c>
      <c r="L1923">
        <v>11</v>
      </c>
      <c r="M1923">
        <v>55000</v>
      </c>
      <c r="N1923">
        <v>0</v>
      </c>
      <c r="O1923">
        <v>0</v>
      </c>
      <c r="P1923">
        <v>0</v>
      </c>
      <c r="Q1923">
        <v>11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7" x14ac:dyDescent="0.25">
      <c r="A1924" t="s">
        <v>1689</v>
      </c>
      <c r="B1924" t="s">
        <v>562</v>
      </c>
      <c r="C1924" t="s">
        <v>1858</v>
      </c>
      <c r="D1924" t="s">
        <v>639</v>
      </c>
      <c r="E1924" t="s">
        <v>1343</v>
      </c>
      <c r="F1924" t="s">
        <v>571</v>
      </c>
      <c r="G1924" s="204"/>
      <c r="H1924">
        <v>50</v>
      </c>
      <c r="I1924">
        <v>54422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7" x14ac:dyDescent="0.25">
      <c r="A1925" t="s">
        <v>1481</v>
      </c>
      <c r="B1925" t="s">
        <v>565</v>
      </c>
      <c r="C1925" t="s">
        <v>1898</v>
      </c>
      <c r="D1925" t="s">
        <v>569</v>
      </c>
      <c r="E1925" t="s">
        <v>1480</v>
      </c>
      <c r="F1925" t="s">
        <v>571</v>
      </c>
      <c r="G1925" s="204"/>
      <c r="L1925">
        <v>2748</v>
      </c>
      <c r="M1925">
        <v>36465.960000000006</v>
      </c>
      <c r="N1925">
        <v>0</v>
      </c>
      <c r="O1925">
        <v>0</v>
      </c>
      <c r="P1925">
        <v>0</v>
      </c>
      <c r="Q1925">
        <v>2748</v>
      </c>
      <c r="R1925">
        <v>36465.960000000006</v>
      </c>
      <c r="S1925">
        <v>13.270000000000003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7" x14ac:dyDescent="0.25">
      <c r="A1926" t="s">
        <v>1831</v>
      </c>
      <c r="C1926" t="s">
        <v>555</v>
      </c>
      <c r="D1926" t="s">
        <v>1896</v>
      </c>
      <c r="E1926" t="s">
        <v>1337</v>
      </c>
      <c r="F1926" t="s">
        <v>571</v>
      </c>
      <c r="G1926" s="204"/>
      <c r="J1926">
        <v>806</v>
      </c>
      <c r="K1926">
        <v>35076.25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7" x14ac:dyDescent="0.25">
      <c r="A1927" t="s">
        <v>1832</v>
      </c>
      <c r="C1927" t="s">
        <v>555</v>
      </c>
      <c r="D1927" t="s">
        <v>555</v>
      </c>
      <c r="E1927" t="s">
        <v>1337</v>
      </c>
      <c r="F1927" t="s">
        <v>571</v>
      </c>
      <c r="G1927" s="204"/>
      <c r="H1927">
        <v>250</v>
      </c>
      <c r="I1927">
        <v>29660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7" x14ac:dyDescent="0.25">
      <c r="A1928" t="s">
        <v>1833</v>
      </c>
      <c r="C1928" t="s">
        <v>555</v>
      </c>
      <c r="D1928" t="s">
        <v>1896</v>
      </c>
      <c r="E1928" t="s">
        <v>1337</v>
      </c>
      <c r="F1928" t="s">
        <v>571</v>
      </c>
      <c r="G1928" s="204"/>
      <c r="J1928">
        <v>426</v>
      </c>
      <c r="K1928">
        <v>19170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7" x14ac:dyDescent="0.25">
      <c r="A1929" t="s">
        <v>351</v>
      </c>
      <c r="B1929" t="s">
        <v>562</v>
      </c>
      <c r="C1929" t="s">
        <v>1859</v>
      </c>
      <c r="D1929" t="s">
        <v>673</v>
      </c>
      <c r="E1929" t="s">
        <v>1167</v>
      </c>
      <c r="F1929" t="s">
        <v>571</v>
      </c>
      <c r="G1929" s="204"/>
      <c r="L1929">
        <v>10</v>
      </c>
      <c r="M1929">
        <v>2671.5</v>
      </c>
      <c r="N1929">
        <v>4</v>
      </c>
      <c r="O1929">
        <v>1068.5999999999999</v>
      </c>
      <c r="P1929">
        <v>4</v>
      </c>
      <c r="Q1929">
        <v>14</v>
      </c>
      <c r="T1929">
        <v>0</v>
      </c>
      <c r="U1929">
        <v>0</v>
      </c>
      <c r="V1929">
        <v>13</v>
      </c>
      <c r="W1929">
        <v>3472.9500000000003</v>
      </c>
      <c r="X1929">
        <v>13</v>
      </c>
      <c r="Y1929">
        <v>13</v>
      </c>
      <c r="Z1929">
        <v>3472.95</v>
      </c>
      <c r="AA1929">
        <v>267.14999999999998</v>
      </c>
    </row>
    <row r="1930" spans="1:27" x14ac:dyDescent="0.25">
      <c r="A1930" t="s">
        <v>382</v>
      </c>
      <c r="B1930" t="s">
        <v>556</v>
      </c>
      <c r="C1930" t="s">
        <v>1858</v>
      </c>
      <c r="D1930" t="s">
        <v>582</v>
      </c>
      <c r="E1930" t="s">
        <v>1331</v>
      </c>
      <c r="F1930" t="s">
        <v>571</v>
      </c>
      <c r="G1930" s="204"/>
      <c r="J1930">
        <v>65</v>
      </c>
      <c r="K1930">
        <v>25025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7" x14ac:dyDescent="0.25">
      <c r="A1931" t="s">
        <v>382</v>
      </c>
      <c r="B1931" t="s">
        <v>556</v>
      </c>
      <c r="C1931" t="s">
        <v>1858</v>
      </c>
      <c r="D1931" t="s">
        <v>582</v>
      </c>
      <c r="E1931" t="s">
        <v>1223</v>
      </c>
      <c r="F1931" t="s">
        <v>571</v>
      </c>
      <c r="G1931" s="204"/>
      <c r="J1931">
        <v>60</v>
      </c>
      <c r="K1931">
        <v>23625</v>
      </c>
      <c r="L1931">
        <v>0</v>
      </c>
      <c r="M1931">
        <v>0</v>
      </c>
      <c r="N1931">
        <v>60</v>
      </c>
      <c r="O1931">
        <v>26037</v>
      </c>
      <c r="P1931">
        <v>60</v>
      </c>
      <c r="Q1931">
        <v>60</v>
      </c>
      <c r="R1931">
        <v>26037</v>
      </c>
      <c r="S1931">
        <v>433.95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7" x14ac:dyDescent="0.25">
      <c r="A1932" t="s">
        <v>382</v>
      </c>
      <c r="B1932" t="s">
        <v>556</v>
      </c>
      <c r="C1932" t="s">
        <v>1858</v>
      </c>
      <c r="D1932" t="s">
        <v>582</v>
      </c>
      <c r="E1932" t="s">
        <v>1144</v>
      </c>
      <c r="F1932" t="s">
        <v>571</v>
      </c>
      <c r="G1932" s="204"/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T1932">
        <v>0</v>
      </c>
      <c r="U1932">
        <v>0</v>
      </c>
      <c r="V1932">
        <v>130</v>
      </c>
      <c r="W1932">
        <v>53726.400000000001</v>
      </c>
      <c r="X1932">
        <v>130</v>
      </c>
      <c r="Y1932">
        <v>130</v>
      </c>
      <c r="Z1932">
        <v>53726.400000000001</v>
      </c>
      <c r="AA1932">
        <v>413.28000000000003</v>
      </c>
    </row>
    <row r="1933" spans="1:27" x14ac:dyDescent="0.25">
      <c r="A1933" t="s">
        <v>382</v>
      </c>
      <c r="B1933" t="s">
        <v>556</v>
      </c>
      <c r="C1933" t="s">
        <v>1858</v>
      </c>
      <c r="D1933" t="s">
        <v>582</v>
      </c>
      <c r="E1933" t="s">
        <v>1173</v>
      </c>
      <c r="F1933" t="s">
        <v>571</v>
      </c>
      <c r="G1933" s="204"/>
      <c r="L1933">
        <v>0</v>
      </c>
      <c r="M1933">
        <v>0</v>
      </c>
      <c r="N1933">
        <v>849</v>
      </c>
      <c r="O1933">
        <v>318375</v>
      </c>
      <c r="P1933">
        <v>849</v>
      </c>
      <c r="Q1933">
        <v>849</v>
      </c>
      <c r="R1933">
        <v>318375</v>
      </c>
      <c r="S1933">
        <v>375</v>
      </c>
      <c r="T1933">
        <v>0</v>
      </c>
      <c r="U1933">
        <v>0</v>
      </c>
      <c r="V1933">
        <v>3573</v>
      </c>
      <c r="W1933">
        <v>1339875</v>
      </c>
      <c r="X1933">
        <v>3573</v>
      </c>
      <c r="Y1933">
        <v>3573</v>
      </c>
    </row>
    <row r="1934" spans="1:27" x14ac:dyDescent="0.25">
      <c r="A1934" t="s">
        <v>1175</v>
      </c>
      <c r="B1934" t="s">
        <v>566</v>
      </c>
      <c r="C1934" t="s">
        <v>569</v>
      </c>
      <c r="D1934" t="s">
        <v>569</v>
      </c>
      <c r="E1934" t="s">
        <v>1198</v>
      </c>
      <c r="F1934" t="s">
        <v>571</v>
      </c>
      <c r="G1934" s="204"/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T1934">
        <v>0</v>
      </c>
      <c r="U1934">
        <v>0</v>
      </c>
      <c r="V1934">
        <v>1</v>
      </c>
      <c r="W1934">
        <v>1500</v>
      </c>
      <c r="X1934">
        <v>1</v>
      </c>
      <c r="Y1934">
        <v>1</v>
      </c>
      <c r="Z1934">
        <v>1500</v>
      </c>
      <c r="AA1934">
        <v>1500</v>
      </c>
    </row>
    <row r="1935" spans="1:27" x14ac:dyDescent="0.25">
      <c r="A1935" t="s">
        <v>1175</v>
      </c>
      <c r="B1935" t="s">
        <v>566</v>
      </c>
      <c r="C1935" t="s">
        <v>569</v>
      </c>
      <c r="D1935" t="s">
        <v>569</v>
      </c>
      <c r="E1935" t="s">
        <v>1173</v>
      </c>
      <c r="F1935" t="s">
        <v>571</v>
      </c>
      <c r="G1935" s="204"/>
      <c r="J1935">
        <v>1</v>
      </c>
      <c r="K1935">
        <v>1500</v>
      </c>
      <c r="L1935">
        <v>0</v>
      </c>
      <c r="M1935">
        <v>0</v>
      </c>
      <c r="N1935">
        <v>5</v>
      </c>
      <c r="O1935">
        <v>7500</v>
      </c>
      <c r="P1935">
        <v>5</v>
      </c>
      <c r="Q1935">
        <v>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7" x14ac:dyDescent="0.25">
      <c r="A1936" t="s">
        <v>1176</v>
      </c>
      <c r="B1936" t="s">
        <v>566</v>
      </c>
      <c r="C1936" t="s">
        <v>569</v>
      </c>
      <c r="D1936" t="s">
        <v>569</v>
      </c>
      <c r="E1936" t="s">
        <v>1173</v>
      </c>
      <c r="F1936" t="s">
        <v>571</v>
      </c>
      <c r="G1936" s="204"/>
      <c r="J1936">
        <v>1</v>
      </c>
      <c r="K1936">
        <v>3000</v>
      </c>
      <c r="L1936">
        <v>0</v>
      </c>
      <c r="M1936">
        <v>0</v>
      </c>
      <c r="N1936">
        <v>1</v>
      </c>
      <c r="O1936">
        <v>3000</v>
      </c>
      <c r="P1936">
        <v>1</v>
      </c>
      <c r="Q1936">
        <v>1</v>
      </c>
      <c r="R1936">
        <v>3000</v>
      </c>
      <c r="S1936">
        <v>3000</v>
      </c>
      <c r="T1936">
        <v>0</v>
      </c>
      <c r="U1936">
        <v>0</v>
      </c>
      <c r="V1936">
        <v>3</v>
      </c>
      <c r="W1936">
        <v>9000</v>
      </c>
      <c r="X1936">
        <v>3</v>
      </c>
      <c r="Y1936">
        <v>3</v>
      </c>
    </row>
    <row r="1937" spans="1:27" x14ac:dyDescent="0.25">
      <c r="A1937" t="s">
        <v>1176</v>
      </c>
      <c r="B1937" t="s">
        <v>566</v>
      </c>
      <c r="C1937" t="s">
        <v>569</v>
      </c>
      <c r="D1937" t="s">
        <v>569</v>
      </c>
      <c r="E1937" t="s">
        <v>1201</v>
      </c>
      <c r="F1937" t="s">
        <v>571</v>
      </c>
      <c r="G1937" s="204"/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T1937">
        <v>0</v>
      </c>
      <c r="U1937">
        <v>0</v>
      </c>
      <c r="V1937">
        <v>2</v>
      </c>
      <c r="W1937">
        <v>9500</v>
      </c>
      <c r="X1937">
        <v>2</v>
      </c>
      <c r="Y1937">
        <v>2</v>
      </c>
      <c r="Z1937">
        <v>9500</v>
      </c>
      <c r="AA1937">
        <v>4750</v>
      </c>
    </row>
    <row r="1938" spans="1:27" x14ac:dyDescent="0.25">
      <c r="A1938" t="s">
        <v>1112</v>
      </c>
      <c r="C1938" t="s">
        <v>1858</v>
      </c>
      <c r="D1938" t="s">
        <v>582</v>
      </c>
      <c r="E1938" t="s">
        <v>1111</v>
      </c>
      <c r="F1938" t="s">
        <v>571</v>
      </c>
      <c r="G1938" s="204"/>
      <c r="L1938">
        <v>0</v>
      </c>
      <c r="M1938">
        <v>0</v>
      </c>
      <c r="N1938">
        <v>1402</v>
      </c>
      <c r="O1938">
        <v>6953.92</v>
      </c>
      <c r="P1938">
        <v>1402</v>
      </c>
      <c r="Q1938">
        <v>1402</v>
      </c>
      <c r="R1938">
        <v>6953.92</v>
      </c>
      <c r="S1938">
        <v>4.96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7" x14ac:dyDescent="0.25">
      <c r="A1939" t="s">
        <v>1112</v>
      </c>
      <c r="C1939" t="s">
        <v>1858</v>
      </c>
      <c r="D1939" t="s">
        <v>582</v>
      </c>
      <c r="E1939" t="s">
        <v>1337</v>
      </c>
      <c r="F1939" t="s">
        <v>571</v>
      </c>
      <c r="G1939" s="204"/>
      <c r="J1939">
        <v>2289</v>
      </c>
      <c r="K1939">
        <v>11353.44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7" x14ac:dyDescent="0.25">
      <c r="A1940" t="s">
        <v>1199</v>
      </c>
      <c r="B1940" t="s">
        <v>562</v>
      </c>
      <c r="C1940" t="s">
        <v>1858</v>
      </c>
      <c r="D1940" t="s">
        <v>582</v>
      </c>
      <c r="E1940" t="s">
        <v>1198</v>
      </c>
      <c r="F1940" t="s">
        <v>571</v>
      </c>
      <c r="G1940" s="204"/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T1940">
        <v>0</v>
      </c>
      <c r="U1940">
        <v>0</v>
      </c>
      <c r="V1940">
        <v>1413</v>
      </c>
      <c r="W1940">
        <v>576645.30000000005</v>
      </c>
      <c r="X1940">
        <v>1413</v>
      </c>
      <c r="Y1940">
        <v>1413</v>
      </c>
      <c r="Z1940">
        <v>576645.30000000005</v>
      </c>
      <c r="AA1940">
        <v>408.1</v>
      </c>
    </row>
    <row r="1941" spans="1:27" x14ac:dyDescent="0.25">
      <c r="A1941" t="s">
        <v>740</v>
      </c>
      <c r="C1941" t="s">
        <v>1860</v>
      </c>
      <c r="D1941" t="s">
        <v>623</v>
      </c>
      <c r="E1941" t="s">
        <v>1356</v>
      </c>
      <c r="F1941" t="s">
        <v>571</v>
      </c>
      <c r="G1941" s="204"/>
      <c r="L1941">
        <v>50</v>
      </c>
      <c r="M1941">
        <v>99950</v>
      </c>
      <c r="N1941">
        <v>0</v>
      </c>
      <c r="O1941">
        <v>0</v>
      </c>
      <c r="P1941">
        <v>0</v>
      </c>
      <c r="Q1941">
        <v>50</v>
      </c>
      <c r="R1941">
        <v>99950</v>
      </c>
      <c r="S1941">
        <v>1999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7" x14ac:dyDescent="0.25">
      <c r="A1942" t="s">
        <v>482</v>
      </c>
      <c r="B1942" t="s">
        <v>562</v>
      </c>
      <c r="C1942" t="s">
        <v>1860</v>
      </c>
      <c r="D1942" t="s">
        <v>623</v>
      </c>
      <c r="E1942" t="s">
        <v>1266</v>
      </c>
      <c r="F1942" t="s">
        <v>571</v>
      </c>
      <c r="G1942" s="204"/>
      <c r="L1942">
        <v>1</v>
      </c>
      <c r="M1942">
        <v>9122.56</v>
      </c>
      <c r="N1942">
        <v>0</v>
      </c>
      <c r="O1942">
        <v>0</v>
      </c>
      <c r="P1942">
        <v>0</v>
      </c>
      <c r="Q1942">
        <v>1</v>
      </c>
      <c r="R1942">
        <v>9122.56</v>
      </c>
      <c r="S1942">
        <v>9122.56</v>
      </c>
      <c r="T1942">
        <v>0</v>
      </c>
      <c r="U1942">
        <v>0</v>
      </c>
      <c r="V1942">
        <v>11</v>
      </c>
      <c r="W1942">
        <v>100348.16</v>
      </c>
      <c r="X1942">
        <v>11</v>
      </c>
      <c r="Y1942">
        <v>11</v>
      </c>
    </row>
    <row r="1943" spans="1:27" x14ac:dyDescent="0.25">
      <c r="A1943" t="s">
        <v>482</v>
      </c>
      <c r="B1943" t="s">
        <v>562</v>
      </c>
      <c r="C1943" t="s">
        <v>1860</v>
      </c>
      <c r="D1943" t="s">
        <v>623</v>
      </c>
      <c r="E1943" t="s">
        <v>1356</v>
      </c>
      <c r="F1943" t="s">
        <v>571</v>
      </c>
      <c r="G1943" s="204"/>
      <c r="H1943">
        <v>5</v>
      </c>
      <c r="I1943">
        <v>42925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7" x14ac:dyDescent="0.25">
      <c r="A1944" t="s">
        <v>1096</v>
      </c>
      <c r="B1944" t="s">
        <v>565</v>
      </c>
      <c r="C1944" t="s">
        <v>1858</v>
      </c>
      <c r="D1944" t="s">
        <v>644</v>
      </c>
      <c r="E1944" t="s">
        <v>1438</v>
      </c>
      <c r="F1944" t="s">
        <v>571</v>
      </c>
      <c r="G1944" s="204"/>
      <c r="H1944">
        <v>50</v>
      </c>
      <c r="L1944">
        <v>46</v>
      </c>
      <c r="M1944">
        <v>13582.88</v>
      </c>
      <c r="N1944">
        <v>0</v>
      </c>
      <c r="O1944">
        <v>0</v>
      </c>
      <c r="P1944">
        <v>0</v>
      </c>
      <c r="Q1944">
        <v>46</v>
      </c>
      <c r="R1944">
        <v>13582.88</v>
      </c>
      <c r="S1944">
        <v>295.27999999999997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7" x14ac:dyDescent="0.25">
      <c r="A1945" t="s">
        <v>1096</v>
      </c>
      <c r="B1945" t="s">
        <v>565</v>
      </c>
      <c r="C1945" t="s">
        <v>1858</v>
      </c>
      <c r="D1945" t="s">
        <v>644</v>
      </c>
      <c r="E1945" t="s">
        <v>1140</v>
      </c>
      <c r="F1945" t="s">
        <v>571</v>
      </c>
      <c r="G1945" s="204"/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T1945">
        <v>0</v>
      </c>
      <c r="U1945">
        <v>0</v>
      </c>
      <c r="V1945">
        <v>100</v>
      </c>
      <c r="W1945">
        <v>166700</v>
      </c>
      <c r="X1945">
        <v>100</v>
      </c>
      <c r="Y1945">
        <v>100</v>
      </c>
      <c r="Z1945">
        <v>166700</v>
      </c>
      <c r="AA1945">
        <v>1667</v>
      </c>
    </row>
    <row r="1946" spans="1:27" x14ac:dyDescent="0.25">
      <c r="A1946" t="s">
        <v>44</v>
      </c>
      <c r="B1946" t="s">
        <v>562</v>
      </c>
      <c r="E1946" t="s">
        <v>1110</v>
      </c>
      <c r="F1946" t="s">
        <v>571</v>
      </c>
      <c r="G1946" s="204"/>
      <c r="L1946">
        <v>5</v>
      </c>
      <c r="M1946">
        <v>4939.55</v>
      </c>
      <c r="N1946">
        <v>0</v>
      </c>
      <c r="O1946">
        <v>0</v>
      </c>
      <c r="P1946">
        <v>0</v>
      </c>
      <c r="Q1946">
        <v>5</v>
      </c>
      <c r="R1946">
        <v>4939.55</v>
      </c>
      <c r="S1946">
        <v>987.91000000000008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7" x14ac:dyDescent="0.25">
      <c r="A1947" t="s">
        <v>1134</v>
      </c>
      <c r="B1947" t="s">
        <v>562</v>
      </c>
      <c r="C1947" t="s">
        <v>1860</v>
      </c>
      <c r="D1947" t="s">
        <v>623</v>
      </c>
      <c r="E1947" t="s">
        <v>1132</v>
      </c>
      <c r="F1947" t="s">
        <v>571</v>
      </c>
      <c r="G1947" s="204"/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T1947">
        <v>0</v>
      </c>
      <c r="U1947">
        <v>0</v>
      </c>
      <c r="V1947">
        <v>10</v>
      </c>
      <c r="W1947">
        <v>0</v>
      </c>
      <c r="X1947">
        <v>0</v>
      </c>
      <c r="Y1947">
        <v>0</v>
      </c>
      <c r="Z1947">
        <v>0</v>
      </c>
    </row>
    <row r="1948" spans="1:27" x14ac:dyDescent="0.25">
      <c r="A1948" t="s">
        <v>856</v>
      </c>
      <c r="B1948" t="s">
        <v>565</v>
      </c>
      <c r="C1948" t="s">
        <v>1858</v>
      </c>
      <c r="D1948" t="s">
        <v>974</v>
      </c>
      <c r="E1948" t="s">
        <v>1438</v>
      </c>
      <c r="F1948" t="s">
        <v>571</v>
      </c>
      <c r="G1948" s="204"/>
      <c r="J1948">
        <v>100</v>
      </c>
      <c r="K1948">
        <v>26142</v>
      </c>
      <c r="L1948">
        <v>198</v>
      </c>
      <c r="M1948">
        <v>53832.24</v>
      </c>
      <c r="N1948">
        <v>0</v>
      </c>
      <c r="O1948">
        <v>0</v>
      </c>
      <c r="P1948">
        <v>0</v>
      </c>
      <c r="Q1948">
        <v>198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7" x14ac:dyDescent="0.25">
      <c r="A1949" t="s">
        <v>856</v>
      </c>
      <c r="B1949" t="s">
        <v>565</v>
      </c>
      <c r="C1949" t="s">
        <v>1858</v>
      </c>
      <c r="D1949" t="s">
        <v>974</v>
      </c>
      <c r="E1949" t="s">
        <v>1141</v>
      </c>
      <c r="F1949" t="s">
        <v>571</v>
      </c>
      <c r="G1949" s="204"/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T1949">
        <v>0</v>
      </c>
      <c r="U1949">
        <v>0</v>
      </c>
      <c r="V1949">
        <v>136</v>
      </c>
      <c r="W1949">
        <v>53063.12</v>
      </c>
      <c r="X1949">
        <v>136</v>
      </c>
      <c r="Y1949">
        <v>136</v>
      </c>
      <c r="Z1949">
        <v>53063.12</v>
      </c>
      <c r="AA1949">
        <v>390.17</v>
      </c>
    </row>
    <row r="1950" spans="1:27" x14ac:dyDescent="0.25">
      <c r="A1950" t="s">
        <v>269</v>
      </c>
      <c r="B1950" t="s">
        <v>562</v>
      </c>
      <c r="C1950" t="s">
        <v>1858</v>
      </c>
      <c r="D1950" t="s">
        <v>638</v>
      </c>
      <c r="E1950" t="s">
        <v>1266</v>
      </c>
      <c r="F1950" t="s">
        <v>571</v>
      </c>
      <c r="G1950" s="204"/>
      <c r="L1950">
        <v>0</v>
      </c>
      <c r="M1950">
        <v>0</v>
      </c>
      <c r="N1950">
        <v>100</v>
      </c>
      <c r="O1950">
        <v>55053</v>
      </c>
      <c r="P1950">
        <v>100</v>
      </c>
      <c r="Q1950">
        <v>100</v>
      </c>
      <c r="R1950">
        <v>55053</v>
      </c>
      <c r="S1950">
        <v>550.53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7" x14ac:dyDescent="0.25">
      <c r="A1951" t="s">
        <v>269</v>
      </c>
      <c r="B1951" t="s">
        <v>562</v>
      </c>
      <c r="C1951" t="s">
        <v>1858</v>
      </c>
      <c r="D1951" t="s">
        <v>638</v>
      </c>
      <c r="E1951" t="s">
        <v>1484</v>
      </c>
      <c r="F1951" t="s">
        <v>571</v>
      </c>
      <c r="G1951" s="204"/>
      <c r="J1951">
        <v>21</v>
      </c>
      <c r="K1951">
        <v>10230.99</v>
      </c>
      <c r="L1951">
        <v>96</v>
      </c>
      <c r="M1951">
        <v>52850.879999999997</v>
      </c>
      <c r="N1951">
        <v>0</v>
      </c>
      <c r="O1951">
        <v>0</v>
      </c>
      <c r="P1951">
        <v>0</v>
      </c>
      <c r="Q1951">
        <v>96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7" x14ac:dyDescent="0.25">
      <c r="A1952" t="s">
        <v>864</v>
      </c>
      <c r="B1952" t="s">
        <v>556</v>
      </c>
      <c r="C1952" t="s">
        <v>1858</v>
      </c>
      <c r="D1952" t="s">
        <v>582</v>
      </c>
      <c r="E1952" t="s">
        <v>1280</v>
      </c>
      <c r="F1952" t="s">
        <v>571</v>
      </c>
      <c r="G1952" s="204"/>
      <c r="L1952">
        <v>51</v>
      </c>
      <c r="M1952">
        <v>70125</v>
      </c>
      <c r="N1952">
        <v>0</v>
      </c>
      <c r="O1952">
        <v>0</v>
      </c>
      <c r="P1952">
        <v>0</v>
      </c>
      <c r="Q1952">
        <v>51</v>
      </c>
      <c r="R1952">
        <v>70125</v>
      </c>
      <c r="S1952">
        <v>1375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7" x14ac:dyDescent="0.25">
      <c r="A1953" t="s">
        <v>864</v>
      </c>
      <c r="B1953" t="s">
        <v>556</v>
      </c>
      <c r="C1953" t="s">
        <v>1858</v>
      </c>
      <c r="D1953" t="s">
        <v>582</v>
      </c>
      <c r="E1953" t="s">
        <v>1709</v>
      </c>
      <c r="F1953" t="s">
        <v>571</v>
      </c>
      <c r="G1953" s="204"/>
      <c r="H1953">
        <v>1</v>
      </c>
      <c r="I1953">
        <v>1375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7" x14ac:dyDescent="0.25">
      <c r="A1954" t="s">
        <v>864</v>
      </c>
      <c r="B1954" t="s">
        <v>556</v>
      </c>
      <c r="C1954" t="s">
        <v>1858</v>
      </c>
      <c r="D1954" t="s">
        <v>582</v>
      </c>
      <c r="E1954" t="s">
        <v>1331</v>
      </c>
      <c r="F1954" t="s">
        <v>571</v>
      </c>
      <c r="G1954" s="204"/>
      <c r="H1954">
        <v>51</v>
      </c>
      <c r="I1954">
        <v>22714.89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7" x14ac:dyDescent="0.25">
      <c r="A1955" t="s">
        <v>864</v>
      </c>
      <c r="B1955" t="s">
        <v>556</v>
      </c>
      <c r="C1955" t="s">
        <v>1858</v>
      </c>
      <c r="D1955" t="s">
        <v>582</v>
      </c>
      <c r="E1955" t="s">
        <v>1392</v>
      </c>
      <c r="F1955" t="s">
        <v>571</v>
      </c>
      <c r="G1955" s="204"/>
      <c r="L1955">
        <v>20</v>
      </c>
      <c r="M1955">
        <v>30250</v>
      </c>
      <c r="N1955">
        <v>0</v>
      </c>
      <c r="O1955">
        <v>0</v>
      </c>
      <c r="P1955">
        <v>0</v>
      </c>
      <c r="Q1955">
        <v>20</v>
      </c>
      <c r="R1955">
        <v>30250</v>
      </c>
      <c r="S1955">
        <v>1512.5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7" x14ac:dyDescent="0.25">
      <c r="A1956" t="s">
        <v>864</v>
      </c>
      <c r="B1956" t="s">
        <v>556</v>
      </c>
      <c r="C1956" t="s">
        <v>1858</v>
      </c>
      <c r="D1956" t="s">
        <v>582</v>
      </c>
      <c r="E1956" t="s">
        <v>1173</v>
      </c>
      <c r="F1956" t="s">
        <v>571</v>
      </c>
      <c r="G1956" s="204"/>
      <c r="H1956">
        <v>73</v>
      </c>
      <c r="I1956">
        <v>44112.44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7" x14ac:dyDescent="0.25">
      <c r="A1957" t="s">
        <v>864</v>
      </c>
      <c r="B1957" t="s">
        <v>556</v>
      </c>
      <c r="C1957" t="s">
        <v>1858</v>
      </c>
      <c r="D1957" t="s">
        <v>582</v>
      </c>
      <c r="E1957" t="s">
        <v>1145</v>
      </c>
      <c r="F1957" t="s">
        <v>571</v>
      </c>
      <c r="G1957" s="204"/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T1957">
        <v>0</v>
      </c>
      <c r="U1957">
        <v>0</v>
      </c>
      <c r="V1957">
        <v>250</v>
      </c>
      <c r="W1957">
        <v>293750</v>
      </c>
      <c r="X1957">
        <v>250</v>
      </c>
      <c r="Y1957">
        <v>250</v>
      </c>
      <c r="Z1957">
        <v>293750</v>
      </c>
      <c r="AA1957">
        <v>1175</v>
      </c>
    </row>
    <row r="1958" spans="1:27" x14ac:dyDescent="0.25">
      <c r="A1958" t="s">
        <v>497</v>
      </c>
      <c r="B1958" t="s">
        <v>565</v>
      </c>
      <c r="C1958" t="s">
        <v>1860</v>
      </c>
      <c r="D1958" t="s">
        <v>623</v>
      </c>
      <c r="E1958" t="s">
        <v>1343</v>
      </c>
      <c r="F1958" t="s">
        <v>571</v>
      </c>
      <c r="G1958" s="204"/>
      <c r="H1958">
        <v>3</v>
      </c>
      <c r="I1958">
        <v>7323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7" x14ac:dyDescent="0.25">
      <c r="A1959" t="s">
        <v>497</v>
      </c>
      <c r="B1959" t="s">
        <v>565</v>
      </c>
      <c r="C1959" t="s">
        <v>1860</v>
      </c>
      <c r="D1959" t="s">
        <v>623</v>
      </c>
      <c r="E1959" t="s">
        <v>1179</v>
      </c>
      <c r="F1959" t="s">
        <v>571</v>
      </c>
      <c r="G1959" s="204"/>
      <c r="L1959">
        <v>2</v>
      </c>
      <c r="M1959">
        <v>5270.48</v>
      </c>
      <c r="N1959">
        <v>0</v>
      </c>
      <c r="O1959">
        <v>0</v>
      </c>
      <c r="P1959">
        <v>0</v>
      </c>
      <c r="Q1959">
        <v>2</v>
      </c>
      <c r="R1959">
        <v>5270.48</v>
      </c>
      <c r="S1959">
        <v>2635.24</v>
      </c>
      <c r="T1959">
        <v>0</v>
      </c>
      <c r="U1959">
        <v>0</v>
      </c>
      <c r="V1959">
        <v>5</v>
      </c>
      <c r="W1959">
        <v>13176.2</v>
      </c>
      <c r="X1959">
        <v>5</v>
      </c>
      <c r="Y1959">
        <v>5</v>
      </c>
    </row>
    <row r="1960" spans="1:27" x14ac:dyDescent="0.25">
      <c r="A1960" t="s">
        <v>497</v>
      </c>
      <c r="B1960" t="s">
        <v>565</v>
      </c>
      <c r="C1960" t="s">
        <v>1860</v>
      </c>
      <c r="D1960" t="s">
        <v>623</v>
      </c>
      <c r="E1960" t="s">
        <v>1173</v>
      </c>
      <c r="F1960" t="s">
        <v>571</v>
      </c>
      <c r="G1960" s="204"/>
      <c r="H1960">
        <v>5</v>
      </c>
      <c r="I1960">
        <v>12792.45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7" x14ac:dyDescent="0.25">
      <c r="A1961" t="s">
        <v>292</v>
      </c>
      <c r="B1961" t="s">
        <v>565</v>
      </c>
      <c r="C1961" t="s">
        <v>1860</v>
      </c>
      <c r="D1961" t="s">
        <v>623</v>
      </c>
      <c r="E1961" t="s">
        <v>1266</v>
      </c>
      <c r="F1961" t="s">
        <v>571</v>
      </c>
      <c r="G1961" s="204"/>
      <c r="L1961">
        <v>0</v>
      </c>
      <c r="M1961">
        <v>0</v>
      </c>
      <c r="N1961">
        <v>23</v>
      </c>
      <c r="O1961">
        <v>123050</v>
      </c>
      <c r="P1961">
        <v>23</v>
      </c>
      <c r="Q1961">
        <v>23</v>
      </c>
      <c r="T1961">
        <v>0</v>
      </c>
      <c r="U1961">
        <v>0</v>
      </c>
      <c r="V1961">
        <v>11</v>
      </c>
      <c r="W1961">
        <v>62969.5</v>
      </c>
      <c r="X1961">
        <v>11</v>
      </c>
      <c r="Y1961">
        <v>11</v>
      </c>
      <c r="Z1961">
        <v>62969.5</v>
      </c>
      <c r="AA1961">
        <v>5724.5</v>
      </c>
    </row>
    <row r="1962" spans="1:27" x14ac:dyDescent="0.25">
      <c r="A1962" t="s">
        <v>292</v>
      </c>
      <c r="B1962" t="s">
        <v>565</v>
      </c>
      <c r="C1962" t="s">
        <v>1860</v>
      </c>
      <c r="D1962" t="s">
        <v>623</v>
      </c>
      <c r="E1962" t="s">
        <v>1356</v>
      </c>
      <c r="F1962" t="s">
        <v>571</v>
      </c>
      <c r="G1962" s="204"/>
      <c r="J1962">
        <v>2</v>
      </c>
      <c r="K1962">
        <v>10700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7" x14ac:dyDescent="0.25">
      <c r="A1963" t="s">
        <v>383</v>
      </c>
      <c r="B1963" t="s">
        <v>556</v>
      </c>
      <c r="C1963" t="s">
        <v>1858</v>
      </c>
      <c r="D1963" t="s">
        <v>582</v>
      </c>
      <c r="E1963" t="s">
        <v>1331</v>
      </c>
      <c r="F1963" t="s">
        <v>571</v>
      </c>
      <c r="G1963" s="204"/>
      <c r="J1963">
        <v>54</v>
      </c>
      <c r="K1963">
        <v>42552</v>
      </c>
      <c r="L1963">
        <v>148</v>
      </c>
      <c r="M1963">
        <v>116624</v>
      </c>
      <c r="N1963">
        <v>0</v>
      </c>
      <c r="O1963">
        <v>0</v>
      </c>
      <c r="P1963">
        <v>0</v>
      </c>
      <c r="Q1963">
        <v>148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7" x14ac:dyDescent="0.25">
      <c r="A1964" t="s">
        <v>383</v>
      </c>
      <c r="B1964" t="s">
        <v>556</v>
      </c>
      <c r="C1964" t="s">
        <v>1858</v>
      </c>
      <c r="D1964" t="s">
        <v>582</v>
      </c>
      <c r="E1964" t="s">
        <v>1343</v>
      </c>
      <c r="F1964" t="s">
        <v>571</v>
      </c>
      <c r="G1964" s="204"/>
      <c r="H1964">
        <v>160</v>
      </c>
      <c r="I1964">
        <v>115923.19999999998</v>
      </c>
      <c r="L1964">
        <v>164</v>
      </c>
      <c r="M1964">
        <v>151242.29999999999</v>
      </c>
      <c r="N1964">
        <v>0</v>
      </c>
      <c r="O1964">
        <v>0</v>
      </c>
      <c r="P1964">
        <v>0</v>
      </c>
      <c r="Q1964">
        <v>164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7" x14ac:dyDescent="0.25">
      <c r="A1965" t="s">
        <v>383</v>
      </c>
      <c r="B1965" t="s">
        <v>556</v>
      </c>
      <c r="C1965" t="s">
        <v>1858</v>
      </c>
      <c r="D1965" t="s">
        <v>582</v>
      </c>
      <c r="E1965" t="s">
        <v>1266</v>
      </c>
      <c r="F1965" t="s">
        <v>571</v>
      </c>
      <c r="G1965" s="204"/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T1965">
        <v>0</v>
      </c>
      <c r="U1965">
        <v>0</v>
      </c>
      <c r="V1965">
        <v>212</v>
      </c>
      <c r="W1965">
        <v>251220</v>
      </c>
      <c r="X1965">
        <v>212</v>
      </c>
      <c r="Y1965">
        <v>212</v>
      </c>
      <c r="Z1965">
        <v>251220</v>
      </c>
      <c r="AA1965">
        <v>1185</v>
      </c>
    </row>
    <row r="1966" spans="1:27" x14ac:dyDescent="0.25">
      <c r="A1966" t="s">
        <v>383</v>
      </c>
      <c r="B1966" t="s">
        <v>556</v>
      </c>
      <c r="C1966" t="s">
        <v>1858</v>
      </c>
      <c r="D1966" t="s">
        <v>582</v>
      </c>
      <c r="E1966" t="s">
        <v>1147</v>
      </c>
      <c r="F1966" t="s">
        <v>571</v>
      </c>
      <c r="G1966" s="204"/>
      <c r="L1966">
        <v>0</v>
      </c>
      <c r="M1966">
        <v>0</v>
      </c>
      <c r="N1966">
        <v>8</v>
      </c>
      <c r="O1966">
        <v>6304</v>
      </c>
      <c r="P1966">
        <v>8</v>
      </c>
      <c r="Q1966">
        <v>8</v>
      </c>
      <c r="R1966">
        <v>6304</v>
      </c>
      <c r="S1966">
        <v>788</v>
      </c>
      <c r="T1966">
        <v>0</v>
      </c>
      <c r="U1966">
        <v>0</v>
      </c>
      <c r="V1966">
        <v>67</v>
      </c>
      <c r="W1966">
        <v>52796</v>
      </c>
      <c r="X1966">
        <v>67</v>
      </c>
      <c r="Y1966">
        <v>67</v>
      </c>
    </row>
    <row r="1967" spans="1:27" x14ac:dyDescent="0.25">
      <c r="A1967" t="s">
        <v>1690</v>
      </c>
      <c r="B1967" t="s">
        <v>562</v>
      </c>
      <c r="C1967" t="s">
        <v>1860</v>
      </c>
      <c r="D1967" t="s">
        <v>1875</v>
      </c>
      <c r="E1967" t="s">
        <v>1266</v>
      </c>
      <c r="F1967" t="s">
        <v>571</v>
      </c>
      <c r="G1967" s="204"/>
      <c r="H1967">
        <v>24</v>
      </c>
      <c r="I1967">
        <v>31674.48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7" x14ac:dyDescent="0.25">
      <c r="A1968" t="s">
        <v>1691</v>
      </c>
      <c r="B1968" t="s">
        <v>556</v>
      </c>
      <c r="C1968" t="s">
        <v>1860</v>
      </c>
      <c r="D1968" t="s">
        <v>1899</v>
      </c>
      <c r="E1968" t="s">
        <v>1834</v>
      </c>
      <c r="F1968" t="s">
        <v>571</v>
      </c>
      <c r="G1968" s="204"/>
      <c r="J1968">
        <v>11</v>
      </c>
      <c r="K1968">
        <v>3987.38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t="s">
        <v>1691</v>
      </c>
      <c r="B1969" t="s">
        <v>556</v>
      </c>
      <c r="C1969" t="s">
        <v>1860</v>
      </c>
      <c r="D1969" t="s">
        <v>1899</v>
      </c>
      <c r="E1969" t="s">
        <v>1835</v>
      </c>
      <c r="F1969" t="s">
        <v>571</v>
      </c>
      <c r="G1969" s="204"/>
      <c r="H1969">
        <v>45</v>
      </c>
      <c r="I1969">
        <v>15067.8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t="s">
        <v>1692</v>
      </c>
      <c r="B1970" t="s">
        <v>562</v>
      </c>
      <c r="C1970" t="s">
        <v>1860</v>
      </c>
      <c r="D1970" t="s">
        <v>1899</v>
      </c>
      <c r="E1970" t="s">
        <v>1834</v>
      </c>
      <c r="F1970" t="s">
        <v>571</v>
      </c>
      <c r="G1970" s="204"/>
      <c r="I1970">
        <v>11215.7</v>
      </c>
      <c r="J1970">
        <v>109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t="s">
        <v>438</v>
      </c>
      <c r="B1971" t="s">
        <v>562</v>
      </c>
      <c r="C1971" t="s">
        <v>1858</v>
      </c>
      <c r="D1971" t="s">
        <v>579</v>
      </c>
      <c r="E1971" t="s">
        <v>1188</v>
      </c>
      <c r="F1971" t="s">
        <v>571</v>
      </c>
      <c r="G1971" s="204"/>
      <c r="L1971">
        <v>650</v>
      </c>
      <c r="M1971">
        <v>105911</v>
      </c>
      <c r="N1971">
        <v>650</v>
      </c>
      <c r="O1971">
        <v>105911</v>
      </c>
      <c r="P1971">
        <v>650</v>
      </c>
      <c r="Q1971">
        <v>1300</v>
      </c>
      <c r="R1971">
        <v>211822</v>
      </c>
      <c r="S1971">
        <v>162.94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t="s">
        <v>225</v>
      </c>
      <c r="B1972" t="s">
        <v>565</v>
      </c>
      <c r="C1972" t="s">
        <v>1859</v>
      </c>
      <c r="D1972" t="s">
        <v>672</v>
      </c>
      <c r="E1972" t="s">
        <v>1167</v>
      </c>
      <c r="F1972" t="s">
        <v>571</v>
      </c>
      <c r="G1972" s="204"/>
      <c r="H1972">
        <v>16</v>
      </c>
      <c r="I1972">
        <v>1920</v>
      </c>
      <c r="J1972">
        <v>16</v>
      </c>
      <c r="K1972">
        <v>1920</v>
      </c>
      <c r="L1972">
        <v>13</v>
      </c>
      <c r="M1972">
        <v>1560</v>
      </c>
      <c r="N1972">
        <v>9</v>
      </c>
      <c r="O1972">
        <v>1080</v>
      </c>
      <c r="P1972">
        <v>9</v>
      </c>
      <c r="Q1972">
        <v>22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t="s">
        <v>226</v>
      </c>
      <c r="B1973" t="s">
        <v>556</v>
      </c>
      <c r="C1973" t="s">
        <v>1859</v>
      </c>
      <c r="D1973" t="s">
        <v>654</v>
      </c>
      <c r="E1973" t="s">
        <v>1330</v>
      </c>
      <c r="F1973" t="s">
        <v>571</v>
      </c>
      <c r="G1973" s="204"/>
      <c r="L1973">
        <v>600</v>
      </c>
      <c r="M1973">
        <v>27978</v>
      </c>
      <c r="N1973">
        <v>0</v>
      </c>
      <c r="O1973">
        <v>0</v>
      </c>
      <c r="P1973">
        <v>0</v>
      </c>
      <c r="Q1973">
        <v>600</v>
      </c>
      <c r="R1973">
        <v>27978</v>
      </c>
      <c r="S1973">
        <v>46.63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t="s">
        <v>226</v>
      </c>
      <c r="B1974" t="s">
        <v>556</v>
      </c>
      <c r="C1974" t="s">
        <v>1859</v>
      </c>
      <c r="D1974" t="s">
        <v>654</v>
      </c>
      <c r="E1974" t="s">
        <v>1836</v>
      </c>
      <c r="F1974" t="s">
        <v>571</v>
      </c>
      <c r="G1974" s="204"/>
      <c r="H1974">
        <v>680</v>
      </c>
      <c r="I1974">
        <v>61575.999999999993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t="s">
        <v>293</v>
      </c>
      <c r="B1975" t="s">
        <v>562</v>
      </c>
      <c r="C1975" t="s">
        <v>1860</v>
      </c>
      <c r="D1975" t="s">
        <v>623</v>
      </c>
      <c r="E1975" t="s">
        <v>1320</v>
      </c>
      <c r="F1975" t="s">
        <v>571</v>
      </c>
      <c r="G1975" s="204"/>
      <c r="L1975">
        <v>30</v>
      </c>
      <c r="M1975">
        <v>52500</v>
      </c>
      <c r="N1975">
        <v>0</v>
      </c>
      <c r="O1975">
        <v>0</v>
      </c>
      <c r="P1975">
        <v>0</v>
      </c>
      <c r="Q1975">
        <v>30</v>
      </c>
      <c r="R1975">
        <v>52500</v>
      </c>
      <c r="S1975">
        <v>1750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t="s">
        <v>1693</v>
      </c>
      <c r="B1976" t="s">
        <v>562</v>
      </c>
      <c r="C1976" t="s">
        <v>1860</v>
      </c>
      <c r="D1976" t="s">
        <v>623</v>
      </c>
      <c r="E1976" t="s">
        <v>1179</v>
      </c>
      <c r="F1976" t="s">
        <v>571</v>
      </c>
      <c r="G1976" s="204"/>
      <c r="J1976">
        <v>1</v>
      </c>
      <c r="K1976">
        <v>20000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t="s">
        <v>1515</v>
      </c>
      <c r="B1977" t="s">
        <v>565</v>
      </c>
      <c r="C1977" t="s">
        <v>1858</v>
      </c>
      <c r="D1977" t="s">
        <v>1900</v>
      </c>
      <c r="E1977" t="s">
        <v>1333</v>
      </c>
      <c r="F1977" t="s">
        <v>571</v>
      </c>
      <c r="G1977" s="204"/>
      <c r="L1977">
        <v>101</v>
      </c>
      <c r="M1977">
        <v>10941.33</v>
      </c>
      <c r="N1977">
        <v>0</v>
      </c>
      <c r="O1977">
        <v>0</v>
      </c>
      <c r="P1977">
        <v>0</v>
      </c>
      <c r="Q1977">
        <v>101</v>
      </c>
      <c r="R1977">
        <v>10941.33</v>
      </c>
      <c r="S1977">
        <v>108.33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t="s">
        <v>1516</v>
      </c>
      <c r="B1978" t="s">
        <v>565</v>
      </c>
      <c r="C1978" t="s">
        <v>1858</v>
      </c>
      <c r="D1978" t="s">
        <v>1901</v>
      </c>
      <c r="E1978" t="s">
        <v>1333</v>
      </c>
      <c r="F1978" t="s">
        <v>571</v>
      </c>
      <c r="G1978" s="204"/>
      <c r="L1978">
        <v>486</v>
      </c>
      <c r="M1978">
        <v>13651.740000000002</v>
      </c>
      <c r="N1978">
        <v>0</v>
      </c>
      <c r="O1978">
        <v>0</v>
      </c>
      <c r="P1978">
        <v>0</v>
      </c>
      <c r="Q1978">
        <v>486</v>
      </c>
      <c r="R1978">
        <v>13651.740000000002</v>
      </c>
      <c r="S1978">
        <v>28.090000000000003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t="s">
        <v>384</v>
      </c>
      <c r="B1979" t="s">
        <v>562</v>
      </c>
      <c r="C1979" t="s">
        <v>1858</v>
      </c>
      <c r="D1979" t="s">
        <v>582</v>
      </c>
      <c r="E1979" t="s">
        <v>1837</v>
      </c>
      <c r="F1979" t="s">
        <v>571</v>
      </c>
      <c r="G1979" s="204"/>
      <c r="H1979">
        <v>16</v>
      </c>
      <c r="I1979">
        <v>43056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t="s">
        <v>384</v>
      </c>
      <c r="B1980" t="s">
        <v>562</v>
      </c>
      <c r="C1980" t="s">
        <v>1858</v>
      </c>
      <c r="D1980" t="s">
        <v>582</v>
      </c>
      <c r="E1980" t="s">
        <v>1331</v>
      </c>
      <c r="F1980" t="s">
        <v>571</v>
      </c>
      <c r="G1980" s="204"/>
      <c r="H1980">
        <v>277</v>
      </c>
      <c r="I1980">
        <v>584180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t="s">
        <v>384</v>
      </c>
      <c r="B1981" t="s">
        <v>562</v>
      </c>
      <c r="C1981" t="s">
        <v>1858</v>
      </c>
      <c r="D1981" t="s">
        <v>582</v>
      </c>
      <c r="E1981" t="s">
        <v>1263</v>
      </c>
      <c r="F1981" t="s">
        <v>571</v>
      </c>
      <c r="G1981" s="204"/>
      <c r="J1981">
        <v>5</v>
      </c>
      <c r="K1981">
        <v>14396.85</v>
      </c>
      <c r="L1981">
        <v>0</v>
      </c>
      <c r="M1981">
        <v>0</v>
      </c>
      <c r="N1981">
        <v>110</v>
      </c>
      <c r="O1981">
        <v>242000</v>
      </c>
      <c r="P1981">
        <v>110</v>
      </c>
      <c r="Q1981">
        <v>110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t="s">
        <v>384</v>
      </c>
      <c r="B1982" t="s">
        <v>562</v>
      </c>
      <c r="C1982" t="s">
        <v>1858</v>
      </c>
      <c r="D1982" t="s">
        <v>582</v>
      </c>
      <c r="E1982" t="s">
        <v>1212</v>
      </c>
      <c r="F1982" t="s">
        <v>571</v>
      </c>
      <c r="G1982" s="204"/>
      <c r="H1982">
        <v>36</v>
      </c>
      <c r="I1982">
        <v>79200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t="s">
        <v>385</v>
      </c>
      <c r="B1983" t="s">
        <v>556</v>
      </c>
      <c r="C1983" t="s">
        <v>1858</v>
      </c>
      <c r="D1983" t="s">
        <v>582</v>
      </c>
      <c r="E1983" t="s">
        <v>1280</v>
      </c>
      <c r="F1983" t="s">
        <v>571</v>
      </c>
      <c r="G1983" s="204"/>
      <c r="H1983">
        <v>154</v>
      </c>
      <c r="I1983">
        <v>94055.5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t="s">
        <v>385</v>
      </c>
      <c r="B1984" t="s">
        <v>556</v>
      </c>
      <c r="C1984" t="s">
        <v>1858</v>
      </c>
      <c r="D1984" t="s">
        <v>582</v>
      </c>
      <c r="E1984" t="s">
        <v>1331</v>
      </c>
      <c r="F1984" t="s">
        <v>571</v>
      </c>
      <c r="G1984" s="204"/>
      <c r="H1984">
        <v>121</v>
      </c>
      <c r="I1984">
        <v>33788.04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t="s">
        <v>385</v>
      </c>
      <c r="B1985" t="s">
        <v>556</v>
      </c>
      <c r="C1985" t="s">
        <v>1858</v>
      </c>
      <c r="D1985" t="s">
        <v>582</v>
      </c>
      <c r="E1985" t="s">
        <v>1266</v>
      </c>
      <c r="F1985" t="s">
        <v>571</v>
      </c>
      <c r="G1985" s="204"/>
      <c r="L1985">
        <v>111</v>
      </c>
      <c r="M1985">
        <v>78330.5</v>
      </c>
      <c r="N1985">
        <v>0</v>
      </c>
      <c r="O1985">
        <v>0</v>
      </c>
      <c r="P1985">
        <v>0</v>
      </c>
      <c r="Q1985">
        <v>111</v>
      </c>
      <c r="R1985">
        <v>78330.5</v>
      </c>
      <c r="S1985">
        <v>705.68018018018017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t="s">
        <v>385</v>
      </c>
      <c r="B1986" t="s">
        <v>556</v>
      </c>
      <c r="C1986" t="s">
        <v>1858</v>
      </c>
      <c r="D1986" t="s">
        <v>582</v>
      </c>
      <c r="E1986" t="s">
        <v>1173</v>
      </c>
      <c r="F1986" t="s">
        <v>571</v>
      </c>
      <c r="G1986" s="204"/>
      <c r="H1986">
        <v>47</v>
      </c>
      <c r="I1986">
        <v>27753.5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t="s">
        <v>901</v>
      </c>
      <c r="B1987" t="s">
        <v>562</v>
      </c>
      <c r="C1987" t="s">
        <v>564</v>
      </c>
      <c r="D1987" t="s">
        <v>982</v>
      </c>
      <c r="E1987" t="s">
        <v>1293</v>
      </c>
      <c r="F1987" t="s">
        <v>571</v>
      </c>
      <c r="G1987" s="204"/>
      <c r="L1987">
        <v>6</v>
      </c>
      <c r="M1987">
        <v>10692</v>
      </c>
      <c r="N1987">
        <v>0</v>
      </c>
      <c r="O1987">
        <v>0</v>
      </c>
      <c r="P1987">
        <v>0</v>
      </c>
      <c r="Q1987">
        <v>6</v>
      </c>
      <c r="R1987">
        <v>10692</v>
      </c>
      <c r="S1987">
        <v>1782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t="s">
        <v>1509</v>
      </c>
      <c r="C1988" t="s">
        <v>569</v>
      </c>
      <c r="D1988" t="s">
        <v>569</v>
      </c>
      <c r="E1988" t="s">
        <v>1382</v>
      </c>
      <c r="F1988" t="s">
        <v>571</v>
      </c>
      <c r="G1988" s="204"/>
      <c r="L1988">
        <v>153</v>
      </c>
      <c r="M1988">
        <v>36261</v>
      </c>
      <c r="N1988">
        <v>0</v>
      </c>
      <c r="O1988">
        <v>0</v>
      </c>
      <c r="P1988">
        <v>0</v>
      </c>
      <c r="Q1988">
        <v>153</v>
      </c>
      <c r="R1988">
        <v>36261</v>
      </c>
      <c r="S1988">
        <v>237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t="s">
        <v>1555</v>
      </c>
      <c r="B1989" t="s">
        <v>562</v>
      </c>
      <c r="C1989" t="s">
        <v>1860</v>
      </c>
      <c r="D1989" t="s">
        <v>1902</v>
      </c>
      <c r="E1989" t="s">
        <v>1838</v>
      </c>
      <c r="F1989" t="s">
        <v>571</v>
      </c>
      <c r="G1989" s="204"/>
      <c r="J1989">
        <v>16</v>
      </c>
      <c r="K1989">
        <v>17605.599999999999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t="s">
        <v>1556</v>
      </c>
      <c r="B1990" t="s">
        <v>562</v>
      </c>
      <c r="C1990" t="s">
        <v>1860</v>
      </c>
      <c r="D1990" t="s">
        <v>1868</v>
      </c>
      <c r="E1990" t="s">
        <v>1712</v>
      </c>
      <c r="F1990" t="s">
        <v>571</v>
      </c>
      <c r="G1990" s="204"/>
      <c r="J1990">
        <v>14</v>
      </c>
      <c r="K1990">
        <v>18404.400000000001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t="s">
        <v>1557</v>
      </c>
      <c r="B1991" t="s">
        <v>562</v>
      </c>
      <c r="C1991" t="s">
        <v>1860</v>
      </c>
      <c r="D1991" t="s">
        <v>586</v>
      </c>
      <c r="E1991" t="s">
        <v>1430</v>
      </c>
      <c r="F1991" t="s">
        <v>571</v>
      </c>
      <c r="G1991" s="204"/>
      <c r="J1991">
        <v>23</v>
      </c>
      <c r="K1991">
        <v>8142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t="s">
        <v>1558</v>
      </c>
      <c r="B1992" t="s">
        <v>562</v>
      </c>
      <c r="C1992" t="s">
        <v>1859</v>
      </c>
      <c r="D1992" t="s">
        <v>610</v>
      </c>
      <c r="E1992" t="s">
        <v>1839</v>
      </c>
      <c r="F1992" t="s">
        <v>571</v>
      </c>
      <c r="G1992" s="204"/>
      <c r="H1992">
        <v>475</v>
      </c>
      <c r="I1992">
        <v>74062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t="s">
        <v>1416</v>
      </c>
      <c r="B1993" t="s">
        <v>562</v>
      </c>
      <c r="C1993" t="s">
        <v>1859</v>
      </c>
      <c r="D1993" t="s">
        <v>618</v>
      </c>
      <c r="E1993" t="s">
        <v>1221</v>
      </c>
      <c r="F1993" t="s">
        <v>571</v>
      </c>
      <c r="G1993" s="204"/>
      <c r="L1993">
        <v>101</v>
      </c>
      <c r="M1993">
        <v>81433.26999999999</v>
      </c>
      <c r="N1993">
        <v>0</v>
      </c>
      <c r="O1993">
        <v>0</v>
      </c>
      <c r="P1993">
        <v>0</v>
      </c>
      <c r="Q1993">
        <v>101</v>
      </c>
      <c r="R1993">
        <v>81433.26999999999</v>
      </c>
      <c r="S1993">
        <v>806.26999999999987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t="s">
        <v>1413</v>
      </c>
      <c r="B1994" t="s">
        <v>565</v>
      </c>
      <c r="C1994" t="s">
        <v>1859</v>
      </c>
      <c r="D1994" t="s">
        <v>610</v>
      </c>
      <c r="E1994" t="s">
        <v>1157</v>
      </c>
      <c r="F1994" t="s">
        <v>571</v>
      </c>
      <c r="G1994" s="204"/>
      <c r="H1994">
        <v>166</v>
      </c>
      <c r="I1994">
        <v>26269.5</v>
      </c>
      <c r="L1994">
        <v>327</v>
      </c>
      <c r="M1994">
        <v>66222.180000000008</v>
      </c>
      <c r="N1994">
        <v>0</v>
      </c>
      <c r="O1994">
        <v>0</v>
      </c>
      <c r="P1994">
        <v>0</v>
      </c>
      <c r="Q1994">
        <v>327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t="s">
        <v>1450</v>
      </c>
      <c r="B1995" t="s">
        <v>562</v>
      </c>
      <c r="C1995" t="s">
        <v>1859</v>
      </c>
      <c r="D1995" t="s">
        <v>1903</v>
      </c>
      <c r="E1995" t="s">
        <v>1230</v>
      </c>
      <c r="F1995" t="s">
        <v>571</v>
      </c>
      <c r="G1995" s="204"/>
      <c r="L1995">
        <v>104</v>
      </c>
      <c r="M1995">
        <v>27548.559999999998</v>
      </c>
      <c r="N1995">
        <v>0</v>
      </c>
      <c r="O1995">
        <v>0</v>
      </c>
      <c r="P1995">
        <v>0</v>
      </c>
      <c r="Q1995">
        <v>104</v>
      </c>
      <c r="R1995">
        <v>27548.559999999998</v>
      </c>
      <c r="S1995">
        <v>264.89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t="s">
        <v>1450</v>
      </c>
      <c r="B1996" t="s">
        <v>562</v>
      </c>
      <c r="C1996" t="s">
        <v>1859</v>
      </c>
      <c r="D1996" t="s">
        <v>1903</v>
      </c>
      <c r="E1996" t="s">
        <v>1150</v>
      </c>
      <c r="F1996" t="s">
        <v>571</v>
      </c>
      <c r="G1996" s="204"/>
      <c r="H1996">
        <v>87</v>
      </c>
      <c r="I1996">
        <v>7629.9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t="s">
        <v>1426</v>
      </c>
      <c r="B1997" t="s">
        <v>562</v>
      </c>
      <c r="C1997" t="s">
        <v>1859</v>
      </c>
      <c r="D1997" t="s">
        <v>598</v>
      </c>
      <c r="E1997" t="s">
        <v>1152</v>
      </c>
      <c r="F1997" t="s">
        <v>571</v>
      </c>
      <c r="G1997" s="204"/>
      <c r="L1997">
        <v>12</v>
      </c>
      <c r="M1997">
        <v>6675.24</v>
      </c>
      <c r="N1997">
        <v>0</v>
      </c>
      <c r="O1997">
        <v>0</v>
      </c>
      <c r="P1997">
        <v>0</v>
      </c>
      <c r="Q1997">
        <v>12</v>
      </c>
      <c r="R1997">
        <v>6675.24</v>
      </c>
      <c r="S1997">
        <v>556.27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t="s">
        <v>1559</v>
      </c>
      <c r="B1998" t="s">
        <v>562</v>
      </c>
      <c r="C1998" t="s">
        <v>1858</v>
      </c>
      <c r="D1998" t="s">
        <v>1897</v>
      </c>
      <c r="E1998" t="s">
        <v>1375</v>
      </c>
      <c r="F1998" t="s">
        <v>571</v>
      </c>
      <c r="G1998" s="204"/>
      <c r="J1998">
        <v>5</v>
      </c>
      <c r="K1998">
        <v>4255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t="s">
        <v>1470</v>
      </c>
      <c r="B1999" t="s">
        <v>562</v>
      </c>
      <c r="C1999" t="s">
        <v>1858</v>
      </c>
      <c r="D1999" t="s">
        <v>1904</v>
      </c>
      <c r="E1999" t="s">
        <v>1375</v>
      </c>
      <c r="F1999" t="s">
        <v>571</v>
      </c>
      <c r="G1999" s="204"/>
      <c r="J1999">
        <v>15</v>
      </c>
      <c r="K1999">
        <v>11319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t="s">
        <v>1470</v>
      </c>
      <c r="B2000" t="s">
        <v>562</v>
      </c>
      <c r="C2000" t="s">
        <v>1858</v>
      </c>
      <c r="D2000" t="s">
        <v>1904</v>
      </c>
      <c r="E2000" t="s">
        <v>1409</v>
      </c>
      <c r="F2000" t="s">
        <v>571</v>
      </c>
      <c r="G2000" s="204"/>
      <c r="H2000">
        <v>48</v>
      </c>
      <c r="I2000">
        <v>28650.799999999999</v>
      </c>
      <c r="L2000">
        <v>75</v>
      </c>
      <c r="M2000">
        <v>61115.25</v>
      </c>
      <c r="N2000">
        <v>0</v>
      </c>
      <c r="O2000">
        <v>0</v>
      </c>
      <c r="P2000">
        <v>0</v>
      </c>
      <c r="Q2000">
        <v>75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t="s">
        <v>1474</v>
      </c>
      <c r="B2001" t="s">
        <v>562</v>
      </c>
      <c r="C2001" t="s">
        <v>1858</v>
      </c>
      <c r="D2001" t="s">
        <v>1897</v>
      </c>
      <c r="E2001" t="s">
        <v>1409</v>
      </c>
      <c r="F2001" t="s">
        <v>571</v>
      </c>
      <c r="G2001" s="204"/>
      <c r="J2001">
        <v>50</v>
      </c>
      <c r="K2001">
        <v>22612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t="s">
        <v>1474</v>
      </c>
      <c r="B2002" t="s">
        <v>562</v>
      </c>
      <c r="C2002" t="s">
        <v>1858</v>
      </c>
      <c r="D2002" t="s">
        <v>1897</v>
      </c>
      <c r="E2002" t="s">
        <v>1430</v>
      </c>
      <c r="F2002" t="s">
        <v>571</v>
      </c>
      <c r="G2002" s="204"/>
      <c r="L2002">
        <v>4</v>
      </c>
      <c r="M2002">
        <v>2141</v>
      </c>
      <c r="N2002">
        <v>0</v>
      </c>
      <c r="O2002">
        <v>0</v>
      </c>
      <c r="P2002">
        <v>0</v>
      </c>
      <c r="Q2002">
        <v>4</v>
      </c>
      <c r="R2002">
        <v>2141</v>
      </c>
      <c r="S2002">
        <v>535.25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t="s">
        <v>1423</v>
      </c>
      <c r="B2003" t="s">
        <v>562</v>
      </c>
      <c r="C2003" t="s">
        <v>1858</v>
      </c>
      <c r="D2003" t="s">
        <v>1897</v>
      </c>
      <c r="E2003" t="s">
        <v>1375</v>
      </c>
      <c r="F2003" t="s">
        <v>571</v>
      </c>
      <c r="G2003" s="204"/>
      <c r="J2003">
        <v>18</v>
      </c>
      <c r="K2003">
        <v>11375.1</v>
      </c>
      <c r="L2003">
        <v>26</v>
      </c>
      <c r="M2003">
        <v>19716.84</v>
      </c>
      <c r="N2003">
        <v>0</v>
      </c>
      <c r="O2003">
        <v>0</v>
      </c>
      <c r="P2003">
        <v>0</v>
      </c>
      <c r="Q2003">
        <v>26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t="s">
        <v>1487</v>
      </c>
      <c r="B2004" t="s">
        <v>562</v>
      </c>
      <c r="C2004" t="s">
        <v>1860</v>
      </c>
      <c r="D2004" t="s">
        <v>1905</v>
      </c>
      <c r="E2004" t="s">
        <v>1373</v>
      </c>
      <c r="F2004" t="s">
        <v>571</v>
      </c>
      <c r="G2004" s="204"/>
      <c r="J2004">
        <v>10</v>
      </c>
      <c r="K2004">
        <v>22111.200000000001</v>
      </c>
      <c r="L2004">
        <v>15</v>
      </c>
      <c r="M2004">
        <v>33166.800000000003</v>
      </c>
      <c r="N2004">
        <v>0</v>
      </c>
      <c r="O2004">
        <v>0</v>
      </c>
      <c r="P2004">
        <v>0</v>
      </c>
      <c r="Q2004">
        <v>15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t="s">
        <v>1487</v>
      </c>
      <c r="B2005" t="s">
        <v>562</v>
      </c>
      <c r="C2005" t="s">
        <v>1860</v>
      </c>
      <c r="D2005" t="s">
        <v>1905</v>
      </c>
      <c r="E2005" t="s">
        <v>1512</v>
      </c>
      <c r="F2005" t="s">
        <v>571</v>
      </c>
      <c r="G2005" s="204"/>
      <c r="L2005">
        <v>9</v>
      </c>
      <c r="M2005">
        <v>23880.06</v>
      </c>
      <c r="N2005">
        <v>0</v>
      </c>
      <c r="O2005">
        <v>0</v>
      </c>
      <c r="P2005">
        <v>0</v>
      </c>
      <c r="Q2005">
        <v>9</v>
      </c>
      <c r="R2005">
        <v>23880.06</v>
      </c>
      <c r="S2005">
        <v>2653.34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t="s">
        <v>1496</v>
      </c>
      <c r="B2006" t="s">
        <v>562</v>
      </c>
      <c r="C2006" t="s">
        <v>1859</v>
      </c>
      <c r="D2006" t="s">
        <v>607</v>
      </c>
      <c r="E2006" t="s">
        <v>1352</v>
      </c>
      <c r="F2006" t="s">
        <v>571</v>
      </c>
      <c r="G2006" s="204"/>
      <c r="L2006">
        <v>198</v>
      </c>
      <c r="M2006">
        <v>64654.92</v>
      </c>
      <c r="N2006">
        <v>0</v>
      </c>
      <c r="O2006">
        <v>0</v>
      </c>
      <c r="P2006">
        <v>0</v>
      </c>
      <c r="Q2006">
        <v>198</v>
      </c>
      <c r="R2006">
        <v>64654.92</v>
      </c>
      <c r="S2006">
        <v>326.53999999999996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t="s">
        <v>1222</v>
      </c>
      <c r="B2007" t="s">
        <v>562</v>
      </c>
      <c r="C2007" t="s">
        <v>1859</v>
      </c>
      <c r="D2007" t="s">
        <v>673</v>
      </c>
      <c r="E2007" t="s">
        <v>1221</v>
      </c>
      <c r="F2007" t="s">
        <v>571</v>
      </c>
      <c r="G2007" s="204"/>
      <c r="L2007">
        <v>0</v>
      </c>
      <c r="M2007">
        <v>0</v>
      </c>
      <c r="N2007">
        <v>64</v>
      </c>
      <c r="O2007">
        <v>23143.040000000001</v>
      </c>
      <c r="P2007">
        <v>64</v>
      </c>
      <c r="Q2007">
        <v>64</v>
      </c>
      <c r="R2007">
        <v>23143.040000000001</v>
      </c>
      <c r="S2007">
        <v>361.61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t="s">
        <v>1414</v>
      </c>
      <c r="B2008" t="s">
        <v>562</v>
      </c>
      <c r="C2008" t="s">
        <v>1859</v>
      </c>
      <c r="D2008" t="s">
        <v>673</v>
      </c>
      <c r="E2008" t="s">
        <v>1221</v>
      </c>
      <c r="F2008" t="s">
        <v>571</v>
      </c>
      <c r="G2008" s="204"/>
      <c r="J2008">
        <v>59</v>
      </c>
      <c r="K2008">
        <v>17726.550000000003</v>
      </c>
      <c r="L2008">
        <v>60</v>
      </c>
      <c r="M2008">
        <v>23132.400000000001</v>
      </c>
      <c r="N2008">
        <v>0</v>
      </c>
      <c r="O2008">
        <v>0</v>
      </c>
      <c r="P2008">
        <v>0</v>
      </c>
      <c r="Q2008">
        <v>60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t="s">
        <v>1560</v>
      </c>
      <c r="B2009" t="s">
        <v>562</v>
      </c>
      <c r="C2009" t="s">
        <v>1859</v>
      </c>
      <c r="D2009" t="s">
        <v>610</v>
      </c>
      <c r="E2009" t="s">
        <v>1150</v>
      </c>
      <c r="F2009" t="s">
        <v>571</v>
      </c>
      <c r="G2009" s="204"/>
      <c r="H2009">
        <v>10</v>
      </c>
      <c r="I2009">
        <v>1468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t="s">
        <v>1410</v>
      </c>
      <c r="B2010" t="s">
        <v>562</v>
      </c>
      <c r="C2010" t="s">
        <v>1858</v>
      </c>
      <c r="D2010" t="s">
        <v>1897</v>
      </c>
      <c r="E2010" t="s">
        <v>1409</v>
      </c>
      <c r="F2010" t="s">
        <v>571</v>
      </c>
      <c r="G2010" s="204"/>
      <c r="L2010">
        <v>28</v>
      </c>
      <c r="M2010">
        <v>20474.16</v>
      </c>
      <c r="N2010">
        <v>0</v>
      </c>
      <c r="O2010">
        <v>0</v>
      </c>
      <c r="P2010">
        <v>0</v>
      </c>
      <c r="Q2010">
        <v>28</v>
      </c>
      <c r="R2010">
        <v>20474.16</v>
      </c>
      <c r="S2010">
        <v>731.22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t="s">
        <v>1561</v>
      </c>
      <c r="B2011" t="s">
        <v>562</v>
      </c>
      <c r="C2011" t="s">
        <v>1860</v>
      </c>
      <c r="D2011" t="s">
        <v>1906</v>
      </c>
      <c r="E2011" t="s">
        <v>1840</v>
      </c>
      <c r="F2011" t="s">
        <v>571</v>
      </c>
      <c r="G2011" s="204"/>
      <c r="J2011">
        <v>25</v>
      </c>
      <c r="K2011">
        <v>62500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t="s">
        <v>1562</v>
      </c>
      <c r="B2012" t="s">
        <v>562</v>
      </c>
      <c r="E2012" t="s">
        <v>1840</v>
      </c>
      <c r="F2012" t="s">
        <v>571</v>
      </c>
      <c r="G2012" s="204"/>
      <c r="H2012">
        <v>14</v>
      </c>
      <c r="I2012">
        <v>25764.62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t="s">
        <v>1563</v>
      </c>
      <c r="B2013" t="s">
        <v>565</v>
      </c>
      <c r="C2013" t="s">
        <v>1858</v>
      </c>
      <c r="D2013" t="s">
        <v>1897</v>
      </c>
      <c r="E2013" t="s">
        <v>1181</v>
      </c>
      <c r="F2013" t="s">
        <v>571</v>
      </c>
      <c r="G2013" s="204"/>
      <c r="H2013">
        <v>16</v>
      </c>
      <c r="I2013">
        <v>19744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1564</v>
      </c>
      <c r="B2014" t="s">
        <v>562</v>
      </c>
      <c r="C2014" t="s">
        <v>1860</v>
      </c>
      <c r="D2014" t="s">
        <v>768</v>
      </c>
      <c r="E2014" t="s">
        <v>1841</v>
      </c>
      <c r="F2014" t="s">
        <v>571</v>
      </c>
      <c r="G2014" s="204"/>
      <c r="J2014">
        <v>64</v>
      </c>
      <c r="K2014">
        <v>117440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t="s">
        <v>1565</v>
      </c>
      <c r="B2015" t="s">
        <v>562</v>
      </c>
      <c r="C2015" t="s">
        <v>1859</v>
      </c>
      <c r="D2015" t="s">
        <v>610</v>
      </c>
      <c r="E2015" t="s">
        <v>1150</v>
      </c>
      <c r="F2015" t="s">
        <v>571</v>
      </c>
      <c r="G2015" s="204"/>
      <c r="J2015">
        <v>169</v>
      </c>
      <c r="K2015">
        <v>24285.3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t="s">
        <v>1371</v>
      </c>
      <c r="B2016" t="s">
        <v>562</v>
      </c>
      <c r="C2016" t="s">
        <v>1859</v>
      </c>
      <c r="D2016" t="s">
        <v>601</v>
      </c>
      <c r="E2016" t="s">
        <v>1370</v>
      </c>
      <c r="F2016" t="s">
        <v>571</v>
      </c>
      <c r="G2016" s="204"/>
      <c r="J2016">
        <v>85</v>
      </c>
      <c r="L2016">
        <v>68</v>
      </c>
      <c r="M2016">
        <v>102000</v>
      </c>
      <c r="N2016">
        <v>0</v>
      </c>
      <c r="O2016">
        <v>0</v>
      </c>
      <c r="P2016">
        <v>0</v>
      </c>
      <c r="Q2016">
        <v>68</v>
      </c>
      <c r="R2016">
        <v>102000</v>
      </c>
      <c r="S2016">
        <v>1500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7" x14ac:dyDescent="0.25">
      <c r="A2017" t="s">
        <v>1353</v>
      </c>
      <c r="B2017" t="s">
        <v>565</v>
      </c>
      <c r="C2017" t="s">
        <v>1859</v>
      </c>
      <c r="D2017" t="s">
        <v>1889</v>
      </c>
      <c r="E2017" t="s">
        <v>1352</v>
      </c>
      <c r="F2017" t="s">
        <v>571</v>
      </c>
      <c r="G2017" s="204"/>
      <c r="L2017">
        <v>65</v>
      </c>
      <c r="M2017">
        <v>18623.8</v>
      </c>
      <c r="N2017">
        <v>0</v>
      </c>
      <c r="O2017">
        <v>0</v>
      </c>
      <c r="P2017">
        <v>0</v>
      </c>
      <c r="Q2017">
        <v>65</v>
      </c>
      <c r="R2017">
        <v>18623.8</v>
      </c>
      <c r="S2017">
        <v>286.52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7" x14ac:dyDescent="0.25">
      <c r="A2018" t="s">
        <v>1376</v>
      </c>
      <c r="B2018" t="s">
        <v>565</v>
      </c>
      <c r="C2018" t="s">
        <v>1859</v>
      </c>
      <c r="D2018" t="s">
        <v>607</v>
      </c>
      <c r="E2018" t="s">
        <v>1352</v>
      </c>
      <c r="F2018" t="s">
        <v>571</v>
      </c>
      <c r="G2018" s="204"/>
      <c r="L2018">
        <v>50</v>
      </c>
      <c r="M2018">
        <v>10583</v>
      </c>
      <c r="N2018">
        <v>0</v>
      </c>
      <c r="O2018">
        <v>0</v>
      </c>
      <c r="P2018">
        <v>0</v>
      </c>
      <c r="Q2018">
        <v>50</v>
      </c>
      <c r="R2018">
        <v>10583</v>
      </c>
      <c r="S2018">
        <v>211.66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7" x14ac:dyDescent="0.25">
      <c r="A2019" t="s">
        <v>1566</v>
      </c>
      <c r="B2019" t="s">
        <v>562</v>
      </c>
      <c r="C2019" t="s">
        <v>1860</v>
      </c>
      <c r="D2019" t="s">
        <v>1907</v>
      </c>
      <c r="E2019" t="s">
        <v>1712</v>
      </c>
      <c r="F2019" t="s">
        <v>571</v>
      </c>
      <c r="G2019" s="204"/>
      <c r="J2019">
        <v>36</v>
      </c>
      <c r="K2019">
        <v>15853.68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7" x14ac:dyDescent="0.25">
      <c r="A2020" t="s">
        <v>1182</v>
      </c>
      <c r="B2020" t="s">
        <v>565</v>
      </c>
      <c r="C2020" t="s">
        <v>1858</v>
      </c>
      <c r="D2020" t="s">
        <v>1897</v>
      </c>
      <c r="E2020" t="s">
        <v>1181</v>
      </c>
      <c r="F2020" t="s">
        <v>571</v>
      </c>
      <c r="G2020" s="204"/>
      <c r="L2020">
        <v>200</v>
      </c>
      <c r="M2020">
        <v>77181.5</v>
      </c>
      <c r="N2020">
        <v>0</v>
      </c>
      <c r="O2020">
        <v>0</v>
      </c>
      <c r="P2020">
        <v>0</v>
      </c>
      <c r="Q2020">
        <v>200</v>
      </c>
      <c r="T2020">
        <v>0</v>
      </c>
      <c r="U2020">
        <v>0</v>
      </c>
      <c r="V2020">
        <v>50</v>
      </c>
      <c r="W2020">
        <v>21515.5</v>
      </c>
      <c r="X2020">
        <v>50</v>
      </c>
      <c r="Y2020">
        <v>50</v>
      </c>
      <c r="Z2020">
        <v>21515.5</v>
      </c>
      <c r="AA2020">
        <v>430.31</v>
      </c>
    </row>
    <row r="2021" spans="1:27" x14ac:dyDescent="0.25">
      <c r="A2021" t="s">
        <v>1184</v>
      </c>
      <c r="B2021" t="s">
        <v>565</v>
      </c>
      <c r="C2021" t="s">
        <v>1858</v>
      </c>
      <c r="D2021" t="s">
        <v>1897</v>
      </c>
      <c r="E2021" t="s">
        <v>1181</v>
      </c>
      <c r="F2021" t="s">
        <v>571</v>
      </c>
      <c r="G2021" s="204"/>
      <c r="L2021">
        <v>241</v>
      </c>
      <c r="M2021">
        <v>92796.760000000009</v>
      </c>
      <c r="N2021">
        <v>0</v>
      </c>
      <c r="O2021">
        <v>0</v>
      </c>
      <c r="P2021">
        <v>0</v>
      </c>
      <c r="Q2021">
        <v>241</v>
      </c>
      <c r="T2021">
        <v>0</v>
      </c>
      <c r="U2021">
        <v>0</v>
      </c>
      <c r="V2021">
        <v>50</v>
      </c>
      <c r="W2021">
        <v>21515.5</v>
      </c>
      <c r="X2021">
        <v>50</v>
      </c>
      <c r="Y2021">
        <v>50</v>
      </c>
      <c r="Z2021">
        <v>21515.5</v>
      </c>
      <c r="AA2021">
        <v>430.31</v>
      </c>
    </row>
    <row r="2022" spans="1:27" x14ac:dyDescent="0.25">
      <c r="A2022" t="s">
        <v>1185</v>
      </c>
      <c r="B2022" t="s">
        <v>565</v>
      </c>
      <c r="C2022" t="s">
        <v>1858</v>
      </c>
      <c r="D2022" t="s">
        <v>1897</v>
      </c>
      <c r="E2022" t="s">
        <v>1181</v>
      </c>
      <c r="F2022" t="s">
        <v>571</v>
      </c>
      <c r="G2022" s="204"/>
      <c r="L2022">
        <v>200</v>
      </c>
      <c r="M2022">
        <v>77181.5</v>
      </c>
      <c r="N2022">
        <v>0</v>
      </c>
      <c r="O2022">
        <v>0</v>
      </c>
      <c r="P2022">
        <v>0</v>
      </c>
      <c r="Q2022">
        <v>200</v>
      </c>
      <c r="T2022">
        <v>0</v>
      </c>
      <c r="U2022">
        <v>0</v>
      </c>
      <c r="V2022">
        <v>50</v>
      </c>
      <c r="W2022">
        <v>21515.5</v>
      </c>
      <c r="X2022">
        <v>50</v>
      </c>
      <c r="Y2022">
        <v>50</v>
      </c>
      <c r="Z2022">
        <v>21515.5</v>
      </c>
      <c r="AA2022">
        <v>430.31</v>
      </c>
    </row>
    <row r="2023" spans="1:27" x14ac:dyDescent="0.25">
      <c r="A2023" t="s">
        <v>1183</v>
      </c>
      <c r="B2023" t="s">
        <v>565</v>
      </c>
      <c r="C2023" t="s">
        <v>1858</v>
      </c>
      <c r="D2023" t="s">
        <v>1897</v>
      </c>
      <c r="E2023" t="s">
        <v>1181</v>
      </c>
      <c r="F2023" t="s">
        <v>571</v>
      </c>
      <c r="G2023" s="204"/>
      <c r="L2023">
        <v>202</v>
      </c>
      <c r="M2023">
        <v>77943.22</v>
      </c>
      <c r="N2023">
        <v>0</v>
      </c>
      <c r="O2023">
        <v>0</v>
      </c>
      <c r="P2023">
        <v>0</v>
      </c>
      <c r="Q2023">
        <v>202</v>
      </c>
      <c r="T2023">
        <v>0</v>
      </c>
      <c r="U2023">
        <v>0</v>
      </c>
      <c r="V2023">
        <v>50</v>
      </c>
      <c r="W2023">
        <v>21515.5</v>
      </c>
      <c r="X2023">
        <v>50</v>
      </c>
      <c r="Y2023">
        <v>50</v>
      </c>
      <c r="Z2023">
        <v>21515.5</v>
      </c>
      <c r="AA2023">
        <v>430.31</v>
      </c>
    </row>
    <row r="2024" spans="1:27" x14ac:dyDescent="0.25">
      <c r="A2024" t="s">
        <v>1362</v>
      </c>
      <c r="B2024" t="s">
        <v>565</v>
      </c>
      <c r="C2024" t="s">
        <v>1859</v>
      </c>
      <c r="D2024" t="s">
        <v>977</v>
      </c>
      <c r="E2024" t="s">
        <v>1213</v>
      </c>
      <c r="F2024" t="s">
        <v>571</v>
      </c>
      <c r="G2024" s="204"/>
      <c r="H2024">
        <v>348</v>
      </c>
      <c r="I2024">
        <v>25797.239999999998</v>
      </c>
      <c r="L2024">
        <v>1325</v>
      </c>
      <c r="M2024">
        <v>112346.75</v>
      </c>
      <c r="N2024">
        <v>0</v>
      </c>
      <c r="O2024">
        <v>0</v>
      </c>
      <c r="P2024">
        <v>0</v>
      </c>
      <c r="Q2024">
        <v>1325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7" x14ac:dyDescent="0.25">
      <c r="A2025" t="s">
        <v>1214</v>
      </c>
      <c r="B2025" t="s">
        <v>565</v>
      </c>
      <c r="C2025" t="s">
        <v>1859</v>
      </c>
      <c r="D2025" t="s">
        <v>977</v>
      </c>
      <c r="E2025" t="s">
        <v>1213</v>
      </c>
      <c r="F2025" t="s">
        <v>571</v>
      </c>
      <c r="G2025" s="204"/>
      <c r="H2025">
        <v>628</v>
      </c>
      <c r="I2025">
        <v>50955.92</v>
      </c>
      <c r="L2025">
        <v>1209</v>
      </c>
      <c r="M2025">
        <v>102511.10999999999</v>
      </c>
      <c r="N2025">
        <v>403</v>
      </c>
      <c r="O2025">
        <v>34170.370000000003</v>
      </c>
      <c r="P2025">
        <v>403</v>
      </c>
      <c r="Q2025">
        <v>1612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7" x14ac:dyDescent="0.25">
      <c r="A2026" t="s">
        <v>1447</v>
      </c>
      <c r="B2026" t="s">
        <v>562</v>
      </c>
      <c r="C2026" t="s">
        <v>1858</v>
      </c>
      <c r="D2026" t="s">
        <v>1897</v>
      </c>
      <c r="E2026" t="s">
        <v>1409</v>
      </c>
      <c r="F2026" t="s">
        <v>571</v>
      </c>
      <c r="G2026" s="204"/>
      <c r="J2026">
        <v>30</v>
      </c>
      <c r="L2026">
        <v>28</v>
      </c>
      <c r="M2026">
        <v>16269.4</v>
      </c>
      <c r="N2026">
        <v>0</v>
      </c>
      <c r="O2026">
        <v>0</v>
      </c>
      <c r="P2026">
        <v>0</v>
      </c>
      <c r="Q2026">
        <v>28</v>
      </c>
      <c r="R2026">
        <v>16269.4</v>
      </c>
      <c r="S2026">
        <v>581.04999999999995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7" x14ac:dyDescent="0.25">
      <c r="A2027" t="s">
        <v>1462</v>
      </c>
      <c r="B2027" t="s">
        <v>562</v>
      </c>
      <c r="C2027" t="s">
        <v>1860</v>
      </c>
      <c r="D2027" t="s">
        <v>1908</v>
      </c>
      <c r="E2027" t="s">
        <v>1458</v>
      </c>
      <c r="F2027" t="s">
        <v>571</v>
      </c>
      <c r="G2027" s="204"/>
      <c r="H2027">
        <v>6</v>
      </c>
      <c r="I2027">
        <v>7266.66</v>
      </c>
      <c r="L2027">
        <v>16</v>
      </c>
      <c r="M2027">
        <v>20000</v>
      </c>
      <c r="N2027">
        <v>0</v>
      </c>
      <c r="O2027">
        <v>0</v>
      </c>
      <c r="P2027">
        <v>0</v>
      </c>
      <c r="Q2027">
        <v>16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7" x14ac:dyDescent="0.25">
      <c r="A2028" t="s">
        <v>1460</v>
      </c>
      <c r="B2028" t="s">
        <v>562</v>
      </c>
      <c r="C2028" t="s">
        <v>1860</v>
      </c>
      <c r="D2028" t="s">
        <v>1908</v>
      </c>
      <c r="E2028" t="s">
        <v>1458</v>
      </c>
      <c r="F2028" t="s">
        <v>571</v>
      </c>
      <c r="G2028" s="204"/>
      <c r="H2028">
        <v>8</v>
      </c>
      <c r="I2028">
        <v>8550.7999999999993</v>
      </c>
      <c r="L2028">
        <v>16</v>
      </c>
      <c r="M2028">
        <v>20000</v>
      </c>
      <c r="N2028">
        <v>0</v>
      </c>
      <c r="O2028">
        <v>0</v>
      </c>
      <c r="P2028">
        <v>0</v>
      </c>
      <c r="Q2028">
        <v>16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7" x14ac:dyDescent="0.25">
      <c r="A2029" t="s">
        <v>1459</v>
      </c>
      <c r="B2029" t="s">
        <v>562</v>
      </c>
      <c r="C2029" t="s">
        <v>1860</v>
      </c>
      <c r="D2029" t="s">
        <v>1908</v>
      </c>
      <c r="E2029" t="s">
        <v>1458</v>
      </c>
      <c r="F2029" t="s">
        <v>571</v>
      </c>
      <c r="G2029" s="204"/>
      <c r="H2029">
        <v>16</v>
      </c>
      <c r="I2029">
        <v>14844.16</v>
      </c>
      <c r="L2029">
        <v>32</v>
      </c>
      <c r="M2029">
        <v>40000</v>
      </c>
      <c r="N2029">
        <v>0</v>
      </c>
      <c r="O2029">
        <v>0</v>
      </c>
      <c r="P2029">
        <v>0</v>
      </c>
      <c r="Q2029">
        <v>32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7" x14ac:dyDescent="0.25">
      <c r="A2030" t="s">
        <v>1461</v>
      </c>
      <c r="B2030" t="s">
        <v>562</v>
      </c>
      <c r="C2030" t="s">
        <v>1860</v>
      </c>
      <c r="D2030" t="s">
        <v>1908</v>
      </c>
      <c r="E2030" t="s">
        <v>1458</v>
      </c>
      <c r="F2030" t="s">
        <v>571</v>
      </c>
      <c r="G2030" s="204"/>
      <c r="H2030">
        <v>15</v>
      </c>
      <c r="I2030">
        <v>15487.2</v>
      </c>
      <c r="L2030">
        <v>32</v>
      </c>
      <c r="M2030">
        <v>40000</v>
      </c>
      <c r="N2030">
        <v>0</v>
      </c>
      <c r="O2030">
        <v>0</v>
      </c>
      <c r="P2030">
        <v>0</v>
      </c>
      <c r="Q2030">
        <v>32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7" x14ac:dyDescent="0.25">
      <c r="A2031" t="s">
        <v>1429</v>
      </c>
      <c r="B2031" t="s">
        <v>562</v>
      </c>
      <c r="E2031" t="s">
        <v>1375</v>
      </c>
      <c r="F2031" t="s">
        <v>571</v>
      </c>
      <c r="G2031" s="204"/>
      <c r="L2031">
        <v>40</v>
      </c>
      <c r="M2031">
        <v>54530.400000000001</v>
      </c>
      <c r="N2031">
        <v>0</v>
      </c>
      <c r="O2031">
        <v>0</v>
      </c>
      <c r="P2031">
        <v>0</v>
      </c>
      <c r="Q2031">
        <v>40</v>
      </c>
      <c r="R2031">
        <v>54530.400000000001</v>
      </c>
      <c r="S2031">
        <v>1363.26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7" x14ac:dyDescent="0.25">
      <c r="A2032" t="s">
        <v>1396</v>
      </c>
      <c r="B2032" t="s">
        <v>562</v>
      </c>
      <c r="C2032" t="s">
        <v>1859</v>
      </c>
      <c r="D2032" t="s">
        <v>977</v>
      </c>
      <c r="E2032" t="s">
        <v>1395</v>
      </c>
      <c r="F2032" t="s">
        <v>571</v>
      </c>
      <c r="G2032" s="204"/>
      <c r="J2032">
        <v>37</v>
      </c>
      <c r="L2032">
        <v>30</v>
      </c>
      <c r="M2032">
        <v>26690.399999999998</v>
      </c>
      <c r="N2032">
        <v>0</v>
      </c>
      <c r="O2032">
        <v>0</v>
      </c>
      <c r="P2032">
        <v>0</v>
      </c>
      <c r="Q2032">
        <v>30</v>
      </c>
      <c r="R2032">
        <v>26690.399999999998</v>
      </c>
      <c r="S2032">
        <v>889.68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t="s">
        <v>1415</v>
      </c>
      <c r="B2033" t="s">
        <v>562</v>
      </c>
      <c r="C2033" t="s">
        <v>1859</v>
      </c>
      <c r="D2033" t="s">
        <v>601</v>
      </c>
      <c r="E2033" t="s">
        <v>1510</v>
      </c>
      <c r="F2033" t="s">
        <v>571</v>
      </c>
      <c r="G2033" s="204"/>
      <c r="L2033">
        <v>82</v>
      </c>
      <c r="M2033">
        <v>33811.879999999997</v>
      </c>
      <c r="N2033">
        <v>0</v>
      </c>
      <c r="O2033">
        <v>0</v>
      </c>
      <c r="P2033">
        <v>0</v>
      </c>
      <c r="Q2033">
        <v>82</v>
      </c>
      <c r="R2033">
        <v>33811.879999999997</v>
      </c>
      <c r="S2033">
        <v>412.34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t="s">
        <v>1432</v>
      </c>
      <c r="B2034" t="s">
        <v>562</v>
      </c>
      <c r="C2034" t="s">
        <v>1859</v>
      </c>
      <c r="D2034" t="s">
        <v>607</v>
      </c>
      <c r="E2034" t="s">
        <v>1210</v>
      </c>
      <c r="F2034" t="s">
        <v>571</v>
      </c>
      <c r="G2034" s="204"/>
      <c r="L2034">
        <v>109</v>
      </c>
      <c r="M2034">
        <v>43907.38</v>
      </c>
      <c r="N2034">
        <v>0</v>
      </c>
      <c r="O2034">
        <v>0</v>
      </c>
      <c r="P2034">
        <v>0</v>
      </c>
      <c r="Q2034">
        <v>109</v>
      </c>
      <c r="R2034">
        <v>43907.38</v>
      </c>
      <c r="S2034">
        <v>402.82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t="s">
        <v>1441</v>
      </c>
      <c r="B2035" t="s">
        <v>562</v>
      </c>
      <c r="C2035" t="s">
        <v>555</v>
      </c>
      <c r="D2035" t="s">
        <v>1909</v>
      </c>
      <c r="E2035" t="s">
        <v>1440</v>
      </c>
      <c r="F2035" t="s">
        <v>571</v>
      </c>
      <c r="G2035" s="204"/>
      <c r="J2035">
        <v>3</v>
      </c>
      <c r="K2035">
        <v>29767.5</v>
      </c>
      <c r="L2035">
        <v>13</v>
      </c>
      <c r="M2035">
        <v>148330</v>
      </c>
      <c r="N2035">
        <v>0</v>
      </c>
      <c r="O2035">
        <v>0</v>
      </c>
      <c r="P2035">
        <v>0</v>
      </c>
      <c r="Q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t="s">
        <v>1442</v>
      </c>
      <c r="B2036" t="s">
        <v>562</v>
      </c>
      <c r="C2036" t="s">
        <v>555</v>
      </c>
      <c r="D2036" t="s">
        <v>1909</v>
      </c>
      <c r="E2036" t="s">
        <v>1440</v>
      </c>
      <c r="F2036" t="s">
        <v>571</v>
      </c>
      <c r="G2036" s="204"/>
      <c r="J2036">
        <v>3</v>
      </c>
      <c r="K2036">
        <v>30930.99</v>
      </c>
      <c r="L2036">
        <v>13</v>
      </c>
      <c r="M2036">
        <v>154139.44</v>
      </c>
      <c r="N2036">
        <v>0</v>
      </c>
      <c r="O2036">
        <v>0</v>
      </c>
      <c r="P2036">
        <v>0</v>
      </c>
      <c r="Q2036">
        <v>13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t="s">
        <v>1567</v>
      </c>
      <c r="B2037" t="s">
        <v>562</v>
      </c>
      <c r="C2037" t="s">
        <v>1860</v>
      </c>
      <c r="D2037" t="s">
        <v>607</v>
      </c>
      <c r="E2037" t="s">
        <v>1210</v>
      </c>
      <c r="F2037" t="s">
        <v>571</v>
      </c>
      <c r="G2037" s="204"/>
      <c r="H2037">
        <v>294</v>
      </c>
      <c r="I2037">
        <v>63944.04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t="s">
        <v>1443</v>
      </c>
      <c r="B2038" t="s">
        <v>562</v>
      </c>
      <c r="C2038" t="s">
        <v>1860</v>
      </c>
      <c r="D2038" t="s">
        <v>607</v>
      </c>
      <c r="E2038" t="s">
        <v>1210</v>
      </c>
      <c r="F2038" t="s">
        <v>571</v>
      </c>
      <c r="G2038" s="204"/>
      <c r="L2038">
        <v>90</v>
      </c>
      <c r="M2038">
        <v>23822.1</v>
      </c>
      <c r="N2038">
        <v>0</v>
      </c>
      <c r="O2038">
        <v>0</v>
      </c>
      <c r="P2038">
        <v>0</v>
      </c>
      <c r="Q2038">
        <v>90</v>
      </c>
      <c r="R2038">
        <v>23822.1</v>
      </c>
      <c r="S2038">
        <v>264.69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t="s">
        <v>1568</v>
      </c>
      <c r="B2039" t="s">
        <v>562</v>
      </c>
      <c r="E2039" t="s">
        <v>1842</v>
      </c>
      <c r="F2039" t="s">
        <v>571</v>
      </c>
      <c r="G2039" s="204"/>
      <c r="H2039">
        <v>8</v>
      </c>
      <c r="I2039">
        <v>3836.48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t="s">
        <v>1569</v>
      </c>
      <c r="B2040" t="s">
        <v>562</v>
      </c>
      <c r="E2040" t="s">
        <v>1842</v>
      </c>
      <c r="F2040" t="s">
        <v>571</v>
      </c>
      <c r="G2040" s="204"/>
      <c r="H2040">
        <v>8</v>
      </c>
      <c r="I2040">
        <v>3554.8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t="s">
        <v>1457</v>
      </c>
      <c r="B2041" t="s">
        <v>562</v>
      </c>
      <c r="C2041" t="s">
        <v>555</v>
      </c>
      <c r="D2041" t="s">
        <v>758</v>
      </c>
      <c r="E2041" t="s">
        <v>1434</v>
      </c>
      <c r="F2041" t="s">
        <v>571</v>
      </c>
      <c r="G2041" s="204"/>
      <c r="L2041">
        <v>2</v>
      </c>
      <c r="M2041">
        <v>12150</v>
      </c>
      <c r="N2041">
        <v>0</v>
      </c>
      <c r="O2041">
        <v>0</v>
      </c>
      <c r="P2041">
        <v>0</v>
      </c>
      <c r="Q2041">
        <v>2</v>
      </c>
      <c r="R2041">
        <v>12150</v>
      </c>
      <c r="S2041">
        <v>6075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t="s">
        <v>1570</v>
      </c>
      <c r="B2042" t="s">
        <v>554</v>
      </c>
      <c r="C2042" t="s">
        <v>569</v>
      </c>
      <c r="D2042" t="s">
        <v>569</v>
      </c>
      <c r="E2042" t="s">
        <v>1373</v>
      </c>
      <c r="F2042" t="s">
        <v>571</v>
      </c>
      <c r="G2042" s="204"/>
      <c r="H2042">
        <v>6</v>
      </c>
      <c r="I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t="s">
        <v>1571</v>
      </c>
      <c r="B2043" t="s">
        <v>562</v>
      </c>
      <c r="C2043" t="s">
        <v>1860</v>
      </c>
      <c r="D2043" t="s">
        <v>1910</v>
      </c>
      <c r="E2043" t="s">
        <v>1775</v>
      </c>
      <c r="F2043" t="s">
        <v>571</v>
      </c>
      <c r="G2043" s="204"/>
      <c r="H2043">
        <v>2</v>
      </c>
      <c r="I2043">
        <v>5000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t="s">
        <v>1572</v>
      </c>
      <c r="B2044" t="s">
        <v>554</v>
      </c>
      <c r="C2044" t="s">
        <v>564</v>
      </c>
      <c r="D2044" t="s">
        <v>1911</v>
      </c>
      <c r="E2044" t="s">
        <v>1816</v>
      </c>
      <c r="F2044" t="s">
        <v>571</v>
      </c>
      <c r="G2044" s="204"/>
      <c r="H2044">
        <v>255</v>
      </c>
      <c r="I2044">
        <v>76500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t="s">
        <v>1573</v>
      </c>
      <c r="B2045" t="s">
        <v>554</v>
      </c>
      <c r="C2045" t="s">
        <v>564</v>
      </c>
      <c r="D2045" t="s">
        <v>1911</v>
      </c>
      <c r="E2045" t="s">
        <v>1816</v>
      </c>
      <c r="F2045" t="s">
        <v>571</v>
      </c>
      <c r="G2045" s="204"/>
      <c r="H2045">
        <v>255</v>
      </c>
      <c r="I2045">
        <v>76500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t="s">
        <v>1574</v>
      </c>
      <c r="B2046" t="s">
        <v>562</v>
      </c>
      <c r="C2046" t="s">
        <v>555</v>
      </c>
      <c r="D2046" t="s">
        <v>969</v>
      </c>
      <c r="E2046" t="s">
        <v>1434</v>
      </c>
      <c r="F2046" t="s">
        <v>571</v>
      </c>
      <c r="G2046" s="204"/>
      <c r="H2046">
        <v>4</v>
      </c>
      <c r="I2046">
        <v>10000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t="s">
        <v>1575</v>
      </c>
      <c r="B2047" t="s">
        <v>554</v>
      </c>
      <c r="C2047" t="s">
        <v>1860</v>
      </c>
      <c r="D2047" t="s">
        <v>1912</v>
      </c>
      <c r="E2047" t="s">
        <v>1167</v>
      </c>
      <c r="F2047" t="s">
        <v>571</v>
      </c>
      <c r="G2047" s="204"/>
      <c r="J2047">
        <v>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t="s">
        <v>1576</v>
      </c>
      <c r="B2048" t="s">
        <v>562</v>
      </c>
      <c r="C2048" t="s">
        <v>555</v>
      </c>
      <c r="D2048" t="s">
        <v>600</v>
      </c>
      <c r="E2048" t="s">
        <v>1434</v>
      </c>
      <c r="F2048" t="s">
        <v>571</v>
      </c>
      <c r="G2048" s="204"/>
      <c r="J2048">
        <v>8</v>
      </c>
      <c r="K2048">
        <v>10000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7" x14ac:dyDescent="0.25">
      <c r="A2049" t="s">
        <v>1507</v>
      </c>
      <c r="C2049" t="s">
        <v>555</v>
      </c>
      <c r="D2049" t="s">
        <v>969</v>
      </c>
      <c r="E2049" t="s">
        <v>1434</v>
      </c>
      <c r="F2049" t="s">
        <v>571</v>
      </c>
      <c r="G2049" s="204"/>
      <c r="L2049">
        <v>4</v>
      </c>
      <c r="M2049">
        <v>10000</v>
      </c>
      <c r="N2049">
        <v>0</v>
      </c>
      <c r="O2049">
        <v>0</v>
      </c>
      <c r="P2049">
        <v>0</v>
      </c>
      <c r="Q2049">
        <v>4</v>
      </c>
      <c r="R2049">
        <v>10000</v>
      </c>
      <c r="S2049">
        <v>2500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7" x14ac:dyDescent="0.25">
      <c r="A2050" t="s">
        <v>1113</v>
      </c>
      <c r="E2050" t="s">
        <v>1111</v>
      </c>
      <c r="F2050" t="s">
        <v>571</v>
      </c>
      <c r="G2050" s="204"/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T2050">
        <v>0</v>
      </c>
      <c r="U2050">
        <v>0</v>
      </c>
      <c r="V2050">
        <v>2</v>
      </c>
      <c r="W2050">
        <v>0</v>
      </c>
      <c r="X2050">
        <v>0</v>
      </c>
      <c r="Y2050">
        <v>0</v>
      </c>
      <c r="Z2050">
        <v>0</v>
      </c>
    </row>
    <row r="2051" spans="1:27" x14ac:dyDescent="0.25">
      <c r="A2051" t="s">
        <v>716</v>
      </c>
      <c r="B2051" t="s">
        <v>556</v>
      </c>
      <c r="C2051" t="s">
        <v>1859</v>
      </c>
      <c r="D2051" t="s">
        <v>607</v>
      </c>
      <c r="E2051" t="s">
        <v>1295</v>
      </c>
      <c r="F2051" t="s">
        <v>571</v>
      </c>
      <c r="G2051" s="204"/>
      <c r="L2051">
        <v>345</v>
      </c>
      <c r="M2051">
        <v>14621.1</v>
      </c>
      <c r="N2051">
        <v>0</v>
      </c>
      <c r="O2051">
        <v>0</v>
      </c>
      <c r="P2051">
        <v>0</v>
      </c>
      <c r="Q2051">
        <v>345</v>
      </c>
      <c r="T2051">
        <v>0</v>
      </c>
      <c r="U2051">
        <v>0</v>
      </c>
      <c r="V2051">
        <v>250</v>
      </c>
      <c r="W2051">
        <v>24355</v>
      </c>
      <c r="X2051">
        <v>250</v>
      </c>
      <c r="Y2051">
        <v>250</v>
      </c>
      <c r="Z2051">
        <v>24355</v>
      </c>
      <c r="AA2051">
        <v>97.42</v>
      </c>
    </row>
    <row r="2052" spans="1:27" x14ac:dyDescent="0.25">
      <c r="A2052" t="s">
        <v>1174</v>
      </c>
      <c r="C2052" t="s">
        <v>1860</v>
      </c>
      <c r="D2052" t="s">
        <v>569</v>
      </c>
      <c r="E2052" t="s">
        <v>1197</v>
      </c>
      <c r="F2052" t="s">
        <v>571</v>
      </c>
      <c r="G2052" s="204"/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T2052">
        <v>0</v>
      </c>
      <c r="U2052">
        <v>0</v>
      </c>
      <c r="V2052">
        <v>2</v>
      </c>
      <c r="W2052">
        <v>0</v>
      </c>
      <c r="X2052">
        <v>2</v>
      </c>
      <c r="Y2052">
        <v>2</v>
      </c>
      <c r="Z2052">
        <v>0</v>
      </c>
      <c r="AA2052">
        <v>0</v>
      </c>
    </row>
    <row r="2053" spans="1:27" x14ac:dyDescent="0.25">
      <c r="A2053" t="s">
        <v>1174</v>
      </c>
      <c r="C2053" t="s">
        <v>1860</v>
      </c>
      <c r="D2053" t="s">
        <v>569</v>
      </c>
      <c r="E2053" t="s">
        <v>1198</v>
      </c>
      <c r="F2053" t="s">
        <v>571</v>
      </c>
      <c r="G2053" s="204"/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T2053">
        <v>0</v>
      </c>
      <c r="U2053">
        <v>0</v>
      </c>
      <c r="V2053">
        <v>1</v>
      </c>
      <c r="W2053">
        <v>0</v>
      </c>
      <c r="X2053">
        <v>1</v>
      </c>
      <c r="Y2053">
        <v>1</v>
      </c>
      <c r="Z2053">
        <v>0</v>
      </c>
      <c r="AA2053">
        <v>0</v>
      </c>
    </row>
    <row r="2054" spans="1:27" x14ac:dyDescent="0.25">
      <c r="A2054" t="s">
        <v>1174</v>
      </c>
      <c r="C2054" t="s">
        <v>1860</v>
      </c>
      <c r="D2054" t="s">
        <v>569</v>
      </c>
      <c r="E2054" t="s">
        <v>1173</v>
      </c>
      <c r="F2054" t="s">
        <v>571</v>
      </c>
      <c r="G2054" s="204"/>
      <c r="L2054">
        <v>0</v>
      </c>
      <c r="M2054">
        <v>0</v>
      </c>
      <c r="N2054">
        <v>1</v>
      </c>
      <c r="O2054">
        <v>0</v>
      </c>
      <c r="P2054">
        <v>1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5</v>
      </c>
      <c r="W2054">
        <v>0</v>
      </c>
      <c r="X2054">
        <v>5</v>
      </c>
      <c r="Y2054">
        <v>5</v>
      </c>
    </row>
    <row r="2055" spans="1:27" x14ac:dyDescent="0.25">
      <c r="A2055" t="s">
        <v>1133</v>
      </c>
      <c r="B2055" t="s">
        <v>556</v>
      </c>
      <c r="C2055" t="s">
        <v>1860</v>
      </c>
      <c r="D2055" t="s">
        <v>1913</v>
      </c>
      <c r="E2055" t="s">
        <v>1843</v>
      </c>
      <c r="F2055" t="s">
        <v>571</v>
      </c>
      <c r="G2055" s="204"/>
      <c r="J2055">
        <v>13</v>
      </c>
      <c r="K2055">
        <v>42419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7" x14ac:dyDescent="0.25">
      <c r="A2056" t="s">
        <v>1133</v>
      </c>
      <c r="B2056" t="s">
        <v>556</v>
      </c>
      <c r="C2056" t="s">
        <v>1860</v>
      </c>
      <c r="D2056" t="s">
        <v>1913</v>
      </c>
      <c r="E2056" t="s">
        <v>1132</v>
      </c>
      <c r="F2056" t="s">
        <v>571</v>
      </c>
      <c r="G2056" s="204"/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T2056">
        <v>0</v>
      </c>
      <c r="U2056">
        <v>0</v>
      </c>
      <c r="V2056">
        <v>50</v>
      </c>
      <c r="W2056">
        <v>0</v>
      </c>
      <c r="X2056">
        <v>0</v>
      </c>
      <c r="Y2056">
        <v>0</v>
      </c>
      <c r="Z2056">
        <v>0</v>
      </c>
    </row>
    <row r="2057" spans="1:27" x14ac:dyDescent="0.25">
      <c r="A2057" t="s">
        <v>352</v>
      </c>
      <c r="B2057" t="s">
        <v>556</v>
      </c>
      <c r="C2057" t="s">
        <v>1859</v>
      </c>
      <c r="D2057" t="s">
        <v>597</v>
      </c>
      <c r="E2057" t="s">
        <v>1167</v>
      </c>
      <c r="F2057" t="s">
        <v>571</v>
      </c>
      <c r="G2057" s="204"/>
      <c r="L2057">
        <v>615</v>
      </c>
      <c r="M2057">
        <v>157483.04999999999</v>
      </c>
      <c r="N2057">
        <v>278</v>
      </c>
      <c r="O2057">
        <v>71187.460000000006</v>
      </c>
      <c r="P2057">
        <v>278</v>
      </c>
      <c r="Q2057">
        <v>893</v>
      </c>
      <c r="T2057">
        <v>0</v>
      </c>
      <c r="U2057">
        <v>0</v>
      </c>
      <c r="V2057">
        <v>524</v>
      </c>
      <c r="W2057">
        <v>134180.68</v>
      </c>
      <c r="X2057">
        <v>524</v>
      </c>
      <c r="Y2057">
        <v>524</v>
      </c>
      <c r="Z2057">
        <v>134180.68</v>
      </c>
      <c r="AA2057">
        <v>256.07</v>
      </c>
    </row>
    <row r="2058" spans="1:27" x14ac:dyDescent="0.25">
      <c r="A2058" t="s">
        <v>353</v>
      </c>
      <c r="B2058" t="s">
        <v>556</v>
      </c>
      <c r="C2058" t="s">
        <v>1859</v>
      </c>
      <c r="D2058" t="s">
        <v>597</v>
      </c>
      <c r="E2058" t="s">
        <v>1167</v>
      </c>
      <c r="F2058" t="s">
        <v>571</v>
      </c>
      <c r="G2058" s="204"/>
      <c r="L2058">
        <v>8</v>
      </c>
      <c r="M2058">
        <v>2420.4</v>
      </c>
      <c r="N2058">
        <v>241</v>
      </c>
      <c r="O2058">
        <v>72914.55</v>
      </c>
      <c r="P2058">
        <v>241</v>
      </c>
      <c r="Q2058">
        <v>249</v>
      </c>
      <c r="R2058">
        <v>75334.95</v>
      </c>
      <c r="S2058">
        <v>302.55</v>
      </c>
      <c r="T2058">
        <v>0</v>
      </c>
      <c r="U2058">
        <v>0</v>
      </c>
      <c r="V2058">
        <v>468</v>
      </c>
      <c r="W2058">
        <v>141593.40000000002</v>
      </c>
      <c r="X2058">
        <v>468</v>
      </c>
      <c r="Y2058">
        <v>468</v>
      </c>
    </row>
    <row r="2059" spans="1:27" x14ac:dyDescent="0.25">
      <c r="A2059" t="s">
        <v>354</v>
      </c>
      <c r="B2059" t="s">
        <v>556</v>
      </c>
      <c r="C2059" t="s">
        <v>1859</v>
      </c>
      <c r="D2059" t="s">
        <v>597</v>
      </c>
      <c r="E2059" t="s">
        <v>1167</v>
      </c>
      <c r="F2059" t="s">
        <v>571</v>
      </c>
      <c r="G2059" s="204"/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T2059">
        <v>0</v>
      </c>
      <c r="U2059">
        <v>0</v>
      </c>
      <c r="V2059">
        <v>456</v>
      </c>
      <c r="W2059">
        <v>185418.72</v>
      </c>
      <c r="X2059">
        <v>456</v>
      </c>
      <c r="Y2059">
        <v>456</v>
      </c>
      <c r="Z2059">
        <v>185418.72000000003</v>
      </c>
      <c r="AA2059">
        <v>406.62000000000006</v>
      </c>
    </row>
    <row r="2060" spans="1:27" x14ac:dyDescent="0.25">
      <c r="A2060" t="s">
        <v>355</v>
      </c>
      <c r="B2060" t="s">
        <v>556</v>
      </c>
      <c r="C2060" t="s">
        <v>1859</v>
      </c>
      <c r="D2060" t="s">
        <v>618</v>
      </c>
      <c r="E2060" t="s">
        <v>1167</v>
      </c>
      <c r="F2060" t="s">
        <v>571</v>
      </c>
      <c r="G2060" s="204"/>
      <c r="L2060">
        <v>845</v>
      </c>
      <c r="M2060">
        <v>639284.75</v>
      </c>
      <c r="N2060">
        <v>744</v>
      </c>
      <c r="O2060">
        <v>562873.19999999995</v>
      </c>
      <c r="P2060">
        <v>744</v>
      </c>
      <c r="Q2060">
        <v>1589</v>
      </c>
      <c r="T2060">
        <v>0</v>
      </c>
      <c r="U2060">
        <v>0</v>
      </c>
      <c r="V2060">
        <v>1150</v>
      </c>
      <c r="W2060">
        <v>870032.5</v>
      </c>
      <c r="X2060">
        <v>1150</v>
      </c>
      <c r="Y2060">
        <v>1150</v>
      </c>
      <c r="Z2060">
        <v>870032.5</v>
      </c>
      <c r="AA2060">
        <v>756.55</v>
      </c>
    </row>
    <row r="2061" spans="1:27" x14ac:dyDescent="0.25">
      <c r="A2061" t="s">
        <v>355</v>
      </c>
      <c r="B2061" t="s">
        <v>556</v>
      </c>
      <c r="C2061" t="s">
        <v>1859</v>
      </c>
      <c r="D2061" t="s">
        <v>618</v>
      </c>
      <c r="E2061" t="s">
        <v>1111</v>
      </c>
      <c r="F2061" t="s">
        <v>571</v>
      </c>
      <c r="G2061" s="204"/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T2061">
        <v>0</v>
      </c>
      <c r="U2061">
        <v>0</v>
      </c>
      <c r="V2061">
        <v>345</v>
      </c>
      <c r="W2061">
        <v>0.03</v>
      </c>
      <c r="X2061">
        <v>0</v>
      </c>
      <c r="Y2061">
        <v>0</v>
      </c>
      <c r="Z2061">
        <v>0.03</v>
      </c>
    </row>
    <row r="2062" spans="1:27" x14ac:dyDescent="0.25">
      <c r="A2062" t="s">
        <v>356</v>
      </c>
      <c r="B2062" t="s">
        <v>556</v>
      </c>
      <c r="C2062" t="s">
        <v>1859</v>
      </c>
      <c r="D2062" t="s">
        <v>592</v>
      </c>
      <c r="E2062" t="s">
        <v>1167</v>
      </c>
      <c r="F2062" t="s">
        <v>571</v>
      </c>
      <c r="G2062" s="204"/>
      <c r="J2062">
        <v>149</v>
      </c>
      <c r="K2062">
        <v>122716.4</v>
      </c>
      <c r="L2062">
        <v>213</v>
      </c>
      <c r="M2062">
        <v>191874.45</v>
      </c>
      <c r="N2062">
        <v>170</v>
      </c>
      <c r="O2062">
        <v>159842.5</v>
      </c>
      <c r="P2062">
        <v>170</v>
      </c>
      <c r="Q2062">
        <v>383</v>
      </c>
      <c r="T2062">
        <v>0</v>
      </c>
      <c r="U2062">
        <v>0</v>
      </c>
      <c r="V2062">
        <v>347</v>
      </c>
      <c r="W2062">
        <v>326266.75</v>
      </c>
      <c r="X2062">
        <v>347</v>
      </c>
      <c r="Y2062">
        <v>347</v>
      </c>
    </row>
    <row r="2063" spans="1:27" x14ac:dyDescent="0.25">
      <c r="A2063" t="s">
        <v>357</v>
      </c>
      <c r="B2063" t="s">
        <v>556</v>
      </c>
      <c r="C2063" t="s">
        <v>1859</v>
      </c>
      <c r="D2063" t="s">
        <v>597</v>
      </c>
      <c r="E2063" t="s">
        <v>1167</v>
      </c>
      <c r="F2063" t="s">
        <v>571</v>
      </c>
      <c r="G2063" s="204"/>
      <c r="L2063">
        <v>84</v>
      </c>
      <c r="M2063">
        <v>60165.84</v>
      </c>
      <c r="N2063">
        <v>78</v>
      </c>
      <c r="O2063">
        <v>55868.28</v>
      </c>
      <c r="P2063">
        <v>78</v>
      </c>
      <c r="Q2063">
        <v>162</v>
      </c>
      <c r="R2063">
        <v>116034.12</v>
      </c>
      <c r="S2063">
        <v>716.26</v>
      </c>
      <c r="T2063">
        <v>0</v>
      </c>
      <c r="U2063">
        <v>0</v>
      </c>
      <c r="V2063">
        <v>272</v>
      </c>
      <c r="W2063">
        <v>194822.72</v>
      </c>
      <c r="X2063">
        <v>272</v>
      </c>
      <c r="Y2063">
        <v>272</v>
      </c>
    </row>
    <row r="2064" spans="1:27" x14ac:dyDescent="0.25">
      <c r="A2064" t="s">
        <v>227</v>
      </c>
      <c r="B2064" t="s">
        <v>556</v>
      </c>
      <c r="C2064" t="s">
        <v>1859</v>
      </c>
      <c r="D2064" t="s">
        <v>601</v>
      </c>
      <c r="E2064" t="s">
        <v>1167</v>
      </c>
      <c r="F2064" t="s">
        <v>571</v>
      </c>
      <c r="G2064" s="204"/>
      <c r="L2064">
        <v>2</v>
      </c>
      <c r="M2064">
        <v>1810</v>
      </c>
      <c r="N2064">
        <v>0</v>
      </c>
      <c r="O2064">
        <v>0</v>
      </c>
      <c r="P2064">
        <v>0</v>
      </c>
      <c r="Q2064">
        <v>2</v>
      </c>
      <c r="R2064">
        <v>1810</v>
      </c>
      <c r="S2064">
        <v>905</v>
      </c>
      <c r="T2064">
        <v>0</v>
      </c>
      <c r="U2064">
        <v>0</v>
      </c>
      <c r="V2064">
        <v>10</v>
      </c>
      <c r="W2064">
        <v>9050</v>
      </c>
      <c r="X2064">
        <v>10</v>
      </c>
      <c r="Y2064">
        <v>10</v>
      </c>
    </row>
    <row r="2065" spans="1:27" x14ac:dyDescent="0.25">
      <c r="A2065" t="s">
        <v>358</v>
      </c>
      <c r="B2065" t="s">
        <v>556</v>
      </c>
      <c r="C2065" t="s">
        <v>1859</v>
      </c>
      <c r="D2065" t="s">
        <v>581</v>
      </c>
      <c r="E2065" t="s">
        <v>1169</v>
      </c>
      <c r="F2065" t="s">
        <v>571</v>
      </c>
      <c r="G2065" s="204"/>
      <c r="H2065">
        <v>102</v>
      </c>
      <c r="I2065">
        <v>93625.260000000024</v>
      </c>
      <c r="L2065">
        <v>382</v>
      </c>
      <c r="M2065">
        <v>348059.29999999981</v>
      </c>
      <c r="N2065">
        <v>20</v>
      </c>
      <c r="O2065">
        <v>18223</v>
      </c>
      <c r="P2065">
        <v>20</v>
      </c>
      <c r="Q2065">
        <v>402</v>
      </c>
      <c r="T2065">
        <v>0</v>
      </c>
      <c r="U2065">
        <v>0</v>
      </c>
      <c r="V2065">
        <v>663</v>
      </c>
      <c r="W2065">
        <v>675949.15000000014</v>
      </c>
      <c r="X2065">
        <v>663</v>
      </c>
      <c r="Y2065">
        <v>663</v>
      </c>
    </row>
    <row r="2066" spans="1:27" x14ac:dyDescent="0.25">
      <c r="A2066" t="s">
        <v>359</v>
      </c>
      <c r="B2066" t="s">
        <v>556</v>
      </c>
      <c r="C2066" t="s">
        <v>1859</v>
      </c>
      <c r="D2066" t="s">
        <v>581</v>
      </c>
      <c r="E2066" t="s">
        <v>1169</v>
      </c>
      <c r="F2066" t="s">
        <v>571</v>
      </c>
      <c r="G2066" s="204"/>
      <c r="H2066">
        <v>74</v>
      </c>
      <c r="I2066">
        <v>77922.020000000048</v>
      </c>
      <c r="L2066">
        <v>175</v>
      </c>
      <c r="M2066">
        <v>181707.74999999997</v>
      </c>
      <c r="N2066">
        <v>12</v>
      </c>
      <c r="O2066">
        <v>12459.96</v>
      </c>
      <c r="P2066">
        <v>12</v>
      </c>
      <c r="Q2066">
        <v>187</v>
      </c>
      <c r="T2066">
        <v>0</v>
      </c>
      <c r="U2066">
        <v>0</v>
      </c>
      <c r="V2066">
        <v>665</v>
      </c>
      <c r="W2066">
        <v>690489.45000000007</v>
      </c>
      <c r="X2066">
        <v>665</v>
      </c>
      <c r="Y2066">
        <v>665</v>
      </c>
    </row>
    <row r="2067" spans="1:27" x14ac:dyDescent="0.25">
      <c r="A2067" t="s">
        <v>228</v>
      </c>
      <c r="B2067" t="s">
        <v>556</v>
      </c>
      <c r="C2067" t="s">
        <v>1859</v>
      </c>
      <c r="D2067" t="s">
        <v>601</v>
      </c>
      <c r="E2067" t="s">
        <v>1152</v>
      </c>
      <c r="F2067" t="s">
        <v>571</v>
      </c>
      <c r="G2067" s="204"/>
      <c r="H2067">
        <v>75</v>
      </c>
      <c r="I2067">
        <v>11772.75</v>
      </c>
      <c r="L2067">
        <v>105</v>
      </c>
      <c r="M2067">
        <v>16481.849999999999</v>
      </c>
      <c r="N2067">
        <v>0</v>
      </c>
      <c r="O2067">
        <v>0</v>
      </c>
      <c r="P2067">
        <v>0</v>
      </c>
      <c r="Q2067">
        <v>105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7" x14ac:dyDescent="0.25">
      <c r="A2068" t="s">
        <v>228</v>
      </c>
      <c r="B2068" t="s">
        <v>556</v>
      </c>
      <c r="C2068" t="s">
        <v>1859</v>
      </c>
      <c r="D2068" t="s">
        <v>601</v>
      </c>
      <c r="E2068" t="s">
        <v>1167</v>
      </c>
      <c r="F2068" t="s">
        <v>571</v>
      </c>
      <c r="G2068" s="204"/>
      <c r="L2068">
        <v>46</v>
      </c>
      <c r="M2068">
        <v>7220.6200000000008</v>
      </c>
      <c r="N2068">
        <v>15</v>
      </c>
      <c r="O2068">
        <v>2354.5500000000002</v>
      </c>
      <c r="P2068">
        <v>15</v>
      </c>
      <c r="Q2068">
        <v>61</v>
      </c>
      <c r="R2068">
        <v>9575.1700000000019</v>
      </c>
      <c r="S2068">
        <v>156.97000000000003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7" x14ac:dyDescent="0.25">
      <c r="A2069" t="s">
        <v>229</v>
      </c>
      <c r="B2069" t="s">
        <v>556</v>
      </c>
      <c r="C2069" t="s">
        <v>1859</v>
      </c>
      <c r="D2069" t="s">
        <v>601</v>
      </c>
      <c r="E2069" t="s">
        <v>1152</v>
      </c>
      <c r="F2069" t="s">
        <v>571</v>
      </c>
      <c r="G2069" s="204"/>
      <c r="L2069">
        <v>146</v>
      </c>
      <c r="M2069">
        <v>24161.54</v>
      </c>
      <c r="N2069">
        <v>0</v>
      </c>
      <c r="O2069">
        <v>0</v>
      </c>
      <c r="P2069">
        <v>0</v>
      </c>
      <c r="Q2069">
        <v>146</v>
      </c>
      <c r="R2069">
        <v>24161.54</v>
      </c>
      <c r="S2069">
        <v>165.49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7" x14ac:dyDescent="0.25">
      <c r="A2070" t="s">
        <v>229</v>
      </c>
      <c r="B2070" t="s">
        <v>556</v>
      </c>
      <c r="C2070" t="s">
        <v>1859</v>
      </c>
      <c r="D2070" t="s">
        <v>601</v>
      </c>
      <c r="E2070" t="s">
        <v>1167</v>
      </c>
      <c r="F2070" t="s">
        <v>571</v>
      </c>
      <c r="G2070" s="204"/>
      <c r="L2070">
        <v>75</v>
      </c>
      <c r="M2070">
        <v>12411.75</v>
      </c>
      <c r="N2070">
        <v>0</v>
      </c>
      <c r="O2070">
        <v>0</v>
      </c>
      <c r="P2070">
        <v>0</v>
      </c>
      <c r="Q2070">
        <v>75</v>
      </c>
      <c r="T2070">
        <v>0</v>
      </c>
      <c r="U2070">
        <v>0</v>
      </c>
      <c r="V2070">
        <v>3</v>
      </c>
      <c r="W2070">
        <v>496.47</v>
      </c>
      <c r="X2070">
        <v>3</v>
      </c>
      <c r="Y2070">
        <v>3</v>
      </c>
      <c r="Z2070">
        <v>496.47</v>
      </c>
      <c r="AA2070">
        <v>165.49</v>
      </c>
    </row>
    <row r="2071" spans="1:27" x14ac:dyDescent="0.25">
      <c r="A2071" t="s">
        <v>230</v>
      </c>
      <c r="B2071" t="s">
        <v>556</v>
      </c>
      <c r="C2071" t="s">
        <v>1859</v>
      </c>
      <c r="D2071" t="s">
        <v>601</v>
      </c>
      <c r="E2071" t="s">
        <v>1152</v>
      </c>
      <c r="F2071" t="s">
        <v>571</v>
      </c>
      <c r="G2071" s="204"/>
      <c r="H2071">
        <v>150</v>
      </c>
      <c r="I2071">
        <v>25023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7" x14ac:dyDescent="0.25">
      <c r="A2072" t="s">
        <v>230</v>
      </c>
      <c r="B2072" t="s">
        <v>556</v>
      </c>
      <c r="C2072" t="s">
        <v>1859</v>
      </c>
      <c r="D2072" t="s">
        <v>601</v>
      </c>
      <c r="E2072" t="s">
        <v>1167</v>
      </c>
      <c r="F2072" t="s">
        <v>571</v>
      </c>
      <c r="G2072" s="204"/>
      <c r="L2072">
        <v>13</v>
      </c>
      <c r="M2072">
        <v>2168.66</v>
      </c>
      <c r="N2072">
        <v>13</v>
      </c>
      <c r="O2072">
        <v>2168.66</v>
      </c>
      <c r="P2072">
        <v>13</v>
      </c>
      <c r="Q2072">
        <v>26</v>
      </c>
      <c r="T2072">
        <v>0</v>
      </c>
      <c r="U2072">
        <v>0</v>
      </c>
      <c r="V2072">
        <v>17</v>
      </c>
      <c r="W2072">
        <v>2835.94</v>
      </c>
      <c r="X2072">
        <v>17</v>
      </c>
      <c r="Y2072">
        <v>17</v>
      </c>
      <c r="Z2072">
        <v>2835.94</v>
      </c>
      <c r="AA2072">
        <v>166.82</v>
      </c>
    </row>
    <row r="2073" spans="1:27" x14ac:dyDescent="0.25">
      <c r="A2073" t="s">
        <v>231</v>
      </c>
      <c r="B2073" t="s">
        <v>556</v>
      </c>
      <c r="C2073" t="s">
        <v>1859</v>
      </c>
      <c r="D2073" t="s">
        <v>601</v>
      </c>
      <c r="E2073" t="s">
        <v>1152</v>
      </c>
      <c r="F2073" t="s">
        <v>571</v>
      </c>
      <c r="G2073" s="204"/>
      <c r="L2073">
        <v>132</v>
      </c>
      <c r="M2073">
        <v>23082.84</v>
      </c>
      <c r="N2073">
        <v>0</v>
      </c>
      <c r="O2073">
        <v>0</v>
      </c>
      <c r="P2073">
        <v>0</v>
      </c>
      <c r="Q2073">
        <v>132</v>
      </c>
      <c r="R2073">
        <v>23082.84</v>
      </c>
      <c r="S2073">
        <v>174.87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7" x14ac:dyDescent="0.25">
      <c r="A2074" t="s">
        <v>231</v>
      </c>
      <c r="B2074" t="s">
        <v>556</v>
      </c>
      <c r="C2074" t="s">
        <v>1859</v>
      </c>
      <c r="D2074" t="s">
        <v>601</v>
      </c>
      <c r="E2074" t="s">
        <v>1167</v>
      </c>
      <c r="F2074" t="s">
        <v>571</v>
      </c>
      <c r="G2074" s="204"/>
      <c r="L2074">
        <v>94</v>
      </c>
      <c r="M2074">
        <v>16437.78</v>
      </c>
      <c r="N2074">
        <v>9</v>
      </c>
      <c r="O2074">
        <v>1573.83</v>
      </c>
      <c r="P2074">
        <v>9</v>
      </c>
      <c r="Q2074">
        <v>103</v>
      </c>
      <c r="T2074">
        <v>0</v>
      </c>
      <c r="U2074">
        <v>0</v>
      </c>
      <c r="V2074">
        <v>7</v>
      </c>
      <c r="W2074">
        <v>1224.0899999999999</v>
      </c>
      <c r="X2074">
        <v>7</v>
      </c>
      <c r="Y2074">
        <v>7</v>
      </c>
      <c r="Z2074">
        <v>1224.0899999999999</v>
      </c>
      <c r="AA2074">
        <v>174.86999999999998</v>
      </c>
    </row>
    <row r="2075" spans="1:27" x14ac:dyDescent="0.25">
      <c r="A2075" t="s">
        <v>232</v>
      </c>
      <c r="B2075" t="s">
        <v>556</v>
      </c>
      <c r="C2075" t="s">
        <v>1859</v>
      </c>
      <c r="D2075" t="s">
        <v>601</v>
      </c>
      <c r="E2075" t="s">
        <v>1152</v>
      </c>
      <c r="F2075" t="s">
        <v>571</v>
      </c>
      <c r="G2075" s="204"/>
      <c r="L2075">
        <v>53</v>
      </c>
      <c r="M2075">
        <v>8826.6200000000008</v>
      </c>
      <c r="N2075">
        <v>0</v>
      </c>
      <c r="O2075">
        <v>0</v>
      </c>
      <c r="P2075">
        <v>0</v>
      </c>
      <c r="Q2075">
        <v>53</v>
      </c>
      <c r="R2075">
        <v>8826.6200000000008</v>
      </c>
      <c r="S2075">
        <v>166.54000000000002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7" x14ac:dyDescent="0.25">
      <c r="A2076" t="s">
        <v>232</v>
      </c>
      <c r="B2076" t="s">
        <v>556</v>
      </c>
      <c r="C2076" t="s">
        <v>1859</v>
      </c>
      <c r="D2076" t="s">
        <v>601</v>
      </c>
      <c r="E2076" t="s">
        <v>1167</v>
      </c>
      <c r="F2076" t="s">
        <v>571</v>
      </c>
      <c r="G2076" s="204"/>
      <c r="L2076">
        <v>0</v>
      </c>
      <c r="M2076">
        <v>0</v>
      </c>
      <c r="N2076">
        <v>18</v>
      </c>
      <c r="O2076">
        <v>2997.72</v>
      </c>
      <c r="P2076">
        <v>18</v>
      </c>
      <c r="Q2076">
        <v>18</v>
      </c>
      <c r="R2076">
        <v>2997.72</v>
      </c>
      <c r="S2076">
        <v>166.54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7" x14ac:dyDescent="0.25">
      <c r="A2077" t="s">
        <v>360</v>
      </c>
      <c r="B2077" t="s">
        <v>556</v>
      </c>
      <c r="C2077" t="s">
        <v>1859</v>
      </c>
      <c r="D2077" t="s">
        <v>581</v>
      </c>
      <c r="E2077" t="s">
        <v>1169</v>
      </c>
      <c r="F2077" t="s">
        <v>578</v>
      </c>
      <c r="G2077" s="204">
        <v>46022</v>
      </c>
      <c r="H2077">
        <v>173</v>
      </c>
      <c r="I2077">
        <v>69235.819999999992</v>
      </c>
      <c r="L2077">
        <v>292</v>
      </c>
      <c r="M2077">
        <v>117938.79999999996</v>
      </c>
      <c r="N2077">
        <v>15</v>
      </c>
      <c r="O2077">
        <v>6058.5</v>
      </c>
      <c r="P2077">
        <v>15</v>
      </c>
      <c r="Q2077">
        <v>307</v>
      </c>
      <c r="T2077">
        <v>0</v>
      </c>
      <c r="U2077">
        <v>0</v>
      </c>
      <c r="V2077">
        <v>675</v>
      </c>
      <c r="W2077">
        <v>272632.5</v>
      </c>
      <c r="X2077">
        <v>675</v>
      </c>
      <c r="Y2077">
        <v>675</v>
      </c>
    </row>
    <row r="2078" spans="1:27" x14ac:dyDescent="0.25">
      <c r="A2078" t="s">
        <v>233</v>
      </c>
      <c r="B2078" t="s">
        <v>556</v>
      </c>
      <c r="C2078" t="s">
        <v>1859</v>
      </c>
      <c r="D2078" t="s">
        <v>601</v>
      </c>
      <c r="E2078" t="s">
        <v>1152</v>
      </c>
      <c r="F2078" t="s">
        <v>571</v>
      </c>
      <c r="G2078" s="204"/>
      <c r="J2078">
        <v>150</v>
      </c>
      <c r="K2078">
        <v>20539.5</v>
      </c>
      <c r="L2078">
        <v>150</v>
      </c>
      <c r="M2078">
        <v>20539.5</v>
      </c>
      <c r="N2078">
        <v>0</v>
      </c>
      <c r="O2078">
        <v>0</v>
      </c>
      <c r="P2078">
        <v>0</v>
      </c>
      <c r="Q2078">
        <v>150</v>
      </c>
      <c r="R2078">
        <v>20539.5</v>
      </c>
      <c r="S2078">
        <v>136.93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7" x14ac:dyDescent="0.25">
      <c r="A2079" t="s">
        <v>233</v>
      </c>
      <c r="B2079" t="s">
        <v>556</v>
      </c>
      <c r="C2079" t="s">
        <v>1859</v>
      </c>
      <c r="D2079" t="s">
        <v>601</v>
      </c>
      <c r="E2079" t="s">
        <v>1167</v>
      </c>
      <c r="F2079" t="s">
        <v>571</v>
      </c>
      <c r="G2079" s="204"/>
      <c r="H2079">
        <v>119</v>
      </c>
      <c r="I2079">
        <v>16294.669999999996</v>
      </c>
      <c r="L2079">
        <v>68</v>
      </c>
      <c r="M2079">
        <v>9311.24</v>
      </c>
      <c r="N2079">
        <v>117</v>
      </c>
      <c r="O2079">
        <v>16020.810000000001</v>
      </c>
      <c r="P2079">
        <v>117</v>
      </c>
      <c r="Q2079">
        <v>185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7" x14ac:dyDescent="0.25">
      <c r="A2080" t="s">
        <v>234</v>
      </c>
      <c r="B2080" t="s">
        <v>556</v>
      </c>
      <c r="C2080" t="s">
        <v>1859</v>
      </c>
      <c r="D2080" t="s">
        <v>601</v>
      </c>
      <c r="E2080" t="s">
        <v>1152</v>
      </c>
      <c r="F2080" t="s">
        <v>571</v>
      </c>
      <c r="G2080" s="204"/>
      <c r="J2080">
        <v>150</v>
      </c>
      <c r="K2080">
        <v>21882</v>
      </c>
      <c r="L2080">
        <v>150</v>
      </c>
      <c r="M2080">
        <v>21882</v>
      </c>
      <c r="N2080">
        <v>0</v>
      </c>
      <c r="O2080">
        <v>0</v>
      </c>
      <c r="P2080">
        <v>0</v>
      </c>
      <c r="Q2080">
        <v>150</v>
      </c>
      <c r="R2080">
        <v>21882</v>
      </c>
      <c r="S2080">
        <v>145.88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7" x14ac:dyDescent="0.25">
      <c r="A2081" t="s">
        <v>234</v>
      </c>
      <c r="B2081" t="s">
        <v>556</v>
      </c>
      <c r="C2081" t="s">
        <v>1859</v>
      </c>
      <c r="D2081" t="s">
        <v>601</v>
      </c>
      <c r="E2081" t="s">
        <v>1167</v>
      </c>
      <c r="F2081" t="s">
        <v>571</v>
      </c>
      <c r="G2081" s="204"/>
      <c r="J2081">
        <v>111</v>
      </c>
      <c r="K2081">
        <v>16192.68</v>
      </c>
      <c r="L2081">
        <v>0</v>
      </c>
      <c r="M2081">
        <v>0</v>
      </c>
      <c r="N2081">
        <v>202</v>
      </c>
      <c r="O2081">
        <v>29467.760000000006</v>
      </c>
      <c r="P2081">
        <v>202</v>
      </c>
      <c r="Q2081">
        <v>202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7" x14ac:dyDescent="0.25">
      <c r="A2082" t="s">
        <v>235</v>
      </c>
      <c r="B2082" t="s">
        <v>556</v>
      </c>
      <c r="C2082" t="s">
        <v>1859</v>
      </c>
      <c r="D2082" t="s">
        <v>601</v>
      </c>
      <c r="E2082" t="s">
        <v>1152</v>
      </c>
      <c r="F2082" t="s">
        <v>571</v>
      </c>
      <c r="G2082" s="204"/>
      <c r="J2082">
        <v>150</v>
      </c>
      <c r="K2082">
        <v>20344.5</v>
      </c>
      <c r="L2082">
        <v>150</v>
      </c>
      <c r="M2082">
        <v>20344.5</v>
      </c>
      <c r="N2082">
        <v>0</v>
      </c>
      <c r="O2082">
        <v>0</v>
      </c>
      <c r="P2082">
        <v>0</v>
      </c>
      <c r="Q2082">
        <v>150</v>
      </c>
      <c r="R2082">
        <v>20344.5</v>
      </c>
      <c r="S2082">
        <v>135.63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7" x14ac:dyDescent="0.25">
      <c r="A2083" t="s">
        <v>235</v>
      </c>
      <c r="B2083" t="s">
        <v>556</v>
      </c>
      <c r="C2083" t="s">
        <v>1859</v>
      </c>
      <c r="D2083" t="s">
        <v>601</v>
      </c>
      <c r="E2083" t="s">
        <v>1167</v>
      </c>
      <c r="F2083" t="s">
        <v>571</v>
      </c>
      <c r="G2083" s="204"/>
      <c r="H2083">
        <v>132</v>
      </c>
      <c r="I2083">
        <v>17903.16</v>
      </c>
      <c r="L2083">
        <v>0</v>
      </c>
      <c r="M2083">
        <v>0</v>
      </c>
      <c r="N2083">
        <v>203</v>
      </c>
      <c r="O2083">
        <v>27532.89</v>
      </c>
      <c r="P2083">
        <v>203</v>
      </c>
      <c r="Q2083">
        <v>203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7" x14ac:dyDescent="0.25">
      <c r="A2084" t="s">
        <v>236</v>
      </c>
      <c r="B2084" t="s">
        <v>565</v>
      </c>
      <c r="C2084" t="s">
        <v>1859</v>
      </c>
      <c r="D2084" t="s">
        <v>601</v>
      </c>
      <c r="E2084" t="s">
        <v>1167</v>
      </c>
      <c r="F2084" t="s">
        <v>571</v>
      </c>
      <c r="G2084" s="204"/>
      <c r="L2084">
        <v>24</v>
      </c>
      <c r="M2084">
        <v>14218.08</v>
      </c>
      <c r="N2084">
        <v>0</v>
      </c>
      <c r="O2084">
        <v>0</v>
      </c>
      <c r="P2084">
        <v>0</v>
      </c>
      <c r="Q2084">
        <v>24</v>
      </c>
      <c r="T2084">
        <v>0</v>
      </c>
      <c r="U2084">
        <v>0</v>
      </c>
      <c r="V2084">
        <v>6</v>
      </c>
      <c r="W2084">
        <v>3554.52</v>
      </c>
      <c r="X2084">
        <v>6</v>
      </c>
      <c r="Y2084">
        <v>6</v>
      </c>
      <c r="Z2084">
        <v>3554.52</v>
      </c>
      <c r="AA2084">
        <v>592.41999999999996</v>
      </c>
    </row>
    <row r="2085" spans="1:27" x14ac:dyDescent="0.25">
      <c r="A2085" t="s">
        <v>1577</v>
      </c>
      <c r="B2085" t="s">
        <v>565</v>
      </c>
      <c r="C2085" t="s">
        <v>1859</v>
      </c>
      <c r="D2085" t="s">
        <v>634</v>
      </c>
      <c r="E2085" t="s">
        <v>1215</v>
      </c>
      <c r="F2085" t="s">
        <v>571</v>
      </c>
      <c r="G2085" s="204"/>
      <c r="J2085">
        <v>23</v>
      </c>
      <c r="K2085">
        <v>15260.04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7" x14ac:dyDescent="0.25">
      <c r="A2086" t="s">
        <v>866</v>
      </c>
      <c r="B2086" t="s">
        <v>565</v>
      </c>
      <c r="C2086" t="s">
        <v>1859</v>
      </c>
      <c r="D2086" t="s">
        <v>634</v>
      </c>
      <c r="E2086" t="s">
        <v>1215</v>
      </c>
      <c r="F2086" t="s">
        <v>571</v>
      </c>
      <c r="G2086" s="204"/>
      <c r="J2086">
        <v>5</v>
      </c>
      <c r="K2086">
        <v>3463.65</v>
      </c>
      <c r="L2086">
        <v>10</v>
      </c>
      <c r="M2086">
        <v>8306.1</v>
      </c>
      <c r="N2086">
        <v>0</v>
      </c>
      <c r="O2086">
        <v>0</v>
      </c>
      <c r="P2086">
        <v>0</v>
      </c>
      <c r="Q2086">
        <v>10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7" x14ac:dyDescent="0.25">
      <c r="A2087" t="s">
        <v>361</v>
      </c>
      <c r="B2087" t="s">
        <v>556</v>
      </c>
      <c r="C2087" t="s">
        <v>1859</v>
      </c>
      <c r="D2087" t="s">
        <v>634</v>
      </c>
      <c r="E2087" t="s">
        <v>1215</v>
      </c>
      <c r="F2087" t="s">
        <v>571</v>
      </c>
      <c r="G2087" s="204"/>
      <c r="H2087">
        <v>942</v>
      </c>
      <c r="I2087">
        <v>103846.07999999999</v>
      </c>
      <c r="L2087">
        <v>1000</v>
      </c>
      <c r="M2087">
        <v>135480</v>
      </c>
      <c r="N2087">
        <v>0</v>
      </c>
      <c r="O2087">
        <v>0</v>
      </c>
      <c r="P2087">
        <v>0</v>
      </c>
      <c r="Q2087">
        <v>1000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7" x14ac:dyDescent="0.25">
      <c r="A2088" t="s">
        <v>362</v>
      </c>
      <c r="B2088" t="s">
        <v>556</v>
      </c>
      <c r="C2088" t="s">
        <v>1859</v>
      </c>
      <c r="D2088" t="s">
        <v>634</v>
      </c>
      <c r="E2088" t="s">
        <v>1215</v>
      </c>
      <c r="F2088" t="s">
        <v>571</v>
      </c>
      <c r="G2088" s="204"/>
      <c r="H2088">
        <v>50</v>
      </c>
      <c r="I2088">
        <v>6774</v>
      </c>
      <c r="L2088">
        <v>909</v>
      </c>
      <c r="M2088">
        <v>123151.32</v>
      </c>
      <c r="N2088">
        <v>91</v>
      </c>
      <c r="O2088">
        <v>12328.68</v>
      </c>
      <c r="P2088">
        <v>91</v>
      </c>
      <c r="Q2088">
        <v>1000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7" x14ac:dyDescent="0.25">
      <c r="A2089" t="s">
        <v>466</v>
      </c>
      <c r="B2089" t="s">
        <v>556</v>
      </c>
      <c r="C2089" t="s">
        <v>564</v>
      </c>
      <c r="D2089" t="s">
        <v>675</v>
      </c>
      <c r="E2089" t="s">
        <v>1252</v>
      </c>
      <c r="F2089" t="s">
        <v>571</v>
      </c>
      <c r="G2089" s="204"/>
      <c r="L2089">
        <v>270</v>
      </c>
      <c r="M2089">
        <v>85249.799999999988</v>
      </c>
      <c r="N2089">
        <v>200</v>
      </c>
      <c r="O2089">
        <v>63148</v>
      </c>
      <c r="P2089">
        <v>200</v>
      </c>
      <c r="Q2089">
        <v>470</v>
      </c>
      <c r="T2089">
        <v>0</v>
      </c>
      <c r="U2089">
        <v>0</v>
      </c>
      <c r="V2089">
        <v>403</v>
      </c>
      <c r="W2089">
        <v>127243.22</v>
      </c>
      <c r="X2089">
        <v>403</v>
      </c>
      <c r="Y2089">
        <v>403</v>
      </c>
      <c r="Z2089">
        <v>127243.22</v>
      </c>
      <c r="AA2089">
        <v>315.74</v>
      </c>
    </row>
    <row r="2090" spans="1:27" x14ac:dyDescent="0.25">
      <c r="A2090" t="s">
        <v>478</v>
      </c>
      <c r="B2090" t="s">
        <v>556</v>
      </c>
      <c r="C2090" t="s">
        <v>564</v>
      </c>
      <c r="D2090" t="s">
        <v>675</v>
      </c>
      <c r="E2090" t="s">
        <v>1252</v>
      </c>
      <c r="F2090" t="s">
        <v>571</v>
      </c>
      <c r="G2090" s="204"/>
      <c r="L2090">
        <v>0</v>
      </c>
      <c r="M2090">
        <v>0</v>
      </c>
      <c r="N2090">
        <v>120</v>
      </c>
      <c r="O2090">
        <v>38748</v>
      </c>
      <c r="P2090">
        <v>120</v>
      </c>
      <c r="Q2090">
        <v>120</v>
      </c>
      <c r="R2090">
        <v>38748</v>
      </c>
      <c r="S2090">
        <v>322.89999999999998</v>
      </c>
      <c r="T2090">
        <v>0</v>
      </c>
      <c r="U2090">
        <v>0</v>
      </c>
      <c r="V2090">
        <v>210</v>
      </c>
      <c r="W2090">
        <v>67809</v>
      </c>
      <c r="X2090">
        <v>210</v>
      </c>
      <c r="Y2090">
        <v>210</v>
      </c>
    </row>
    <row r="2091" spans="1:27" x14ac:dyDescent="0.25">
      <c r="A2091" t="s">
        <v>237</v>
      </c>
      <c r="B2091" t="s">
        <v>556</v>
      </c>
      <c r="C2091" t="s">
        <v>1859</v>
      </c>
      <c r="D2091" t="s">
        <v>613</v>
      </c>
      <c r="E2091" t="s">
        <v>1167</v>
      </c>
      <c r="F2091" t="s">
        <v>571</v>
      </c>
      <c r="G2091" s="204"/>
      <c r="L2091">
        <v>16</v>
      </c>
      <c r="M2091">
        <v>13771.2</v>
      </c>
      <c r="N2091">
        <v>27</v>
      </c>
      <c r="O2091">
        <v>23238.9</v>
      </c>
      <c r="P2091">
        <v>27</v>
      </c>
      <c r="Q2091">
        <v>43</v>
      </c>
      <c r="R2091">
        <v>37010.100000000006</v>
      </c>
      <c r="S2091">
        <v>860.70000000000016</v>
      </c>
      <c r="T2091">
        <v>0</v>
      </c>
      <c r="U2091">
        <v>0</v>
      </c>
      <c r="V2091">
        <v>165</v>
      </c>
      <c r="W2091">
        <v>142015.5</v>
      </c>
      <c r="X2091">
        <v>165</v>
      </c>
      <c r="Y2091">
        <v>165</v>
      </c>
    </row>
    <row r="2092" spans="1:27" x14ac:dyDescent="0.25">
      <c r="A2092" t="s">
        <v>238</v>
      </c>
      <c r="B2092" t="s">
        <v>562</v>
      </c>
      <c r="C2092" t="s">
        <v>1859</v>
      </c>
      <c r="D2092" t="s">
        <v>613</v>
      </c>
      <c r="E2092" t="s">
        <v>1167</v>
      </c>
      <c r="F2092" t="s">
        <v>571</v>
      </c>
      <c r="G2092" s="204"/>
      <c r="L2092">
        <v>5</v>
      </c>
      <c r="M2092">
        <v>6749.25</v>
      </c>
      <c r="N2092">
        <v>19</v>
      </c>
      <c r="O2092">
        <v>25647.15</v>
      </c>
      <c r="P2092">
        <v>19</v>
      </c>
      <c r="Q2092">
        <v>24</v>
      </c>
      <c r="R2092">
        <v>32396.400000000001</v>
      </c>
      <c r="S2092">
        <v>1349.8500000000001</v>
      </c>
      <c r="T2092">
        <v>0</v>
      </c>
      <c r="U2092">
        <v>0</v>
      </c>
      <c r="V2092">
        <v>48</v>
      </c>
      <c r="W2092">
        <v>64792.800000000003</v>
      </c>
      <c r="X2092">
        <v>48</v>
      </c>
      <c r="Y2092">
        <v>48</v>
      </c>
    </row>
    <row r="2093" spans="1:27" x14ac:dyDescent="0.25">
      <c r="A2093" t="s">
        <v>1578</v>
      </c>
      <c r="B2093" t="s">
        <v>562</v>
      </c>
      <c r="C2093" t="s">
        <v>1859</v>
      </c>
      <c r="D2093" t="s">
        <v>613</v>
      </c>
      <c r="E2093" t="s">
        <v>1167</v>
      </c>
      <c r="F2093" t="s">
        <v>571</v>
      </c>
      <c r="G2093" s="204"/>
      <c r="H2093">
        <v>5</v>
      </c>
      <c r="I2093">
        <v>12762.5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7" x14ac:dyDescent="0.25">
      <c r="A2094" t="s">
        <v>239</v>
      </c>
      <c r="B2094" t="s">
        <v>565</v>
      </c>
      <c r="C2094" t="s">
        <v>1859</v>
      </c>
      <c r="D2094" t="s">
        <v>613</v>
      </c>
      <c r="E2094" t="s">
        <v>1167</v>
      </c>
      <c r="F2094" t="s">
        <v>571</v>
      </c>
      <c r="G2094" s="204"/>
      <c r="L2094">
        <v>0</v>
      </c>
      <c r="M2094">
        <v>0</v>
      </c>
      <c r="N2094">
        <v>1</v>
      </c>
      <c r="O2094">
        <v>548.57000000000005</v>
      </c>
      <c r="P2094">
        <v>1</v>
      </c>
      <c r="Q2094">
        <v>1</v>
      </c>
      <c r="R2094">
        <v>548.57000000000005</v>
      </c>
      <c r="S2094">
        <v>548.57000000000005</v>
      </c>
      <c r="T2094">
        <v>0</v>
      </c>
      <c r="U2094">
        <v>0</v>
      </c>
      <c r="V2094">
        <v>23</v>
      </c>
      <c r="W2094">
        <v>12617.109999999999</v>
      </c>
      <c r="X2094">
        <v>23</v>
      </c>
      <c r="Y2094">
        <v>23</v>
      </c>
    </row>
    <row r="2095" spans="1:27" x14ac:dyDescent="0.25">
      <c r="A2095" t="s">
        <v>240</v>
      </c>
      <c r="B2095" t="s">
        <v>556</v>
      </c>
      <c r="C2095" t="s">
        <v>1859</v>
      </c>
      <c r="D2095" t="s">
        <v>613</v>
      </c>
      <c r="E2095" t="s">
        <v>1167</v>
      </c>
      <c r="F2095" t="s">
        <v>571</v>
      </c>
      <c r="G2095" s="204"/>
      <c r="L2095">
        <v>25</v>
      </c>
      <c r="M2095">
        <v>13711.500000000002</v>
      </c>
      <c r="N2095">
        <v>9</v>
      </c>
      <c r="O2095">
        <v>4936.1400000000003</v>
      </c>
      <c r="P2095">
        <v>9</v>
      </c>
      <c r="Q2095">
        <v>34</v>
      </c>
      <c r="R2095">
        <v>18647.640000000003</v>
      </c>
      <c r="S2095">
        <v>548.46</v>
      </c>
      <c r="T2095">
        <v>0</v>
      </c>
      <c r="U2095">
        <v>0</v>
      </c>
      <c r="V2095">
        <v>35</v>
      </c>
      <c r="W2095">
        <v>19196.100000000002</v>
      </c>
      <c r="X2095">
        <v>35</v>
      </c>
      <c r="Y2095">
        <v>35</v>
      </c>
    </row>
    <row r="2096" spans="1:27" x14ac:dyDescent="0.25">
      <c r="A2096" t="s">
        <v>241</v>
      </c>
      <c r="B2096" t="s">
        <v>565</v>
      </c>
      <c r="C2096" t="s">
        <v>1859</v>
      </c>
      <c r="D2096" t="s">
        <v>613</v>
      </c>
      <c r="E2096" t="s">
        <v>1167</v>
      </c>
      <c r="F2096" t="s">
        <v>571</v>
      </c>
      <c r="G2096" s="204"/>
      <c r="J2096">
        <v>57</v>
      </c>
      <c r="K2096">
        <v>27609.84</v>
      </c>
      <c r="L2096">
        <v>117</v>
      </c>
      <c r="M2096">
        <v>63151.92</v>
      </c>
      <c r="N2096">
        <v>9</v>
      </c>
      <c r="O2096">
        <v>4857.84</v>
      </c>
      <c r="P2096">
        <v>9</v>
      </c>
      <c r="Q2096">
        <v>126</v>
      </c>
      <c r="T2096">
        <v>0</v>
      </c>
      <c r="U2096">
        <v>0</v>
      </c>
      <c r="V2096">
        <v>86</v>
      </c>
      <c r="W2096">
        <v>46419.360000000001</v>
      </c>
      <c r="X2096">
        <v>86</v>
      </c>
      <c r="Y2096">
        <v>86</v>
      </c>
    </row>
    <row r="2097" spans="1:27" x14ac:dyDescent="0.25">
      <c r="A2097" t="s">
        <v>363</v>
      </c>
      <c r="B2097" t="s">
        <v>556</v>
      </c>
      <c r="C2097" t="s">
        <v>1859</v>
      </c>
      <c r="D2097" t="s">
        <v>581</v>
      </c>
      <c r="E2097" t="s">
        <v>1169</v>
      </c>
      <c r="F2097" t="s">
        <v>578</v>
      </c>
      <c r="G2097" s="204">
        <v>46022</v>
      </c>
      <c r="J2097">
        <v>433</v>
      </c>
      <c r="K2097">
        <v>689189.5199999999</v>
      </c>
      <c r="L2097">
        <v>992</v>
      </c>
      <c r="M2097">
        <v>1837838.7199999972</v>
      </c>
      <c r="N2097">
        <v>201</v>
      </c>
      <c r="O2097">
        <v>372384.66</v>
      </c>
      <c r="P2097">
        <v>201</v>
      </c>
      <c r="Q2097">
        <v>1193</v>
      </c>
      <c r="T2097">
        <v>0</v>
      </c>
      <c r="U2097">
        <v>0</v>
      </c>
      <c r="V2097">
        <v>1083</v>
      </c>
      <c r="W2097">
        <v>2006430.78</v>
      </c>
      <c r="X2097">
        <v>1083</v>
      </c>
      <c r="Y2097">
        <v>1083</v>
      </c>
    </row>
    <row r="2098" spans="1:27" x14ac:dyDescent="0.25">
      <c r="A2098" t="s">
        <v>363</v>
      </c>
      <c r="B2098" t="s">
        <v>556</v>
      </c>
      <c r="C2098" t="s">
        <v>1859</v>
      </c>
      <c r="D2098" t="s">
        <v>581</v>
      </c>
      <c r="E2098" t="s">
        <v>1111</v>
      </c>
      <c r="F2098" t="s">
        <v>571</v>
      </c>
      <c r="G2098" s="204"/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T2098">
        <v>0</v>
      </c>
      <c r="U2098">
        <v>0</v>
      </c>
      <c r="V2098">
        <v>250</v>
      </c>
      <c r="W2098">
        <v>0.02</v>
      </c>
      <c r="X2098">
        <v>0</v>
      </c>
      <c r="Y2098">
        <v>0</v>
      </c>
      <c r="Z2098">
        <v>0.02</v>
      </c>
    </row>
    <row r="2099" spans="1:27" x14ac:dyDescent="0.25">
      <c r="A2099" t="s">
        <v>242</v>
      </c>
      <c r="B2099" t="s">
        <v>565</v>
      </c>
      <c r="C2099" t="s">
        <v>1859</v>
      </c>
      <c r="D2099" t="s">
        <v>598</v>
      </c>
      <c r="E2099" t="s">
        <v>1167</v>
      </c>
      <c r="F2099" t="s">
        <v>571</v>
      </c>
      <c r="G2099" s="204"/>
      <c r="H2099">
        <v>113</v>
      </c>
      <c r="I2099">
        <v>15829.04</v>
      </c>
      <c r="L2099">
        <v>131</v>
      </c>
      <c r="M2099">
        <v>18350.48</v>
      </c>
      <c r="N2099">
        <v>82</v>
      </c>
      <c r="O2099">
        <v>11486.560000000001</v>
      </c>
      <c r="P2099">
        <v>82</v>
      </c>
      <c r="Q2099">
        <v>213</v>
      </c>
      <c r="T2099">
        <v>0</v>
      </c>
      <c r="U2099">
        <v>0</v>
      </c>
      <c r="V2099">
        <v>216</v>
      </c>
      <c r="W2099">
        <v>30257.279999999992</v>
      </c>
      <c r="X2099">
        <v>216</v>
      </c>
      <c r="Y2099">
        <v>216</v>
      </c>
    </row>
    <row r="2100" spans="1:27" x14ac:dyDescent="0.25">
      <c r="A2100" t="s">
        <v>364</v>
      </c>
      <c r="B2100" t="s">
        <v>556</v>
      </c>
      <c r="C2100" t="s">
        <v>1859</v>
      </c>
      <c r="D2100" t="s">
        <v>581</v>
      </c>
      <c r="E2100" t="s">
        <v>1169</v>
      </c>
      <c r="F2100" t="s">
        <v>578</v>
      </c>
      <c r="G2100" s="204">
        <v>46022</v>
      </c>
      <c r="L2100">
        <v>725</v>
      </c>
      <c r="M2100">
        <v>631025.50000000023</v>
      </c>
      <c r="N2100">
        <v>541</v>
      </c>
      <c r="O2100">
        <v>470875.58</v>
      </c>
      <c r="P2100">
        <v>541</v>
      </c>
      <c r="Q2100">
        <v>1266</v>
      </c>
      <c r="T2100">
        <v>0</v>
      </c>
      <c r="U2100">
        <v>0</v>
      </c>
      <c r="V2100">
        <v>694</v>
      </c>
      <c r="W2100">
        <v>604043.72000000009</v>
      </c>
      <c r="X2100">
        <v>694</v>
      </c>
      <c r="Y2100">
        <v>694</v>
      </c>
      <c r="Z2100">
        <v>604043.72000000009</v>
      </c>
      <c r="AA2100">
        <v>870.38000000000011</v>
      </c>
    </row>
    <row r="2101" spans="1:27" x14ac:dyDescent="0.25">
      <c r="A2101" t="s">
        <v>365</v>
      </c>
      <c r="B2101" t="s">
        <v>556</v>
      </c>
      <c r="C2101" t="s">
        <v>1859</v>
      </c>
      <c r="D2101" t="s">
        <v>630</v>
      </c>
      <c r="E2101" t="s">
        <v>1167</v>
      </c>
      <c r="F2101" t="s">
        <v>571</v>
      </c>
      <c r="G2101" s="204"/>
      <c r="L2101">
        <v>12</v>
      </c>
      <c r="M2101">
        <v>5316</v>
      </c>
      <c r="N2101">
        <v>10</v>
      </c>
      <c r="O2101">
        <v>4430</v>
      </c>
      <c r="P2101">
        <v>10</v>
      </c>
      <c r="Q2101">
        <v>22</v>
      </c>
      <c r="R2101">
        <v>9746</v>
      </c>
      <c r="S2101">
        <v>443</v>
      </c>
      <c r="T2101">
        <v>0</v>
      </c>
      <c r="U2101">
        <v>0</v>
      </c>
      <c r="V2101">
        <v>44</v>
      </c>
      <c r="W2101">
        <v>19492</v>
      </c>
      <c r="X2101">
        <v>44</v>
      </c>
      <c r="Y2101">
        <v>44</v>
      </c>
    </row>
    <row r="2102" spans="1:27" x14ac:dyDescent="0.25">
      <c r="A2102" t="s">
        <v>243</v>
      </c>
      <c r="B2102" t="s">
        <v>556</v>
      </c>
      <c r="C2102" t="s">
        <v>1859</v>
      </c>
      <c r="D2102" t="s">
        <v>587</v>
      </c>
      <c r="E2102" t="s">
        <v>1152</v>
      </c>
      <c r="F2102" t="s">
        <v>571</v>
      </c>
      <c r="G2102" s="204"/>
      <c r="H2102">
        <v>200</v>
      </c>
      <c r="I2102">
        <v>43294</v>
      </c>
      <c r="L2102">
        <v>84</v>
      </c>
      <c r="M2102">
        <v>22485.119999999999</v>
      </c>
      <c r="N2102">
        <v>116</v>
      </c>
      <c r="O2102">
        <v>31050.880000000001</v>
      </c>
      <c r="P2102">
        <v>116</v>
      </c>
      <c r="Q2102">
        <v>200</v>
      </c>
      <c r="R2102">
        <v>53536</v>
      </c>
      <c r="S2102">
        <v>267.68</v>
      </c>
      <c r="T2102">
        <v>0</v>
      </c>
      <c r="U2102">
        <v>0</v>
      </c>
      <c r="V2102">
        <v>250</v>
      </c>
      <c r="W2102">
        <v>66920</v>
      </c>
      <c r="X2102">
        <v>250</v>
      </c>
      <c r="Y2102">
        <v>250</v>
      </c>
    </row>
    <row r="2103" spans="1:27" x14ac:dyDescent="0.25">
      <c r="A2103" t="s">
        <v>243</v>
      </c>
      <c r="B2103" t="s">
        <v>556</v>
      </c>
      <c r="C2103" t="s">
        <v>1859</v>
      </c>
      <c r="D2103" t="s">
        <v>587</v>
      </c>
      <c r="E2103" t="s">
        <v>1308</v>
      </c>
      <c r="F2103" t="s">
        <v>571</v>
      </c>
      <c r="G2103" s="204"/>
      <c r="J2103">
        <v>50</v>
      </c>
      <c r="K2103">
        <v>11900.099999999999</v>
      </c>
      <c r="L2103">
        <v>190</v>
      </c>
      <c r="M2103">
        <v>47298.6</v>
      </c>
      <c r="N2103">
        <v>20</v>
      </c>
      <c r="O2103">
        <v>5353.6</v>
      </c>
      <c r="P2103">
        <v>20</v>
      </c>
      <c r="Q2103">
        <v>210</v>
      </c>
      <c r="T2103">
        <v>0</v>
      </c>
      <c r="U2103">
        <v>0</v>
      </c>
      <c r="V2103">
        <v>90</v>
      </c>
      <c r="W2103">
        <v>24091.199999999997</v>
      </c>
      <c r="X2103">
        <v>90</v>
      </c>
      <c r="Y2103">
        <v>90</v>
      </c>
    </row>
    <row r="2104" spans="1:27" x14ac:dyDescent="0.25">
      <c r="A2104" t="s">
        <v>244</v>
      </c>
      <c r="B2104" t="s">
        <v>556</v>
      </c>
      <c r="C2104" t="s">
        <v>1859</v>
      </c>
      <c r="D2104" t="s">
        <v>587</v>
      </c>
      <c r="E2104" t="s">
        <v>1152</v>
      </c>
      <c r="F2104" t="s">
        <v>571</v>
      </c>
      <c r="G2104" s="204"/>
      <c r="H2104">
        <v>200</v>
      </c>
      <c r="I2104">
        <v>42772</v>
      </c>
      <c r="L2104">
        <v>0</v>
      </c>
      <c r="M2104">
        <v>0</v>
      </c>
      <c r="N2104">
        <v>200</v>
      </c>
      <c r="O2104">
        <v>52892</v>
      </c>
      <c r="P2104">
        <v>200</v>
      </c>
      <c r="Q2104">
        <v>200</v>
      </c>
      <c r="R2104">
        <v>52892</v>
      </c>
      <c r="S2104">
        <v>264.45999999999998</v>
      </c>
      <c r="T2104">
        <v>0</v>
      </c>
      <c r="U2104">
        <v>0</v>
      </c>
      <c r="V2104">
        <v>250</v>
      </c>
      <c r="W2104">
        <v>66115</v>
      </c>
      <c r="X2104">
        <v>250</v>
      </c>
      <c r="Y2104">
        <v>250</v>
      </c>
    </row>
    <row r="2105" spans="1:27" x14ac:dyDescent="0.25">
      <c r="A2105" t="s">
        <v>244</v>
      </c>
      <c r="B2105" t="s">
        <v>556</v>
      </c>
      <c r="C2105" t="s">
        <v>1859</v>
      </c>
      <c r="D2105" t="s">
        <v>587</v>
      </c>
      <c r="E2105" t="s">
        <v>1308</v>
      </c>
      <c r="F2105" t="s">
        <v>571</v>
      </c>
      <c r="G2105" s="204"/>
      <c r="J2105">
        <v>50</v>
      </c>
      <c r="K2105">
        <v>11756.7</v>
      </c>
      <c r="L2105">
        <v>190</v>
      </c>
      <c r="M2105">
        <v>46728.6</v>
      </c>
      <c r="N2105">
        <v>50</v>
      </c>
      <c r="O2105">
        <v>13223</v>
      </c>
      <c r="P2105">
        <v>50</v>
      </c>
      <c r="Q2105">
        <v>240</v>
      </c>
      <c r="T2105">
        <v>0</v>
      </c>
      <c r="U2105">
        <v>0</v>
      </c>
      <c r="V2105">
        <v>50</v>
      </c>
      <c r="W2105">
        <v>13223</v>
      </c>
      <c r="X2105">
        <v>50</v>
      </c>
      <c r="Y2105">
        <v>50</v>
      </c>
      <c r="Z2105">
        <v>13223</v>
      </c>
      <c r="AA2105">
        <v>264.45999999999998</v>
      </c>
    </row>
    <row r="2106" spans="1:27" x14ac:dyDescent="0.25">
      <c r="A2106" t="s">
        <v>245</v>
      </c>
      <c r="B2106" t="s">
        <v>556</v>
      </c>
      <c r="C2106" t="s">
        <v>1859</v>
      </c>
      <c r="D2106" t="s">
        <v>587</v>
      </c>
      <c r="E2106" t="s">
        <v>1152</v>
      </c>
      <c r="F2106" t="s">
        <v>571</v>
      </c>
      <c r="G2106" s="204"/>
      <c r="H2106">
        <v>200</v>
      </c>
      <c r="I2106">
        <v>41064</v>
      </c>
      <c r="L2106">
        <v>0</v>
      </c>
      <c r="M2106">
        <v>0</v>
      </c>
      <c r="N2106">
        <v>200</v>
      </c>
      <c r="O2106">
        <v>50780</v>
      </c>
      <c r="P2106">
        <v>200</v>
      </c>
      <c r="Q2106">
        <v>200</v>
      </c>
      <c r="R2106">
        <v>50780</v>
      </c>
      <c r="S2106">
        <v>253.9</v>
      </c>
      <c r="T2106">
        <v>0</v>
      </c>
      <c r="U2106">
        <v>0</v>
      </c>
      <c r="V2106">
        <v>250</v>
      </c>
      <c r="W2106">
        <v>63475</v>
      </c>
      <c r="X2106">
        <v>250</v>
      </c>
      <c r="Y2106">
        <v>250</v>
      </c>
    </row>
    <row r="2107" spans="1:27" x14ac:dyDescent="0.25">
      <c r="A2107" t="s">
        <v>245</v>
      </c>
      <c r="B2107" t="s">
        <v>556</v>
      </c>
      <c r="C2107" t="s">
        <v>1859</v>
      </c>
      <c r="D2107" t="s">
        <v>587</v>
      </c>
      <c r="E2107" t="s">
        <v>1308</v>
      </c>
      <c r="F2107" t="s">
        <v>571</v>
      </c>
      <c r="G2107" s="204"/>
      <c r="L2107">
        <v>170</v>
      </c>
      <c r="M2107">
        <v>40140.400000000001</v>
      </c>
      <c r="N2107">
        <v>50</v>
      </c>
      <c r="O2107">
        <v>12695</v>
      </c>
      <c r="P2107">
        <v>50</v>
      </c>
      <c r="Q2107">
        <v>220</v>
      </c>
      <c r="T2107">
        <v>0</v>
      </c>
      <c r="U2107">
        <v>0</v>
      </c>
      <c r="V2107">
        <v>50</v>
      </c>
      <c r="W2107">
        <v>12695</v>
      </c>
      <c r="X2107">
        <v>50</v>
      </c>
      <c r="Y2107">
        <v>50</v>
      </c>
      <c r="Z2107">
        <v>12695</v>
      </c>
      <c r="AA2107">
        <v>253.9</v>
      </c>
    </row>
    <row r="2108" spans="1:27" x14ac:dyDescent="0.25">
      <c r="A2108" t="s">
        <v>246</v>
      </c>
      <c r="B2108" t="s">
        <v>556</v>
      </c>
      <c r="C2108" t="s">
        <v>1859</v>
      </c>
      <c r="D2108" t="s">
        <v>608</v>
      </c>
      <c r="E2108" t="s">
        <v>1305</v>
      </c>
      <c r="F2108" t="s">
        <v>571</v>
      </c>
      <c r="G2108" s="204"/>
      <c r="L2108">
        <v>560</v>
      </c>
      <c r="M2108">
        <v>92909.6</v>
      </c>
      <c r="N2108">
        <v>0</v>
      </c>
      <c r="O2108">
        <v>0</v>
      </c>
      <c r="P2108">
        <v>0</v>
      </c>
      <c r="Q2108">
        <v>560</v>
      </c>
      <c r="R2108">
        <v>92909.6</v>
      </c>
      <c r="S2108">
        <v>165.91</v>
      </c>
      <c r="T2108">
        <v>0</v>
      </c>
      <c r="U2108">
        <v>0</v>
      </c>
      <c r="V2108">
        <v>1000</v>
      </c>
      <c r="W2108">
        <v>165910</v>
      </c>
      <c r="X2108">
        <v>1000</v>
      </c>
      <c r="Y2108">
        <v>1000</v>
      </c>
    </row>
    <row r="2109" spans="1:27" x14ac:dyDescent="0.25">
      <c r="A2109" t="s">
        <v>246</v>
      </c>
      <c r="B2109" t="s">
        <v>556</v>
      </c>
      <c r="C2109" t="s">
        <v>1859</v>
      </c>
      <c r="D2109" t="s">
        <v>608</v>
      </c>
      <c r="E2109" t="s">
        <v>1157</v>
      </c>
      <c r="F2109" t="s">
        <v>571</v>
      </c>
      <c r="G2109" s="204"/>
      <c r="J2109">
        <v>160</v>
      </c>
      <c r="K2109">
        <v>20361.599999999999</v>
      </c>
      <c r="L2109">
        <v>303</v>
      </c>
      <c r="M2109">
        <v>52535.5</v>
      </c>
      <c r="N2109">
        <v>0</v>
      </c>
      <c r="O2109">
        <v>0</v>
      </c>
      <c r="P2109">
        <v>0</v>
      </c>
      <c r="Q2109">
        <v>303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7" x14ac:dyDescent="0.25">
      <c r="A2110" t="s">
        <v>246</v>
      </c>
      <c r="B2110" t="s">
        <v>556</v>
      </c>
      <c r="C2110" t="s">
        <v>1859</v>
      </c>
      <c r="D2110" t="s">
        <v>608</v>
      </c>
      <c r="E2110" t="s">
        <v>1150</v>
      </c>
      <c r="F2110" t="s">
        <v>571</v>
      </c>
      <c r="G2110" s="204"/>
      <c r="L2110">
        <v>366</v>
      </c>
      <c r="M2110">
        <v>40077</v>
      </c>
      <c r="N2110">
        <v>200</v>
      </c>
      <c r="O2110">
        <v>21900</v>
      </c>
      <c r="P2110">
        <v>200</v>
      </c>
      <c r="Q2110">
        <v>566</v>
      </c>
      <c r="T2110">
        <v>0</v>
      </c>
      <c r="U2110">
        <v>0</v>
      </c>
      <c r="V2110">
        <v>120</v>
      </c>
      <c r="W2110">
        <v>13140</v>
      </c>
      <c r="X2110">
        <v>120</v>
      </c>
      <c r="Y2110">
        <v>120</v>
      </c>
      <c r="Z2110">
        <v>13140</v>
      </c>
      <c r="AA2110">
        <v>109.5</v>
      </c>
    </row>
    <row r="2111" spans="1:27" x14ac:dyDescent="0.25">
      <c r="A2111" t="s">
        <v>246</v>
      </c>
      <c r="B2111" t="s">
        <v>556</v>
      </c>
      <c r="C2111" t="s">
        <v>1859</v>
      </c>
      <c r="D2111" t="s">
        <v>608</v>
      </c>
      <c r="E2111" t="s">
        <v>1159</v>
      </c>
      <c r="F2111" t="s">
        <v>571</v>
      </c>
      <c r="G2111" s="204"/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T2111">
        <v>0</v>
      </c>
      <c r="U2111">
        <v>0</v>
      </c>
      <c r="V2111">
        <v>186</v>
      </c>
      <c r="W2111">
        <v>28973.4</v>
      </c>
      <c r="X2111">
        <v>186</v>
      </c>
      <c r="Y2111">
        <v>186</v>
      </c>
      <c r="Z2111">
        <v>28973.4</v>
      </c>
      <c r="AA2111">
        <v>155.77096774193549</v>
      </c>
    </row>
    <row r="2112" spans="1:27" x14ac:dyDescent="0.25">
      <c r="A2112" t="s">
        <v>246</v>
      </c>
      <c r="B2112" t="s">
        <v>556</v>
      </c>
      <c r="C2112" t="s">
        <v>1859</v>
      </c>
      <c r="D2112" t="s">
        <v>608</v>
      </c>
      <c r="E2112" t="s">
        <v>1111</v>
      </c>
      <c r="F2112" t="s">
        <v>571</v>
      </c>
      <c r="G2112" s="204"/>
      <c r="L2112">
        <v>0</v>
      </c>
      <c r="M2112">
        <v>0</v>
      </c>
      <c r="N2112">
        <v>400</v>
      </c>
      <c r="O2112">
        <v>0</v>
      </c>
      <c r="P2112">
        <v>0</v>
      </c>
      <c r="Q2112">
        <v>0</v>
      </c>
      <c r="R2112">
        <v>0</v>
      </c>
      <c r="T2112">
        <v>0</v>
      </c>
      <c r="U2112">
        <v>0</v>
      </c>
      <c r="V2112">
        <v>1600</v>
      </c>
      <c r="W2112">
        <v>0</v>
      </c>
      <c r="X2112">
        <v>0</v>
      </c>
      <c r="Y2112">
        <v>0</v>
      </c>
    </row>
    <row r="2113" spans="1:27" x14ac:dyDescent="0.25">
      <c r="A2113" t="s">
        <v>1844</v>
      </c>
      <c r="C2113" t="s">
        <v>1859</v>
      </c>
      <c r="D2113" t="s">
        <v>608</v>
      </c>
      <c r="E2113" t="s">
        <v>1150</v>
      </c>
      <c r="F2113" t="s">
        <v>571</v>
      </c>
      <c r="G2113" s="204"/>
      <c r="J2113">
        <v>1</v>
      </c>
      <c r="K2113">
        <v>60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7" x14ac:dyDescent="0.25">
      <c r="A2114" t="s">
        <v>247</v>
      </c>
      <c r="B2114" t="s">
        <v>556</v>
      </c>
      <c r="C2114" t="s">
        <v>1859</v>
      </c>
      <c r="D2114" t="s">
        <v>608</v>
      </c>
      <c r="E2114" t="s">
        <v>1305</v>
      </c>
      <c r="F2114" t="s">
        <v>571</v>
      </c>
      <c r="G2114" s="204"/>
      <c r="L2114">
        <v>560</v>
      </c>
      <c r="M2114">
        <v>92909.599999999991</v>
      </c>
      <c r="N2114">
        <v>0</v>
      </c>
      <c r="O2114">
        <v>0</v>
      </c>
      <c r="P2114">
        <v>0</v>
      </c>
      <c r="Q2114">
        <v>560</v>
      </c>
      <c r="R2114">
        <v>92909.599999999991</v>
      </c>
      <c r="S2114">
        <v>165.91</v>
      </c>
      <c r="T2114">
        <v>0</v>
      </c>
      <c r="U2114">
        <v>0</v>
      </c>
      <c r="V2114">
        <v>1000</v>
      </c>
      <c r="W2114">
        <v>165910</v>
      </c>
      <c r="X2114">
        <v>1000</v>
      </c>
      <c r="Y2114">
        <v>1000</v>
      </c>
    </row>
    <row r="2115" spans="1:27" x14ac:dyDescent="0.25">
      <c r="A2115" t="s">
        <v>247</v>
      </c>
      <c r="B2115" t="s">
        <v>556</v>
      </c>
      <c r="C2115" t="s">
        <v>1859</v>
      </c>
      <c r="D2115" t="s">
        <v>608</v>
      </c>
      <c r="E2115" t="s">
        <v>1157</v>
      </c>
      <c r="F2115" t="s">
        <v>571</v>
      </c>
      <c r="G2115" s="204"/>
      <c r="J2115">
        <v>122</v>
      </c>
      <c r="K2115">
        <v>19762</v>
      </c>
      <c r="L2115">
        <v>651</v>
      </c>
      <c r="M2115">
        <v>104849.5</v>
      </c>
      <c r="N2115">
        <v>0</v>
      </c>
      <c r="O2115">
        <v>0</v>
      </c>
      <c r="P2115">
        <v>0</v>
      </c>
      <c r="Q2115">
        <v>651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7" x14ac:dyDescent="0.25">
      <c r="A2116" t="s">
        <v>247</v>
      </c>
      <c r="B2116" t="s">
        <v>556</v>
      </c>
      <c r="C2116" t="s">
        <v>1859</v>
      </c>
      <c r="D2116" t="s">
        <v>608</v>
      </c>
      <c r="E2116" t="s">
        <v>1150</v>
      </c>
      <c r="F2116" t="s">
        <v>571</v>
      </c>
      <c r="G2116" s="204"/>
      <c r="L2116">
        <v>450</v>
      </c>
      <c r="M2116">
        <v>49027.499999999993</v>
      </c>
      <c r="N2116">
        <v>250</v>
      </c>
      <c r="O2116">
        <v>27237.5</v>
      </c>
      <c r="P2116">
        <v>250</v>
      </c>
      <c r="Q2116">
        <v>700</v>
      </c>
      <c r="T2116">
        <v>0</v>
      </c>
      <c r="U2116">
        <v>0</v>
      </c>
      <c r="V2116">
        <v>615</v>
      </c>
      <c r="W2116">
        <v>67004.25</v>
      </c>
      <c r="X2116">
        <v>615</v>
      </c>
      <c r="Y2116">
        <v>615</v>
      </c>
      <c r="Z2116">
        <v>67004.25</v>
      </c>
      <c r="AA2116">
        <v>108.95</v>
      </c>
    </row>
    <row r="2117" spans="1:27" x14ac:dyDescent="0.25">
      <c r="A2117" t="s">
        <v>247</v>
      </c>
      <c r="B2117" t="s">
        <v>556</v>
      </c>
      <c r="C2117" t="s">
        <v>1859</v>
      </c>
      <c r="D2117" t="s">
        <v>608</v>
      </c>
      <c r="E2117" t="s">
        <v>1159</v>
      </c>
      <c r="F2117" t="s">
        <v>571</v>
      </c>
      <c r="G2117" s="204"/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T2117">
        <v>0</v>
      </c>
      <c r="U2117">
        <v>0</v>
      </c>
      <c r="V2117">
        <v>144</v>
      </c>
      <c r="W2117">
        <v>26280</v>
      </c>
      <c r="X2117">
        <v>144</v>
      </c>
      <c r="Y2117">
        <v>144</v>
      </c>
      <c r="Z2117">
        <v>26280</v>
      </c>
      <c r="AA2117">
        <v>182.5</v>
      </c>
    </row>
    <row r="2118" spans="1:27" x14ac:dyDescent="0.25">
      <c r="A2118" t="s">
        <v>247</v>
      </c>
      <c r="B2118" t="s">
        <v>556</v>
      </c>
      <c r="C2118" t="s">
        <v>1859</v>
      </c>
      <c r="D2118" t="s">
        <v>608</v>
      </c>
      <c r="E2118" t="s">
        <v>1111</v>
      </c>
      <c r="F2118" t="s">
        <v>571</v>
      </c>
      <c r="G2118" s="204"/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T2118">
        <v>0</v>
      </c>
      <c r="U2118">
        <v>0</v>
      </c>
      <c r="V2118">
        <v>1600</v>
      </c>
      <c r="W2118">
        <v>0</v>
      </c>
      <c r="X2118">
        <v>0</v>
      </c>
      <c r="Y2118">
        <v>0</v>
      </c>
      <c r="Z2118">
        <v>0</v>
      </c>
    </row>
    <row r="2119" spans="1:27" x14ac:dyDescent="0.25">
      <c r="A2119" t="s">
        <v>1845</v>
      </c>
      <c r="C2119" t="s">
        <v>1859</v>
      </c>
      <c r="D2119" t="s">
        <v>608</v>
      </c>
      <c r="E2119" t="s">
        <v>1150</v>
      </c>
      <c r="F2119" t="s">
        <v>571</v>
      </c>
      <c r="G2119" s="204"/>
      <c r="J2119">
        <v>1</v>
      </c>
      <c r="K2119">
        <v>60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7" x14ac:dyDescent="0.25">
      <c r="A2120" t="s">
        <v>248</v>
      </c>
      <c r="B2120" t="s">
        <v>556</v>
      </c>
      <c r="C2120" t="s">
        <v>1859</v>
      </c>
      <c r="D2120" t="s">
        <v>608</v>
      </c>
      <c r="E2120" t="s">
        <v>1305</v>
      </c>
      <c r="F2120" t="s">
        <v>571</v>
      </c>
      <c r="G2120" s="204"/>
      <c r="L2120">
        <v>1120</v>
      </c>
      <c r="M2120">
        <v>185819.19999999998</v>
      </c>
      <c r="N2120">
        <v>0</v>
      </c>
      <c r="O2120">
        <v>0</v>
      </c>
      <c r="P2120">
        <v>0</v>
      </c>
      <c r="Q2120">
        <v>1120</v>
      </c>
      <c r="R2120">
        <v>185819.19999999998</v>
      </c>
      <c r="S2120">
        <v>165.91</v>
      </c>
      <c r="T2120">
        <v>0</v>
      </c>
      <c r="U2120">
        <v>0</v>
      </c>
      <c r="V2120">
        <v>1928</v>
      </c>
      <c r="W2120">
        <v>319874.48</v>
      </c>
      <c r="X2120">
        <v>1928</v>
      </c>
      <c r="Y2120">
        <v>1928</v>
      </c>
    </row>
    <row r="2121" spans="1:27" x14ac:dyDescent="0.25">
      <c r="A2121" t="s">
        <v>248</v>
      </c>
      <c r="B2121" t="s">
        <v>556</v>
      </c>
      <c r="C2121" t="s">
        <v>1859</v>
      </c>
      <c r="D2121" t="s">
        <v>608</v>
      </c>
      <c r="E2121" t="s">
        <v>1157</v>
      </c>
      <c r="F2121" t="s">
        <v>571</v>
      </c>
      <c r="G2121" s="204"/>
      <c r="J2121">
        <v>162</v>
      </c>
      <c r="K2121">
        <v>29934.36</v>
      </c>
      <c r="L2121">
        <v>1070</v>
      </c>
      <c r="M2121">
        <v>169654.52000000002</v>
      </c>
      <c r="N2121">
        <v>0</v>
      </c>
      <c r="O2121">
        <v>0</v>
      </c>
      <c r="P2121">
        <v>0</v>
      </c>
      <c r="Q2121">
        <v>1070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7" x14ac:dyDescent="0.25">
      <c r="A2122" t="s">
        <v>248</v>
      </c>
      <c r="B2122" t="s">
        <v>556</v>
      </c>
      <c r="C2122" t="s">
        <v>1859</v>
      </c>
      <c r="D2122" t="s">
        <v>608</v>
      </c>
      <c r="E2122" t="s">
        <v>1150</v>
      </c>
      <c r="F2122" t="s">
        <v>571</v>
      </c>
      <c r="G2122" s="204"/>
      <c r="L2122">
        <v>1101</v>
      </c>
      <c r="M2122">
        <v>119953.95</v>
      </c>
      <c r="N2122">
        <v>642</v>
      </c>
      <c r="O2122">
        <v>69945.899999999994</v>
      </c>
      <c r="P2122">
        <v>642</v>
      </c>
      <c r="Q2122">
        <v>1743</v>
      </c>
      <c r="T2122">
        <v>0</v>
      </c>
      <c r="U2122">
        <v>0</v>
      </c>
      <c r="V2122">
        <v>500</v>
      </c>
      <c r="W2122">
        <v>82955</v>
      </c>
      <c r="X2122">
        <v>500</v>
      </c>
      <c r="Y2122">
        <v>500</v>
      </c>
      <c r="Z2122">
        <v>82955</v>
      </c>
      <c r="AA2122">
        <v>165.91</v>
      </c>
    </row>
    <row r="2123" spans="1:27" x14ac:dyDescent="0.25">
      <c r="A2123" t="s">
        <v>248</v>
      </c>
      <c r="B2123" t="s">
        <v>556</v>
      </c>
      <c r="C2123" t="s">
        <v>1859</v>
      </c>
      <c r="D2123" t="s">
        <v>608</v>
      </c>
      <c r="E2123" t="s">
        <v>1159</v>
      </c>
      <c r="F2123" t="s">
        <v>571</v>
      </c>
      <c r="G2123" s="204"/>
      <c r="L2123">
        <v>0</v>
      </c>
      <c r="M2123">
        <v>0</v>
      </c>
      <c r="N2123">
        <v>192</v>
      </c>
      <c r="O2123">
        <v>26499.84</v>
      </c>
      <c r="P2123">
        <v>192</v>
      </c>
      <c r="Q2123">
        <v>192</v>
      </c>
      <c r="R2123">
        <v>26499.84</v>
      </c>
      <c r="S2123">
        <v>138.02000000000001</v>
      </c>
      <c r="T2123">
        <v>0</v>
      </c>
      <c r="U2123">
        <v>0</v>
      </c>
      <c r="V2123">
        <v>428</v>
      </c>
      <c r="W2123">
        <v>76686.64</v>
      </c>
      <c r="X2123">
        <v>428</v>
      </c>
      <c r="Y2123">
        <v>428</v>
      </c>
    </row>
    <row r="2124" spans="1:27" x14ac:dyDescent="0.25">
      <c r="A2124" t="s">
        <v>248</v>
      </c>
      <c r="B2124" t="s">
        <v>556</v>
      </c>
      <c r="C2124" t="s">
        <v>1859</v>
      </c>
      <c r="D2124" t="s">
        <v>608</v>
      </c>
      <c r="E2124" t="s">
        <v>1111</v>
      </c>
      <c r="F2124" t="s">
        <v>571</v>
      </c>
      <c r="G2124" s="204"/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T2124">
        <v>0</v>
      </c>
      <c r="U2124">
        <v>0</v>
      </c>
      <c r="V2124">
        <v>2800</v>
      </c>
      <c r="W2124">
        <v>0</v>
      </c>
      <c r="X2124">
        <v>0</v>
      </c>
      <c r="Y2124">
        <v>0</v>
      </c>
      <c r="Z2124">
        <v>0</v>
      </c>
    </row>
    <row r="2125" spans="1:27" x14ac:dyDescent="0.25">
      <c r="A2125" t="s">
        <v>1846</v>
      </c>
      <c r="C2125" t="s">
        <v>1859</v>
      </c>
      <c r="D2125" t="s">
        <v>608</v>
      </c>
      <c r="E2125" t="s">
        <v>1150</v>
      </c>
      <c r="F2125" t="s">
        <v>571</v>
      </c>
      <c r="G2125" s="204"/>
      <c r="J2125">
        <v>1</v>
      </c>
      <c r="K2125">
        <v>60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7" x14ac:dyDescent="0.25">
      <c r="A2126" t="s">
        <v>366</v>
      </c>
      <c r="B2126" t="s">
        <v>562</v>
      </c>
      <c r="C2126" t="s">
        <v>1859</v>
      </c>
      <c r="D2126" t="s">
        <v>657</v>
      </c>
      <c r="E2126" t="s">
        <v>1169</v>
      </c>
      <c r="F2126" t="s">
        <v>571</v>
      </c>
      <c r="G2126" s="204"/>
      <c r="L2126">
        <v>0</v>
      </c>
      <c r="M2126">
        <v>0</v>
      </c>
      <c r="N2126">
        <v>10</v>
      </c>
      <c r="O2126">
        <v>23750</v>
      </c>
      <c r="P2126">
        <v>10</v>
      </c>
      <c r="Q2126">
        <v>10</v>
      </c>
      <c r="R2126">
        <v>23750</v>
      </c>
      <c r="S2126">
        <v>2375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7" x14ac:dyDescent="0.25">
      <c r="A2127" t="s">
        <v>249</v>
      </c>
      <c r="B2127" t="s">
        <v>556</v>
      </c>
      <c r="C2127" t="s">
        <v>1859</v>
      </c>
      <c r="D2127" t="s">
        <v>585</v>
      </c>
      <c r="E2127" t="s">
        <v>1152</v>
      </c>
      <c r="F2127" t="s">
        <v>571</v>
      </c>
      <c r="G2127" s="204"/>
      <c r="H2127">
        <v>750</v>
      </c>
      <c r="I2127">
        <v>80535</v>
      </c>
      <c r="L2127">
        <v>791</v>
      </c>
      <c r="M2127">
        <v>84937.58</v>
      </c>
      <c r="N2127">
        <v>359</v>
      </c>
      <c r="O2127">
        <v>38549.42</v>
      </c>
      <c r="P2127">
        <v>359</v>
      </c>
      <c r="Q2127">
        <v>1150</v>
      </c>
      <c r="T2127">
        <v>0</v>
      </c>
      <c r="U2127">
        <v>0</v>
      </c>
      <c r="V2127">
        <v>800</v>
      </c>
      <c r="W2127">
        <v>85904</v>
      </c>
      <c r="X2127">
        <v>800</v>
      </c>
      <c r="Y2127">
        <v>800</v>
      </c>
    </row>
    <row r="2128" spans="1:27" x14ac:dyDescent="0.25">
      <c r="A2128" t="s">
        <v>249</v>
      </c>
      <c r="B2128" t="s">
        <v>556</v>
      </c>
      <c r="C2128" t="s">
        <v>1859</v>
      </c>
      <c r="D2128" t="s">
        <v>585</v>
      </c>
      <c r="E2128" t="s">
        <v>1221</v>
      </c>
      <c r="F2128" t="s">
        <v>571</v>
      </c>
      <c r="G2128" s="204"/>
      <c r="L2128">
        <v>180</v>
      </c>
      <c r="M2128">
        <v>19328.400000000001</v>
      </c>
      <c r="N2128">
        <v>0</v>
      </c>
      <c r="O2128">
        <v>0</v>
      </c>
      <c r="P2128">
        <v>0</v>
      </c>
      <c r="Q2128">
        <v>180</v>
      </c>
      <c r="R2128">
        <v>19328.400000000001</v>
      </c>
      <c r="S2128">
        <v>107.38000000000001</v>
      </c>
      <c r="T2128">
        <v>0</v>
      </c>
      <c r="U2128">
        <v>0</v>
      </c>
      <c r="V2128">
        <v>985</v>
      </c>
      <c r="W2128">
        <v>105769.3</v>
      </c>
      <c r="X2128">
        <v>985</v>
      </c>
      <c r="Y2128">
        <v>985</v>
      </c>
    </row>
    <row r="2129" spans="1:27" x14ac:dyDescent="0.25">
      <c r="A2129" t="s">
        <v>249</v>
      </c>
      <c r="B2129" t="s">
        <v>556</v>
      </c>
      <c r="C2129" t="s">
        <v>1859</v>
      </c>
      <c r="D2129" t="s">
        <v>585</v>
      </c>
      <c r="E2129" t="s">
        <v>1167</v>
      </c>
      <c r="F2129" t="s">
        <v>571</v>
      </c>
      <c r="G2129" s="204"/>
      <c r="H2129">
        <v>186</v>
      </c>
      <c r="I2129">
        <v>19972.68</v>
      </c>
      <c r="L2129">
        <v>526</v>
      </c>
      <c r="M2129">
        <v>56481.88</v>
      </c>
      <c r="N2129">
        <v>64</v>
      </c>
      <c r="O2129">
        <v>6872.32</v>
      </c>
      <c r="P2129">
        <v>64</v>
      </c>
      <c r="Q2129">
        <v>590</v>
      </c>
      <c r="T2129">
        <v>0</v>
      </c>
      <c r="U2129">
        <v>0</v>
      </c>
      <c r="V2129">
        <v>450</v>
      </c>
      <c r="W2129">
        <v>48321</v>
      </c>
      <c r="X2129">
        <v>450</v>
      </c>
      <c r="Y2129">
        <v>450</v>
      </c>
    </row>
    <row r="2130" spans="1:27" x14ac:dyDescent="0.25">
      <c r="A2130" t="s">
        <v>249</v>
      </c>
      <c r="B2130" t="s">
        <v>556</v>
      </c>
      <c r="C2130" t="s">
        <v>1859</v>
      </c>
      <c r="D2130" t="s">
        <v>585</v>
      </c>
      <c r="E2130" t="s">
        <v>1308</v>
      </c>
      <c r="F2130" t="s">
        <v>571</v>
      </c>
      <c r="G2130" s="204"/>
      <c r="J2130">
        <v>200</v>
      </c>
      <c r="K2130">
        <v>21476</v>
      </c>
      <c r="L2130">
        <v>300</v>
      </c>
      <c r="M2130">
        <v>32214</v>
      </c>
      <c r="N2130">
        <v>100</v>
      </c>
      <c r="O2130">
        <v>10738</v>
      </c>
      <c r="P2130">
        <v>100</v>
      </c>
      <c r="Q2130">
        <v>400</v>
      </c>
      <c r="T2130">
        <v>0</v>
      </c>
      <c r="U2130">
        <v>0</v>
      </c>
      <c r="V2130">
        <v>200</v>
      </c>
      <c r="W2130">
        <v>21476</v>
      </c>
      <c r="X2130">
        <v>200</v>
      </c>
      <c r="Y2130">
        <v>200</v>
      </c>
      <c r="Z2130">
        <v>21476</v>
      </c>
      <c r="AA2130">
        <v>107.38</v>
      </c>
    </row>
    <row r="2131" spans="1:27" x14ac:dyDescent="0.25">
      <c r="A2131" t="s">
        <v>250</v>
      </c>
      <c r="B2131" t="s">
        <v>556</v>
      </c>
      <c r="C2131" t="s">
        <v>1859</v>
      </c>
      <c r="D2131" t="s">
        <v>585</v>
      </c>
      <c r="E2131" t="s">
        <v>1152</v>
      </c>
      <c r="F2131" t="s">
        <v>571</v>
      </c>
      <c r="G2131" s="204"/>
      <c r="J2131">
        <v>666</v>
      </c>
      <c r="K2131">
        <v>104781.78</v>
      </c>
      <c r="L2131">
        <v>1671</v>
      </c>
      <c r="M2131">
        <v>262898.43</v>
      </c>
      <c r="N2131">
        <v>250</v>
      </c>
      <c r="O2131">
        <v>39332.5</v>
      </c>
      <c r="P2131">
        <v>250</v>
      </c>
      <c r="Q2131">
        <v>1921</v>
      </c>
      <c r="T2131">
        <v>0</v>
      </c>
      <c r="U2131">
        <v>0</v>
      </c>
      <c r="V2131">
        <v>800</v>
      </c>
      <c r="W2131">
        <v>125864</v>
      </c>
      <c r="X2131">
        <v>800</v>
      </c>
      <c r="Y2131">
        <v>800</v>
      </c>
    </row>
    <row r="2132" spans="1:27" x14ac:dyDescent="0.25">
      <c r="A2132" t="s">
        <v>250</v>
      </c>
      <c r="B2132" t="s">
        <v>556</v>
      </c>
      <c r="C2132" t="s">
        <v>1859</v>
      </c>
      <c r="D2132" t="s">
        <v>585</v>
      </c>
      <c r="E2132" t="s">
        <v>1221</v>
      </c>
      <c r="F2132" t="s">
        <v>571</v>
      </c>
      <c r="G2132" s="204"/>
      <c r="L2132">
        <v>375</v>
      </c>
      <c r="M2132">
        <v>58998.75</v>
      </c>
      <c r="N2132">
        <v>0</v>
      </c>
      <c r="O2132">
        <v>0</v>
      </c>
      <c r="P2132">
        <v>0</v>
      </c>
      <c r="Q2132">
        <v>375</v>
      </c>
      <c r="R2132">
        <v>58998.75</v>
      </c>
      <c r="S2132">
        <v>157.33000000000001</v>
      </c>
      <c r="T2132">
        <v>0</v>
      </c>
      <c r="U2132">
        <v>0</v>
      </c>
      <c r="V2132">
        <v>1250</v>
      </c>
      <c r="W2132">
        <v>196662.5</v>
      </c>
      <c r="X2132">
        <v>1250</v>
      </c>
      <c r="Y2132">
        <v>1250</v>
      </c>
    </row>
    <row r="2133" spans="1:27" x14ac:dyDescent="0.25">
      <c r="A2133" t="s">
        <v>250</v>
      </c>
      <c r="B2133" t="s">
        <v>556</v>
      </c>
      <c r="C2133" t="s">
        <v>1859</v>
      </c>
      <c r="D2133" t="s">
        <v>585</v>
      </c>
      <c r="E2133" t="s">
        <v>1167</v>
      </c>
      <c r="F2133" t="s">
        <v>571</v>
      </c>
      <c r="G2133" s="204"/>
      <c r="H2133">
        <v>246</v>
      </c>
      <c r="I2133">
        <v>38703.180000000008</v>
      </c>
      <c r="L2133">
        <v>843</v>
      </c>
      <c r="M2133">
        <v>132629.19</v>
      </c>
      <c r="N2133">
        <v>656</v>
      </c>
      <c r="O2133">
        <v>103208.48000000001</v>
      </c>
      <c r="P2133">
        <v>656</v>
      </c>
      <c r="Q2133">
        <v>1499</v>
      </c>
      <c r="T2133">
        <v>0</v>
      </c>
      <c r="U2133">
        <v>0</v>
      </c>
      <c r="V2133">
        <v>512</v>
      </c>
      <c r="W2133">
        <v>80552.960000000006</v>
      </c>
      <c r="X2133">
        <v>512</v>
      </c>
      <c r="Y2133">
        <v>512</v>
      </c>
    </row>
    <row r="2134" spans="1:27" x14ac:dyDescent="0.25">
      <c r="A2134" t="s">
        <v>250</v>
      </c>
      <c r="B2134" t="s">
        <v>556</v>
      </c>
      <c r="C2134" t="s">
        <v>1859</v>
      </c>
      <c r="D2134" t="s">
        <v>585</v>
      </c>
      <c r="E2134" t="s">
        <v>1308</v>
      </c>
      <c r="F2134" t="s">
        <v>571</v>
      </c>
      <c r="G2134" s="204"/>
      <c r="L2134">
        <v>224</v>
      </c>
      <c r="M2134">
        <v>35241.919999999998</v>
      </c>
      <c r="N2134">
        <v>100</v>
      </c>
      <c r="O2134">
        <v>15733</v>
      </c>
      <c r="P2134">
        <v>100</v>
      </c>
      <c r="Q2134">
        <v>324</v>
      </c>
      <c r="T2134">
        <v>0</v>
      </c>
      <c r="U2134">
        <v>0</v>
      </c>
      <c r="V2134">
        <v>200</v>
      </c>
      <c r="W2134">
        <v>31466</v>
      </c>
      <c r="X2134">
        <v>200</v>
      </c>
      <c r="Y2134">
        <v>200</v>
      </c>
      <c r="Z2134">
        <v>31466</v>
      </c>
      <c r="AA2134">
        <v>157.33000000000001</v>
      </c>
    </row>
    <row r="2135" spans="1:27" x14ac:dyDescent="0.25">
      <c r="A2135" t="s">
        <v>251</v>
      </c>
      <c r="B2135" t="s">
        <v>556</v>
      </c>
      <c r="C2135" t="s">
        <v>1859</v>
      </c>
      <c r="D2135" t="s">
        <v>585</v>
      </c>
      <c r="E2135" t="s">
        <v>1152</v>
      </c>
      <c r="F2135" t="s">
        <v>571</v>
      </c>
      <c r="G2135" s="204"/>
      <c r="J2135">
        <v>675</v>
      </c>
      <c r="K2135">
        <v>106197.75000000001</v>
      </c>
      <c r="L2135">
        <v>1289</v>
      </c>
      <c r="M2135">
        <v>202798.37</v>
      </c>
      <c r="N2135">
        <v>436</v>
      </c>
      <c r="O2135">
        <v>68595.88</v>
      </c>
      <c r="P2135">
        <v>436</v>
      </c>
      <c r="Q2135">
        <v>1725</v>
      </c>
      <c r="T2135">
        <v>0</v>
      </c>
      <c r="U2135">
        <v>0</v>
      </c>
      <c r="V2135">
        <v>800</v>
      </c>
      <c r="W2135">
        <v>125864</v>
      </c>
      <c r="X2135">
        <v>800</v>
      </c>
      <c r="Y2135">
        <v>800</v>
      </c>
    </row>
    <row r="2136" spans="1:27" x14ac:dyDescent="0.25">
      <c r="A2136" t="s">
        <v>251</v>
      </c>
      <c r="B2136" t="s">
        <v>556</v>
      </c>
      <c r="C2136" t="s">
        <v>1859</v>
      </c>
      <c r="D2136" t="s">
        <v>585</v>
      </c>
      <c r="E2136" t="s">
        <v>1221</v>
      </c>
      <c r="F2136" t="s">
        <v>571</v>
      </c>
      <c r="G2136" s="204"/>
      <c r="L2136">
        <v>312</v>
      </c>
      <c r="M2136">
        <v>49086.96</v>
      </c>
      <c r="N2136">
        <v>273</v>
      </c>
      <c r="O2136">
        <v>42951.09</v>
      </c>
      <c r="P2136">
        <v>273</v>
      </c>
      <c r="Q2136">
        <v>585</v>
      </c>
      <c r="R2136">
        <v>92038.049999999988</v>
      </c>
      <c r="S2136">
        <v>157.32999999999998</v>
      </c>
      <c r="T2136">
        <v>0</v>
      </c>
      <c r="U2136">
        <v>0</v>
      </c>
      <c r="V2136">
        <v>750</v>
      </c>
      <c r="W2136">
        <v>117997.5</v>
      </c>
      <c r="X2136">
        <v>750</v>
      </c>
      <c r="Y2136">
        <v>750</v>
      </c>
    </row>
    <row r="2137" spans="1:27" x14ac:dyDescent="0.25">
      <c r="A2137" t="s">
        <v>251</v>
      </c>
      <c r="B2137" t="s">
        <v>556</v>
      </c>
      <c r="C2137" t="s">
        <v>1859</v>
      </c>
      <c r="D2137" t="s">
        <v>585</v>
      </c>
      <c r="E2137" t="s">
        <v>1167</v>
      </c>
      <c r="F2137" t="s">
        <v>571</v>
      </c>
      <c r="G2137" s="204"/>
      <c r="H2137">
        <v>262</v>
      </c>
      <c r="I2137">
        <v>41220.460000000014</v>
      </c>
      <c r="L2137">
        <v>630</v>
      </c>
      <c r="M2137">
        <v>99117.900000000009</v>
      </c>
      <c r="N2137">
        <v>197</v>
      </c>
      <c r="O2137">
        <v>30994.010000000002</v>
      </c>
      <c r="P2137">
        <v>197</v>
      </c>
      <c r="Q2137">
        <v>827</v>
      </c>
      <c r="T2137">
        <v>0</v>
      </c>
      <c r="U2137">
        <v>0</v>
      </c>
      <c r="V2137">
        <v>891</v>
      </c>
      <c r="W2137">
        <v>140181.03</v>
      </c>
      <c r="X2137">
        <v>891</v>
      </c>
      <c r="Y2137">
        <v>891</v>
      </c>
    </row>
    <row r="2138" spans="1:27" x14ac:dyDescent="0.25">
      <c r="A2138" t="s">
        <v>251</v>
      </c>
      <c r="B2138" t="s">
        <v>556</v>
      </c>
      <c r="C2138" t="s">
        <v>1859</v>
      </c>
      <c r="D2138" t="s">
        <v>585</v>
      </c>
      <c r="E2138" t="s">
        <v>1308</v>
      </c>
      <c r="F2138" t="s">
        <v>571</v>
      </c>
      <c r="G2138" s="204"/>
      <c r="L2138">
        <v>214</v>
      </c>
      <c r="M2138">
        <v>33668.620000000003</v>
      </c>
      <c r="N2138">
        <v>100</v>
      </c>
      <c r="O2138">
        <v>15733</v>
      </c>
      <c r="P2138">
        <v>100</v>
      </c>
      <c r="Q2138">
        <v>314</v>
      </c>
      <c r="T2138">
        <v>0</v>
      </c>
      <c r="U2138">
        <v>0</v>
      </c>
      <c r="V2138">
        <v>200</v>
      </c>
      <c r="W2138">
        <v>31466</v>
      </c>
      <c r="X2138">
        <v>200</v>
      </c>
      <c r="Y2138">
        <v>200</v>
      </c>
      <c r="Z2138">
        <v>31466</v>
      </c>
      <c r="AA2138">
        <v>157.33000000000001</v>
      </c>
    </row>
    <row r="2139" spans="1:27" x14ac:dyDescent="0.25">
      <c r="A2139" t="s">
        <v>252</v>
      </c>
      <c r="B2139" t="s">
        <v>556</v>
      </c>
      <c r="C2139" t="s">
        <v>1859</v>
      </c>
      <c r="D2139" t="s">
        <v>585</v>
      </c>
      <c r="E2139" t="s">
        <v>1152</v>
      </c>
      <c r="F2139" t="s">
        <v>571</v>
      </c>
      <c r="G2139" s="204"/>
      <c r="H2139">
        <v>750</v>
      </c>
      <c r="I2139">
        <v>117975</v>
      </c>
      <c r="L2139">
        <v>1394</v>
      </c>
      <c r="M2139">
        <v>219276.2</v>
      </c>
      <c r="N2139">
        <v>250</v>
      </c>
      <c r="O2139">
        <v>39325</v>
      </c>
      <c r="P2139">
        <v>250</v>
      </c>
      <c r="Q2139">
        <v>1644</v>
      </c>
      <c r="T2139">
        <v>0</v>
      </c>
      <c r="U2139">
        <v>0</v>
      </c>
      <c r="V2139">
        <v>800</v>
      </c>
      <c r="W2139">
        <v>125840</v>
      </c>
      <c r="X2139">
        <v>800</v>
      </c>
      <c r="Y2139">
        <v>800</v>
      </c>
    </row>
    <row r="2140" spans="1:27" x14ac:dyDescent="0.25">
      <c r="A2140" t="s">
        <v>252</v>
      </c>
      <c r="B2140" t="s">
        <v>556</v>
      </c>
      <c r="C2140" t="s">
        <v>1859</v>
      </c>
      <c r="D2140" t="s">
        <v>585</v>
      </c>
      <c r="E2140" t="s">
        <v>1221</v>
      </c>
      <c r="F2140" t="s">
        <v>571</v>
      </c>
      <c r="G2140" s="204"/>
      <c r="L2140">
        <v>350</v>
      </c>
      <c r="M2140">
        <v>55055</v>
      </c>
      <c r="N2140">
        <v>130</v>
      </c>
      <c r="O2140">
        <v>20449</v>
      </c>
      <c r="P2140">
        <v>130</v>
      </c>
      <c r="Q2140">
        <v>480</v>
      </c>
      <c r="R2140">
        <v>75504</v>
      </c>
      <c r="S2140">
        <v>157.30000000000001</v>
      </c>
      <c r="T2140">
        <v>0</v>
      </c>
      <c r="U2140">
        <v>0</v>
      </c>
      <c r="V2140">
        <v>1050</v>
      </c>
      <c r="W2140">
        <v>165165</v>
      </c>
      <c r="X2140">
        <v>1050</v>
      </c>
      <c r="Y2140">
        <v>1050</v>
      </c>
    </row>
    <row r="2141" spans="1:27" x14ac:dyDescent="0.25">
      <c r="A2141" t="s">
        <v>252</v>
      </c>
      <c r="B2141" t="s">
        <v>556</v>
      </c>
      <c r="C2141" t="s">
        <v>1859</v>
      </c>
      <c r="D2141" t="s">
        <v>585</v>
      </c>
      <c r="E2141" t="s">
        <v>1167</v>
      </c>
      <c r="F2141" t="s">
        <v>571</v>
      </c>
      <c r="G2141" s="204"/>
      <c r="H2141">
        <v>271</v>
      </c>
      <c r="I2141">
        <v>42628.3</v>
      </c>
      <c r="L2141">
        <v>717</v>
      </c>
      <c r="M2141">
        <v>112784.09999999999</v>
      </c>
      <c r="N2141">
        <v>294</v>
      </c>
      <c r="O2141">
        <v>46246.200000000004</v>
      </c>
      <c r="P2141">
        <v>294</v>
      </c>
      <c r="Q2141">
        <v>1011</v>
      </c>
      <c r="T2141">
        <v>0</v>
      </c>
      <c r="U2141">
        <v>0</v>
      </c>
      <c r="V2141">
        <v>882</v>
      </c>
      <c r="W2141">
        <v>138738.59999999998</v>
      </c>
      <c r="X2141">
        <v>882</v>
      </c>
      <c r="Y2141">
        <v>882</v>
      </c>
    </row>
    <row r="2142" spans="1:27" x14ac:dyDescent="0.25">
      <c r="A2142" t="s">
        <v>252</v>
      </c>
      <c r="B2142" t="s">
        <v>556</v>
      </c>
      <c r="C2142" t="s">
        <v>1859</v>
      </c>
      <c r="D2142" t="s">
        <v>585</v>
      </c>
      <c r="E2142" t="s">
        <v>1308</v>
      </c>
      <c r="F2142" t="s">
        <v>571</v>
      </c>
      <c r="G2142" s="204"/>
      <c r="L2142">
        <v>234</v>
      </c>
      <c r="M2142">
        <v>36808.199999999997</v>
      </c>
      <c r="N2142">
        <v>100</v>
      </c>
      <c r="O2142">
        <v>15730</v>
      </c>
      <c r="P2142">
        <v>100</v>
      </c>
      <c r="Q2142">
        <v>334</v>
      </c>
      <c r="T2142">
        <v>0</v>
      </c>
      <c r="U2142">
        <v>0</v>
      </c>
      <c r="V2142">
        <v>200</v>
      </c>
      <c r="W2142">
        <v>31460</v>
      </c>
      <c r="X2142">
        <v>200</v>
      </c>
      <c r="Y2142">
        <v>200</v>
      </c>
      <c r="Z2142">
        <v>31460</v>
      </c>
      <c r="AA2142">
        <v>157.30000000000001</v>
      </c>
    </row>
    <row r="2143" spans="1:27" x14ac:dyDescent="0.25">
      <c r="A2143" t="s">
        <v>253</v>
      </c>
      <c r="B2143" t="s">
        <v>556</v>
      </c>
      <c r="C2143" t="s">
        <v>1859</v>
      </c>
      <c r="D2143" t="s">
        <v>585</v>
      </c>
      <c r="E2143" t="s">
        <v>1152</v>
      </c>
      <c r="F2143" t="s">
        <v>571</v>
      </c>
      <c r="G2143" s="204"/>
      <c r="H2143">
        <v>750</v>
      </c>
      <c r="I2143">
        <v>117975.00000000001</v>
      </c>
      <c r="L2143">
        <v>1179</v>
      </c>
      <c r="M2143">
        <v>185456.7</v>
      </c>
      <c r="N2143">
        <v>388</v>
      </c>
      <c r="O2143">
        <v>61032.4</v>
      </c>
      <c r="P2143">
        <v>388</v>
      </c>
      <c r="Q2143">
        <v>1567</v>
      </c>
      <c r="T2143">
        <v>0</v>
      </c>
      <c r="U2143">
        <v>0</v>
      </c>
      <c r="V2143">
        <v>800</v>
      </c>
      <c r="W2143">
        <v>125840</v>
      </c>
      <c r="X2143">
        <v>800</v>
      </c>
      <c r="Y2143">
        <v>800</v>
      </c>
    </row>
    <row r="2144" spans="1:27" x14ac:dyDescent="0.25">
      <c r="A2144" t="s">
        <v>253</v>
      </c>
      <c r="B2144" t="s">
        <v>556</v>
      </c>
      <c r="C2144" t="s">
        <v>1859</v>
      </c>
      <c r="D2144" t="s">
        <v>585</v>
      </c>
      <c r="E2144" t="s">
        <v>1221</v>
      </c>
      <c r="F2144" t="s">
        <v>571</v>
      </c>
      <c r="G2144" s="204"/>
      <c r="L2144">
        <v>240</v>
      </c>
      <c r="M2144">
        <v>37752.000000000007</v>
      </c>
      <c r="N2144">
        <v>200</v>
      </c>
      <c r="O2144">
        <v>31460</v>
      </c>
      <c r="P2144">
        <v>200</v>
      </c>
      <c r="Q2144">
        <v>440</v>
      </c>
      <c r="R2144">
        <v>69212</v>
      </c>
      <c r="S2144">
        <v>157.30000000000001</v>
      </c>
      <c r="T2144">
        <v>0</v>
      </c>
      <c r="U2144">
        <v>0</v>
      </c>
      <c r="V2144">
        <v>1050</v>
      </c>
      <c r="W2144">
        <v>165165</v>
      </c>
      <c r="X2144">
        <v>1050</v>
      </c>
      <c r="Y2144">
        <v>1050</v>
      </c>
    </row>
    <row r="2145" spans="1:27" x14ac:dyDescent="0.25">
      <c r="A2145" t="s">
        <v>253</v>
      </c>
      <c r="B2145" t="s">
        <v>556</v>
      </c>
      <c r="C2145" t="s">
        <v>1859</v>
      </c>
      <c r="D2145" t="s">
        <v>585</v>
      </c>
      <c r="E2145" t="s">
        <v>1167</v>
      </c>
      <c r="F2145" t="s">
        <v>571</v>
      </c>
      <c r="G2145" s="204"/>
      <c r="H2145">
        <v>275</v>
      </c>
      <c r="I2145">
        <v>43257.5</v>
      </c>
      <c r="L2145">
        <v>679</v>
      </c>
      <c r="M2145">
        <v>106806.70000000001</v>
      </c>
      <c r="N2145">
        <v>252</v>
      </c>
      <c r="O2145">
        <v>39639.599999999999</v>
      </c>
      <c r="P2145">
        <v>252</v>
      </c>
      <c r="Q2145">
        <v>931</v>
      </c>
      <c r="T2145">
        <v>0</v>
      </c>
      <c r="U2145">
        <v>0</v>
      </c>
      <c r="V2145">
        <v>1134</v>
      </c>
      <c r="W2145">
        <v>178378.19999999998</v>
      </c>
      <c r="X2145">
        <v>1134</v>
      </c>
      <c r="Y2145">
        <v>1134</v>
      </c>
    </row>
    <row r="2146" spans="1:27" x14ac:dyDescent="0.25">
      <c r="A2146" t="s">
        <v>253</v>
      </c>
      <c r="B2146" t="s">
        <v>556</v>
      </c>
      <c r="C2146" t="s">
        <v>1859</v>
      </c>
      <c r="D2146" t="s">
        <v>585</v>
      </c>
      <c r="E2146" t="s">
        <v>1308</v>
      </c>
      <c r="F2146" t="s">
        <v>571</v>
      </c>
      <c r="G2146" s="204"/>
      <c r="L2146">
        <v>141</v>
      </c>
      <c r="M2146">
        <v>22179.3</v>
      </c>
      <c r="N2146">
        <v>100</v>
      </c>
      <c r="O2146">
        <v>15730</v>
      </c>
      <c r="P2146">
        <v>100</v>
      </c>
      <c r="Q2146">
        <v>241</v>
      </c>
      <c r="T2146">
        <v>0</v>
      </c>
      <c r="U2146">
        <v>0</v>
      </c>
      <c r="V2146">
        <v>200</v>
      </c>
      <c r="W2146">
        <v>31460</v>
      </c>
      <c r="X2146">
        <v>200</v>
      </c>
      <c r="Y2146">
        <v>200</v>
      </c>
      <c r="Z2146">
        <v>31460</v>
      </c>
      <c r="AA2146">
        <v>157.30000000000001</v>
      </c>
    </row>
    <row r="2147" spans="1:27" x14ac:dyDescent="0.25">
      <c r="A2147" t="s">
        <v>254</v>
      </c>
      <c r="B2147" t="s">
        <v>556</v>
      </c>
      <c r="C2147" t="s">
        <v>1859</v>
      </c>
      <c r="D2147" t="s">
        <v>587</v>
      </c>
      <c r="E2147" t="s">
        <v>1152</v>
      </c>
      <c r="F2147" t="s">
        <v>571</v>
      </c>
      <c r="G2147" s="204"/>
      <c r="H2147">
        <v>200</v>
      </c>
      <c r="I2147">
        <v>40922</v>
      </c>
      <c r="L2147">
        <v>0</v>
      </c>
      <c r="M2147">
        <v>0</v>
      </c>
      <c r="N2147">
        <v>200</v>
      </c>
      <c r="O2147">
        <v>51206</v>
      </c>
      <c r="P2147">
        <v>200</v>
      </c>
      <c r="Q2147">
        <v>200</v>
      </c>
      <c r="R2147">
        <v>51206</v>
      </c>
      <c r="S2147">
        <v>256.02999999999997</v>
      </c>
      <c r="T2147">
        <v>0</v>
      </c>
      <c r="U2147">
        <v>0</v>
      </c>
      <c r="V2147">
        <v>250</v>
      </c>
      <c r="W2147">
        <v>64007.5</v>
      </c>
      <c r="X2147">
        <v>250</v>
      </c>
      <c r="Y2147">
        <v>250</v>
      </c>
    </row>
    <row r="2148" spans="1:27" x14ac:dyDescent="0.25">
      <c r="A2148" t="s">
        <v>254</v>
      </c>
      <c r="B2148" t="s">
        <v>556</v>
      </c>
      <c r="C2148" t="s">
        <v>1859</v>
      </c>
      <c r="D2148" t="s">
        <v>587</v>
      </c>
      <c r="E2148" t="s">
        <v>1308</v>
      </c>
      <c r="F2148" t="s">
        <v>571</v>
      </c>
      <c r="G2148" s="204"/>
      <c r="J2148">
        <v>70</v>
      </c>
      <c r="K2148">
        <v>16144.099999999999</v>
      </c>
      <c r="L2148">
        <v>140</v>
      </c>
      <c r="M2148">
        <v>33334</v>
      </c>
      <c r="N2148">
        <v>80</v>
      </c>
      <c r="O2148">
        <v>19944.5</v>
      </c>
      <c r="P2148">
        <v>80</v>
      </c>
      <c r="Q2148">
        <v>220</v>
      </c>
      <c r="T2148">
        <v>0</v>
      </c>
      <c r="U2148">
        <v>0</v>
      </c>
      <c r="V2148">
        <v>100</v>
      </c>
      <c r="W2148">
        <v>25603</v>
      </c>
      <c r="X2148">
        <v>100</v>
      </c>
      <c r="Y2148">
        <v>100</v>
      </c>
    </row>
    <row r="2149" spans="1:27" x14ac:dyDescent="0.25">
      <c r="A2149" t="s">
        <v>717</v>
      </c>
      <c r="B2149" t="s">
        <v>554</v>
      </c>
      <c r="C2149" t="s">
        <v>1859</v>
      </c>
      <c r="D2149" t="s">
        <v>745</v>
      </c>
      <c r="E2149" t="s">
        <v>1250</v>
      </c>
      <c r="F2149" t="s">
        <v>571</v>
      </c>
      <c r="G2149" s="204"/>
      <c r="L2149">
        <v>498</v>
      </c>
      <c r="M2149">
        <v>199200</v>
      </c>
      <c r="N2149">
        <v>0</v>
      </c>
      <c r="O2149">
        <v>0</v>
      </c>
      <c r="P2149">
        <v>0</v>
      </c>
      <c r="Q2149">
        <v>498</v>
      </c>
      <c r="R2149">
        <v>199200</v>
      </c>
      <c r="S2149">
        <v>400</v>
      </c>
      <c r="T2149">
        <v>0</v>
      </c>
      <c r="U2149">
        <v>0</v>
      </c>
      <c r="V2149">
        <v>1750</v>
      </c>
      <c r="W2149">
        <v>675500</v>
      </c>
      <c r="X2149">
        <v>1750</v>
      </c>
      <c r="Y2149">
        <v>1750</v>
      </c>
    </row>
    <row r="2150" spans="1:27" x14ac:dyDescent="0.25">
      <c r="A2150" t="s">
        <v>1579</v>
      </c>
      <c r="B2150" t="s">
        <v>556</v>
      </c>
      <c r="C2150" t="s">
        <v>1859</v>
      </c>
      <c r="D2150" t="s">
        <v>1914</v>
      </c>
      <c r="E2150" t="s">
        <v>1150</v>
      </c>
      <c r="F2150" t="s">
        <v>571</v>
      </c>
      <c r="G2150" s="204"/>
      <c r="J2150">
        <v>62</v>
      </c>
      <c r="K2150">
        <v>9796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7" x14ac:dyDescent="0.25">
      <c r="A2151" t="s">
        <v>1847</v>
      </c>
      <c r="C2151" t="s">
        <v>1859</v>
      </c>
      <c r="D2151" t="s">
        <v>569</v>
      </c>
      <c r="E2151" t="s">
        <v>1150</v>
      </c>
      <c r="F2151" t="s">
        <v>571</v>
      </c>
      <c r="G2151" s="204"/>
      <c r="H2151">
        <v>25</v>
      </c>
      <c r="I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7" x14ac:dyDescent="0.25">
      <c r="A2152" t="s">
        <v>1307</v>
      </c>
      <c r="B2152" t="s">
        <v>556</v>
      </c>
      <c r="C2152" t="s">
        <v>1859</v>
      </c>
      <c r="D2152" t="s">
        <v>1914</v>
      </c>
      <c r="E2152" t="s">
        <v>1305</v>
      </c>
      <c r="F2152" t="s">
        <v>571</v>
      </c>
      <c r="G2152" s="204"/>
      <c r="L2152">
        <v>0</v>
      </c>
      <c r="M2152">
        <v>0</v>
      </c>
      <c r="N2152">
        <v>228</v>
      </c>
      <c r="O2152">
        <v>41040</v>
      </c>
      <c r="P2152">
        <v>228</v>
      </c>
      <c r="Q2152">
        <v>228</v>
      </c>
      <c r="R2152">
        <v>41040</v>
      </c>
      <c r="S2152">
        <v>180</v>
      </c>
      <c r="T2152">
        <v>0</v>
      </c>
      <c r="U2152">
        <v>0</v>
      </c>
      <c r="V2152">
        <v>996</v>
      </c>
      <c r="W2152">
        <v>179280</v>
      </c>
      <c r="X2152">
        <v>996</v>
      </c>
      <c r="Y2152">
        <v>996</v>
      </c>
    </row>
    <row r="2153" spans="1:27" x14ac:dyDescent="0.25">
      <c r="A2153" t="s">
        <v>1307</v>
      </c>
      <c r="B2153" t="s">
        <v>556</v>
      </c>
      <c r="C2153" t="s">
        <v>1859</v>
      </c>
      <c r="D2153" t="s">
        <v>1914</v>
      </c>
      <c r="E2153" t="s">
        <v>1150</v>
      </c>
      <c r="F2153" t="s">
        <v>571</v>
      </c>
      <c r="G2153" s="204"/>
      <c r="H2153">
        <v>268</v>
      </c>
      <c r="I2153">
        <v>46058.479999999996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7" x14ac:dyDescent="0.25">
      <c r="A2154" t="s">
        <v>1848</v>
      </c>
      <c r="C2154" t="s">
        <v>1859</v>
      </c>
      <c r="D2154" t="s">
        <v>569</v>
      </c>
      <c r="E2154" t="s">
        <v>1150</v>
      </c>
      <c r="F2154" t="s">
        <v>571</v>
      </c>
      <c r="G2154" s="204"/>
      <c r="H2154">
        <v>25</v>
      </c>
      <c r="I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7" x14ac:dyDescent="0.25">
      <c r="A2155" t="s">
        <v>435</v>
      </c>
      <c r="B2155" t="s">
        <v>556</v>
      </c>
      <c r="C2155" t="s">
        <v>555</v>
      </c>
      <c r="D2155" t="s">
        <v>631</v>
      </c>
      <c r="E2155" t="s">
        <v>1236</v>
      </c>
      <c r="F2155" t="s">
        <v>571</v>
      </c>
      <c r="G2155" s="204"/>
      <c r="L2155">
        <v>449</v>
      </c>
      <c r="M2155">
        <v>66205.05</v>
      </c>
      <c r="N2155">
        <v>0</v>
      </c>
      <c r="O2155">
        <v>0</v>
      </c>
      <c r="P2155">
        <v>0</v>
      </c>
      <c r="Q2155">
        <v>449</v>
      </c>
      <c r="R2155">
        <v>66205.05</v>
      </c>
      <c r="S2155">
        <v>147.45000000000002</v>
      </c>
      <c r="T2155">
        <v>0</v>
      </c>
      <c r="U2155">
        <v>0</v>
      </c>
      <c r="V2155">
        <v>1184</v>
      </c>
      <c r="W2155">
        <v>174580.8</v>
      </c>
      <c r="X2155">
        <v>1184</v>
      </c>
      <c r="Y2155">
        <v>1184</v>
      </c>
    </row>
    <row r="2156" spans="1:27" x14ac:dyDescent="0.25">
      <c r="A2156" t="s">
        <v>436</v>
      </c>
      <c r="B2156" t="s">
        <v>556</v>
      </c>
      <c r="C2156" t="s">
        <v>555</v>
      </c>
      <c r="D2156" t="s">
        <v>631</v>
      </c>
      <c r="E2156" t="s">
        <v>1236</v>
      </c>
      <c r="F2156" t="s">
        <v>571</v>
      </c>
      <c r="G2156" s="204"/>
      <c r="H2156">
        <v>100</v>
      </c>
      <c r="I2156">
        <v>16643</v>
      </c>
      <c r="L2156">
        <v>434</v>
      </c>
      <c r="M2156">
        <v>72230.62</v>
      </c>
      <c r="N2156">
        <v>0</v>
      </c>
      <c r="O2156">
        <v>0</v>
      </c>
      <c r="P2156">
        <v>0</v>
      </c>
      <c r="Q2156">
        <v>434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7" x14ac:dyDescent="0.25">
      <c r="A2157" t="s">
        <v>255</v>
      </c>
      <c r="B2157" t="s">
        <v>554</v>
      </c>
      <c r="C2157" t="s">
        <v>1859</v>
      </c>
      <c r="D2157" t="s">
        <v>598</v>
      </c>
      <c r="E2157" t="s">
        <v>1210</v>
      </c>
      <c r="F2157" t="s">
        <v>571</v>
      </c>
      <c r="G2157" s="204"/>
      <c r="L2157">
        <v>150</v>
      </c>
      <c r="M2157">
        <v>53812.5</v>
      </c>
      <c r="N2157">
        <v>0</v>
      </c>
      <c r="O2157">
        <v>0</v>
      </c>
      <c r="P2157">
        <v>0</v>
      </c>
      <c r="Q2157">
        <v>150</v>
      </c>
      <c r="R2157">
        <v>53812.5</v>
      </c>
      <c r="S2157">
        <v>358.75</v>
      </c>
      <c r="T2157">
        <v>0</v>
      </c>
      <c r="U2157">
        <v>0</v>
      </c>
      <c r="V2157">
        <v>150</v>
      </c>
      <c r="W2157">
        <v>53812.5</v>
      </c>
      <c r="X2157">
        <v>150</v>
      </c>
      <c r="Y2157">
        <v>150</v>
      </c>
      <c r="Z2157">
        <v>53812.5</v>
      </c>
      <c r="AA2157">
        <v>358.75</v>
      </c>
    </row>
    <row r="2158" spans="1:27" x14ac:dyDescent="0.25">
      <c r="A2158" t="s">
        <v>256</v>
      </c>
      <c r="B2158" t="s">
        <v>554</v>
      </c>
      <c r="C2158" t="s">
        <v>1859</v>
      </c>
      <c r="D2158" t="s">
        <v>598</v>
      </c>
      <c r="E2158" t="s">
        <v>1210</v>
      </c>
      <c r="F2158" t="s">
        <v>571</v>
      </c>
      <c r="G2158" s="204"/>
      <c r="L2158">
        <v>300</v>
      </c>
      <c r="M2158">
        <v>116916</v>
      </c>
      <c r="N2158">
        <v>0</v>
      </c>
      <c r="O2158">
        <v>0</v>
      </c>
      <c r="P2158">
        <v>0</v>
      </c>
      <c r="Q2158">
        <v>300</v>
      </c>
      <c r="R2158">
        <v>116916</v>
      </c>
      <c r="S2158">
        <v>389.72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7" x14ac:dyDescent="0.25">
      <c r="A2159" t="s">
        <v>257</v>
      </c>
      <c r="B2159" t="s">
        <v>554</v>
      </c>
      <c r="C2159" t="s">
        <v>1859</v>
      </c>
      <c r="D2159" t="s">
        <v>598</v>
      </c>
      <c r="E2159" t="s">
        <v>1210</v>
      </c>
      <c r="F2159" t="s">
        <v>571</v>
      </c>
      <c r="G2159" s="204"/>
      <c r="L2159">
        <v>135</v>
      </c>
      <c r="M2159">
        <v>60075</v>
      </c>
      <c r="N2159">
        <v>0</v>
      </c>
      <c r="O2159">
        <v>0</v>
      </c>
      <c r="P2159">
        <v>0</v>
      </c>
      <c r="Q2159">
        <v>135</v>
      </c>
      <c r="R2159">
        <v>60075</v>
      </c>
      <c r="S2159">
        <v>445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7" x14ac:dyDescent="0.25">
      <c r="A2160" t="s">
        <v>367</v>
      </c>
      <c r="B2160" t="s">
        <v>554</v>
      </c>
      <c r="C2160" t="s">
        <v>1859</v>
      </c>
      <c r="D2160" t="s">
        <v>643</v>
      </c>
      <c r="E2160" t="s">
        <v>1169</v>
      </c>
      <c r="F2160" t="s">
        <v>571</v>
      </c>
      <c r="G2160" s="204"/>
      <c r="L2160">
        <v>0</v>
      </c>
      <c r="M2160">
        <v>0</v>
      </c>
      <c r="N2160">
        <v>10</v>
      </c>
      <c r="O2160">
        <v>23750</v>
      </c>
      <c r="P2160">
        <v>10</v>
      </c>
      <c r="Q2160">
        <v>10</v>
      </c>
      <c r="R2160">
        <v>23750</v>
      </c>
      <c r="S2160">
        <v>2375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7" x14ac:dyDescent="0.25">
      <c r="A2161" t="s">
        <v>949</v>
      </c>
      <c r="C2161" t="s">
        <v>1859</v>
      </c>
      <c r="D2161" t="s">
        <v>663</v>
      </c>
      <c r="E2161" t="s">
        <v>1169</v>
      </c>
      <c r="F2161" t="s">
        <v>571</v>
      </c>
      <c r="G2161" s="204"/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T2161">
        <v>0</v>
      </c>
      <c r="U2161">
        <v>0</v>
      </c>
      <c r="V2161">
        <v>8</v>
      </c>
      <c r="W2161">
        <v>40872</v>
      </c>
      <c r="X2161">
        <v>8</v>
      </c>
      <c r="Y2161">
        <v>8</v>
      </c>
      <c r="Z2161">
        <v>40872</v>
      </c>
      <c r="AA2161">
        <v>5109</v>
      </c>
    </row>
    <row r="2162" spans="1:27" x14ac:dyDescent="0.25">
      <c r="A2162" t="s">
        <v>1097</v>
      </c>
      <c r="C2162" t="s">
        <v>555</v>
      </c>
      <c r="D2162" t="s">
        <v>975</v>
      </c>
      <c r="E2162" t="s">
        <v>1269</v>
      </c>
      <c r="F2162" t="s">
        <v>571</v>
      </c>
      <c r="G2162" s="204"/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T2162">
        <v>0</v>
      </c>
      <c r="U2162">
        <v>0</v>
      </c>
      <c r="V2162">
        <v>30</v>
      </c>
      <c r="W2162">
        <v>73168.5</v>
      </c>
      <c r="X2162">
        <v>30</v>
      </c>
      <c r="Y2162">
        <v>30</v>
      </c>
      <c r="Z2162">
        <v>73168.5</v>
      </c>
      <c r="AA2162">
        <v>2438.9499999999998</v>
      </c>
    </row>
    <row r="2163" spans="1:27" x14ac:dyDescent="0.25">
      <c r="A2163" t="s">
        <v>1360</v>
      </c>
      <c r="C2163" t="s">
        <v>569</v>
      </c>
      <c r="D2163" t="s">
        <v>569</v>
      </c>
      <c r="E2163" t="s">
        <v>1150</v>
      </c>
      <c r="F2163" t="s">
        <v>571</v>
      </c>
      <c r="G2163" s="204"/>
      <c r="H2163">
        <v>1</v>
      </c>
      <c r="I2163">
        <v>250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7" x14ac:dyDescent="0.25">
      <c r="A2164" t="s">
        <v>1360</v>
      </c>
      <c r="C2164" t="s">
        <v>569</v>
      </c>
      <c r="D2164" t="s">
        <v>569</v>
      </c>
      <c r="E2164" t="s">
        <v>1138</v>
      </c>
      <c r="F2164" t="s">
        <v>571</v>
      </c>
      <c r="G2164" s="204"/>
      <c r="L2164">
        <v>1</v>
      </c>
      <c r="M2164">
        <v>500</v>
      </c>
      <c r="N2164">
        <v>0</v>
      </c>
      <c r="O2164">
        <v>0</v>
      </c>
      <c r="P2164">
        <v>0</v>
      </c>
      <c r="Q2164">
        <v>1</v>
      </c>
      <c r="R2164">
        <v>500</v>
      </c>
      <c r="S2164">
        <v>500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7" x14ac:dyDescent="0.25">
      <c r="A2165" t="s">
        <v>1360</v>
      </c>
      <c r="C2165" t="s">
        <v>569</v>
      </c>
      <c r="D2165" t="s">
        <v>569</v>
      </c>
      <c r="E2165" t="s">
        <v>1186</v>
      </c>
      <c r="F2165" t="s">
        <v>571</v>
      </c>
      <c r="G2165" s="204"/>
      <c r="H2165">
        <v>9</v>
      </c>
      <c r="I2165">
        <v>2425.1999999999998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7" x14ac:dyDescent="0.25">
      <c r="A2166" t="s">
        <v>1137</v>
      </c>
      <c r="B2166" t="s">
        <v>566</v>
      </c>
      <c r="C2166" t="s">
        <v>569</v>
      </c>
      <c r="D2166" t="s">
        <v>569</v>
      </c>
      <c r="E2166" t="s">
        <v>1280</v>
      </c>
      <c r="F2166" t="s">
        <v>571</v>
      </c>
      <c r="G2166" s="204"/>
      <c r="H2166">
        <v>1</v>
      </c>
      <c r="I2166">
        <v>500</v>
      </c>
      <c r="L2166">
        <v>4</v>
      </c>
      <c r="M2166">
        <v>3000</v>
      </c>
      <c r="N2166">
        <v>0</v>
      </c>
      <c r="O2166">
        <v>0</v>
      </c>
      <c r="P2166">
        <v>0</v>
      </c>
      <c r="Q2166">
        <v>4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7" x14ac:dyDescent="0.25">
      <c r="A2167" t="s">
        <v>1137</v>
      </c>
      <c r="B2167" t="s">
        <v>566</v>
      </c>
      <c r="C2167" t="s">
        <v>569</v>
      </c>
      <c r="D2167" t="s">
        <v>569</v>
      </c>
      <c r="E2167" t="s">
        <v>1436</v>
      </c>
      <c r="F2167" t="s">
        <v>571</v>
      </c>
      <c r="G2167" s="204"/>
      <c r="L2167">
        <v>1</v>
      </c>
      <c r="M2167">
        <v>750</v>
      </c>
      <c r="N2167">
        <v>0</v>
      </c>
      <c r="O2167">
        <v>0</v>
      </c>
      <c r="P2167">
        <v>0</v>
      </c>
      <c r="Q2167">
        <v>1</v>
      </c>
      <c r="R2167">
        <v>750</v>
      </c>
      <c r="S2167">
        <v>750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7" x14ac:dyDescent="0.25">
      <c r="A2168" t="s">
        <v>1137</v>
      </c>
      <c r="B2168" t="s">
        <v>566</v>
      </c>
      <c r="C2168" t="s">
        <v>569</v>
      </c>
      <c r="D2168" t="s">
        <v>569</v>
      </c>
      <c r="E2168" t="s">
        <v>1445</v>
      </c>
      <c r="F2168" t="s">
        <v>571</v>
      </c>
      <c r="G2168" s="204"/>
      <c r="J2168">
        <v>1</v>
      </c>
      <c r="K2168">
        <v>917.89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7" x14ac:dyDescent="0.25">
      <c r="A2169" t="s">
        <v>1137</v>
      </c>
      <c r="B2169" t="s">
        <v>566</v>
      </c>
      <c r="C2169" t="s">
        <v>569</v>
      </c>
      <c r="D2169" t="s">
        <v>569</v>
      </c>
      <c r="E2169" t="s">
        <v>1709</v>
      </c>
      <c r="F2169" t="s">
        <v>571</v>
      </c>
      <c r="G2169" s="204"/>
      <c r="J2169">
        <v>1</v>
      </c>
      <c r="K2169">
        <v>3520.94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7" x14ac:dyDescent="0.25">
      <c r="A2170" t="s">
        <v>1137</v>
      </c>
      <c r="B2170" t="s">
        <v>566</v>
      </c>
      <c r="C2170" t="s">
        <v>569</v>
      </c>
      <c r="D2170" t="s">
        <v>569</v>
      </c>
      <c r="E2170" t="s">
        <v>1149</v>
      </c>
      <c r="F2170" t="s">
        <v>571</v>
      </c>
      <c r="G2170" s="204"/>
      <c r="J2170">
        <v>1</v>
      </c>
      <c r="K2170">
        <v>2000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7" x14ac:dyDescent="0.25">
      <c r="A2171" t="s">
        <v>1137</v>
      </c>
      <c r="B2171" t="s">
        <v>566</v>
      </c>
      <c r="C2171" t="s">
        <v>569</v>
      </c>
      <c r="D2171" t="s">
        <v>569</v>
      </c>
      <c r="E2171" t="s">
        <v>1305</v>
      </c>
      <c r="F2171" t="s">
        <v>571</v>
      </c>
      <c r="G2171" s="204"/>
      <c r="L2171">
        <v>1</v>
      </c>
      <c r="M2171">
        <v>32640</v>
      </c>
      <c r="N2171">
        <v>0</v>
      </c>
      <c r="O2171">
        <v>0</v>
      </c>
      <c r="P2171">
        <v>0</v>
      </c>
      <c r="Q2171">
        <v>1</v>
      </c>
      <c r="R2171">
        <v>32640</v>
      </c>
      <c r="S2171">
        <v>32640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7" x14ac:dyDescent="0.25">
      <c r="A2172" t="s">
        <v>1137</v>
      </c>
      <c r="B2172" t="s">
        <v>566</v>
      </c>
      <c r="C2172" t="s">
        <v>569</v>
      </c>
      <c r="D2172" t="s">
        <v>569</v>
      </c>
      <c r="E2172" t="s">
        <v>1268</v>
      </c>
      <c r="F2172" t="s">
        <v>571</v>
      </c>
      <c r="G2172" s="204"/>
      <c r="J2172">
        <v>1</v>
      </c>
      <c r="K2172">
        <v>500</v>
      </c>
      <c r="L2172">
        <v>2</v>
      </c>
      <c r="M2172">
        <v>1000</v>
      </c>
      <c r="N2172">
        <v>0</v>
      </c>
      <c r="O2172">
        <v>0</v>
      </c>
      <c r="P2172">
        <v>0</v>
      </c>
      <c r="Q2172">
        <v>2</v>
      </c>
      <c r="T2172">
        <v>0</v>
      </c>
      <c r="U2172">
        <v>0</v>
      </c>
      <c r="V2172">
        <v>7</v>
      </c>
      <c r="W2172">
        <v>3500</v>
      </c>
      <c r="X2172">
        <v>7</v>
      </c>
      <c r="Y2172">
        <v>7</v>
      </c>
    </row>
    <row r="2173" spans="1:27" x14ac:dyDescent="0.25">
      <c r="A2173" t="s">
        <v>1137</v>
      </c>
      <c r="B2173" t="s">
        <v>566</v>
      </c>
      <c r="C2173" t="s">
        <v>569</v>
      </c>
      <c r="D2173" t="s">
        <v>569</v>
      </c>
      <c r="E2173" t="s">
        <v>1775</v>
      </c>
      <c r="F2173" t="s">
        <v>571</v>
      </c>
      <c r="G2173" s="204"/>
      <c r="H2173">
        <v>1</v>
      </c>
      <c r="I2173">
        <v>1500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7" x14ac:dyDescent="0.25">
      <c r="A2174" t="s">
        <v>1137</v>
      </c>
      <c r="B2174" t="s">
        <v>566</v>
      </c>
      <c r="C2174" t="s">
        <v>569</v>
      </c>
      <c r="D2174" t="s">
        <v>569</v>
      </c>
      <c r="E2174" t="s">
        <v>1400</v>
      </c>
      <c r="F2174" t="s">
        <v>571</v>
      </c>
      <c r="G2174" s="204"/>
      <c r="H2174">
        <v>2</v>
      </c>
      <c r="I2174">
        <v>2500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7" x14ac:dyDescent="0.25">
      <c r="A2175" t="s">
        <v>1137</v>
      </c>
      <c r="B2175" t="s">
        <v>566</v>
      </c>
      <c r="C2175" t="s">
        <v>569</v>
      </c>
      <c r="D2175" t="s">
        <v>569</v>
      </c>
      <c r="E2175" t="s">
        <v>1250</v>
      </c>
      <c r="F2175" t="s">
        <v>571</v>
      </c>
      <c r="G2175" s="204"/>
      <c r="L2175">
        <v>1</v>
      </c>
      <c r="M2175">
        <v>750</v>
      </c>
      <c r="N2175">
        <v>0</v>
      </c>
      <c r="O2175">
        <v>0</v>
      </c>
      <c r="P2175">
        <v>0</v>
      </c>
      <c r="Q2175">
        <v>1</v>
      </c>
      <c r="R2175">
        <v>750</v>
      </c>
      <c r="S2175">
        <v>750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7" x14ac:dyDescent="0.25">
      <c r="A2176" t="s">
        <v>1137</v>
      </c>
      <c r="B2176" t="s">
        <v>566</v>
      </c>
      <c r="C2176" t="s">
        <v>569</v>
      </c>
      <c r="D2176" t="s">
        <v>569</v>
      </c>
      <c r="E2176" t="s">
        <v>1276</v>
      </c>
      <c r="F2176" t="s">
        <v>571</v>
      </c>
      <c r="G2176" s="204"/>
      <c r="H2176">
        <v>4050</v>
      </c>
      <c r="I2176">
        <v>89100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7" x14ac:dyDescent="0.25">
      <c r="A2177" t="s">
        <v>1137</v>
      </c>
      <c r="B2177" t="s">
        <v>566</v>
      </c>
      <c r="C2177" t="s">
        <v>569</v>
      </c>
      <c r="D2177" t="s">
        <v>569</v>
      </c>
      <c r="E2177" t="s">
        <v>1181</v>
      </c>
      <c r="F2177" t="s">
        <v>571</v>
      </c>
      <c r="G2177" s="204"/>
      <c r="H2177">
        <v>3</v>
      </c>
      <c r="I2177">
        <v>9020.25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7" x14ac:dyDescent="0.25">
      <c r="A2178" t="s">
        <v>1137</v>
      </c>
      <c r="B2178" t="s">
        <v>566</v>
      </c>
      <c r="C2178" t="s">
        <v>569</v>
      </c>
      <c r="D2178" t="s">
        <v>569</v>
      </c>
      <c r="E2178" t="s">
        <v>1286</v>
      </c>
      <c r="F2178" t="s">
        <v>571</v>
      </c>
      <c r="G2178" s="204"/>
      <c r="L2178">
        <v>3</v>
      </c>
      <c r="M2178">
        <v>5089</v>
      </c>
      <c r="N2178">
        <v>0</v>
      </c>
      <c r="O2178">
        <v>0</v>
      </c>
      <c r="P2178">
        <v>0</v>
      </c>
      <c r="Q2178">
        <v>3</v>
      </c>
      <c r="R2178">
        <v>5089</v>
      </c>
      <c r="S2178">
        <v>1696.3333333333333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7" x14ac:dyDescent="0.25">
      <c r="A2179" t="s">
        <v>1137</v>
      </c>
      <c r="B2179" t="s">
        <v>566</v>
      </c>
      <c r="C2179" t="s">
        <v>569</v>
      </c>
      <c r="D2179" t="s">
        <v>569</v>
      </c>
      <c r="E2179" t="s">
        <v>1517</v>
      </c>
      <c r="F2179" t="s">
        <v>571</v>
      </c>
      <c r="G2179" s="204"/>
      <c r="L2179">
        <v>2</v>
      </c>
      <c r="M2179">
        <v>1500</v>
      </c>
      <c r="N2179">
        <v>0</v>
      </c>
      <c r="O2179">
        <v>0</v>
      </c>
      <c r="P2179">
        <v>0</v>
      </c>
      <c r="Q2179">
        <v>2</v>
      </c>
      <c r="R2179">
        <v>1500</v>
      </c>
      <c r="S2179">
        <v>750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7" x14ac:dyDescent="0.25">
      <c r="A2180" t="s">
        <v>1137</v>
      </c>
      <c r="B2180" t="s">
        <v>566</v>
      </c>
      <c r="C2180" t="s">
        <v>569</v>
      </c>
      <c r="D2180" t="s">
        <v>569</v>
      </c>
      <c r="E2180" t="s">
        <v>1242</v>
      </c>
      <c r="F2180" t="s">
        <v>571</v>
      </c>
      <c r="G2180" s="204"/>
      <c r="L2180">
        <v>1</v>
      </c>
      <c r="M2180">
        <v>2000</v>
      </c>
      <c r="N2180">
        <v>0</v>
      </c>
      <c r="O2180">
        <v>0</v>
      </c>
      <c r="P2180">
        <v>0</v>
      </c>
      <c r="Q2180">
        <v>1</v>
      </c>
      <c r="R2180">
        <v>2000</v>
      </c>
      <c r="S2180">
        <v>2000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7" x14ac:dyDescent="0.25">
      <c r="A2181" t="s">
        <v>1137</v>
      </c>
      <c r="B2181" t="s">
        <v>566</v>
      </c>
      <c r="C2181" t="s">
        <v>569</v>
      </c>
      <c r="D2181" t="s">
        <v>569</v>
      </c>
      <c r="E2181" t="s">
        <v>1269</v>
      </c>
      <c r="F2181" t="s">
        <v>571</v>
      </c>
      <c r="G2181" s="204"/>
      <c r="J2181">
        <v>9</v>
      </c>
      <c r="L2181">
        <v>3</v>
      </c>
      <c r="M2181">
        <v>73588.77</v>
      </c>
      <c r="N2181">
        <v>0</v>
      </c>
      <c r="O2181">
        <v>0</v>
      </c>
      <c r="P2181">
        <v>0</v>
      </c>
      <c r="Q2181">
        <v>3</v>
      </c>
      <c r="T2181">
        <v>0</v>
      </c>
      <c r="U2181">
        <v>0</v>
      </c>
      <c r="V2181">
        <v>1</v>
      </c>
      <c r="W2181">
        <v>111091.27</v>
      </c>
      <c r="X2181">
        <v>1</v>
      </c>
      <c r="Y2181">
        <v>1</v>
      </c>
      <c r="Z2181">
        <v>111091.27</v>
      </c>
      <c r="AA2181">
        <v>111091.27</v>
      </c>
    </row>
    <row r="2182" spans="1:27" x14ac:dyDescent="0.25">
      <c r="A2182" t="s">
        <v>1137</v>
      </c>
      <c r="B2182" t="s">
        <v>566</v>
      </c>
      <c r="C2182" t="s">
        <v>569</v>
      </c>
      <c r="D2182" t="s">
        <v>569</v>
      </c>
      <c r="E2182" t="s">
        <v>1330</v>
      </c>
      <c r="F2182" t="s">
        <v>571</v>
      </c>
      <c r="G2182" s="204"/>
      <c r="J2182">
        <v>1</v>
      </c>
      <c r="K2182">
        <v>500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7" x14ac:dyDescent="0.25">
      <c r="A2183" t="s">
        <v>1137</v>
      </c>
      <c r="B2183" t="s">
        <v>566</v>
      </c>
      <c r="C2183" t="s">
        <v>569</v>
      </c>
      <c r="D2183" t="s">
        <v>569</v>
      </c>
      <c r="E2183" t="s">
        <v>1331</v>
      </c>
      <c r="F2183" t="s">
        <v>571</v>
      </c>
      <c r="G2183" s="204"/>
      <c r="J2183">
        <v>1</v>
      </c>
      <c r="K2183">
        <v>500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7" x14ac:dyDescent="0.25">
      <c r="A2184" t="s">
        <v>1137</v>
      </c>
      <c r="B2184" t="s">
        <v>566</v>
      </c>
      <c r="C2184" t="s">
        <v>569</v>
      </c>
      <c r="D2184" t="s">
        <v>569</v>
      </c>
      <c r="E2184" t="s">
        <v>1348</v>
      </c>
      <c r="F2184" t="s">
        <v>571</v>
      </c>
      <c r="G2184" s="204"/>
      <c r="L2184">
        <v>1</v>
      </c>
      <c r="M2184">
        <v>50</v>
      </c>
      <c r="N2184">
        <v>0</v>
      </c>
      <c r="O2184">
        <v>0</v>
      </c>
      <c r="P2184">
        <v>0</v>
      </c>
      <c r="Q2184">
        <v>1</v>
      </c>
      <c r="R2184">
        <v>50</v>
      </c>
      <c r="S2184">
        <v>50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7" x14ac:dyDescent="0.25">
      <c r="A2185" t="s">
        <v>1137</v>
      </c>
      <c r="B2185" t="s">
        <v>566</v>
      </c>
      <c r="C2185" t="s">
        <v>569</v>
      </c>
      <c r="D2185" t="s">
        <v>569</v>
      </c>
      <c r="E2185" t="s">
        <v>1842</v>
      </c>
      <c r="F2185" t="s">
        <v>571</v>
      </c>
      <c r="G2185" s="204"/>
      <c r="H2185">
        <v>1</v>
      </c>
      <c r="I2185">
        <v>50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7" x14ac:dyDescent="0.25">
      <c r="A2186" t="s">
        <v>1137</v>
      </c>
      <c r="B2186" t="s">
        <v>566</v>
      </c>
      <c r="C2186" t="s">
        <v>569</v>
      </c>
      <c r="D2186" t="s">
        <v>569</v>
      </c>
      <c r="E2186" t="s">
        <v>1143</v>
      </c>
      <c r="F2186" t="s">
        <v>571</v>
      </c>
      <c r="G2186" s="204"/>
      <c r="J2186">
        <v>1</v>
      </c>
      <c r="K2186">
        <v>28000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7" x14ac:dyDescent="0.25">
      <c r="A2187" t="s">
        <v>1137</v>
      </c>
      <c r="B2187" t="s">
        <v>566</v>
      </c>
      <c r="C2187" t="s">
        <v>569</v>
      </c>
      <c r="D2187" t="s">
        <v>569</v>
      </c>
      <c r="E2187" t="s">
        <v>1343</v>
      </c>
      <c r="F2187" t="s">
        <v>571</v>
      </c>
      <c r="G2187" s="204"/>
      <c r="J2187">
        <v>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7" x14ac:dyDescent="0.25">
      <c r="A2188" t="s">
        <v>1137</v>
      </c>
      <c r="B2188" t="s">
        <v>566</v>
      </c>
      <c r="C2188" t="s">
        <v>569</v>
      </c>
      <c r="D2188" t="s">
        <v>569</v>
      </c>
      <c r="E2188" t="s">
        <v>1746</v>
      </c>
      <c r="F2188" t="s">
        <v>571</v>
      </c>
      <c r="G2188" s="204"/>
      <c r="H2188">
        <v>1</v>
      </c>
      <c r="I2188">
        <v>21492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7" x14ac:dyDescent="0.25">
      <c r="A2189" t="s">
        <v>1137</v>
      </c>
      <c r="B2189" t="s">
        <v>566</v>
      </c>
      <c r="C2189" t="s">
        <v>569</v>
      </c>
      <c r="D2189" t="s">
        <v>569</v>
      </c>
      <c r="E2189" t="s">
        <v>1230</v>
      </c>
      <c r="F2189" t="s">
        <v>571</v>
      </c>
      <c r="G2189" s="204"/>
      <c r="J2189">
        <v>1</v>
      </c>
      <c r="K2189">
        <v>1250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7" x14ac:dyDescent="0.25">
      <c r="A2190" t="s">
        <v>1137</v>
      </c>
      <c r="B2190" t="s">
        <v>566</v>
      </c>
      <c r="C2190" t="s">
        <v>569</v>
      </c>
      <c r="D2190" t="s">
        <v>569</v>
      </c>
      <c r="E2190" t="s">
        <v>1150</v>
      </c>
      <c r="F2190" t="s">
        <v>571</v>
      </c>
      <c r="G2190" s="204"/>
      <c r="J2190">
        <v>1</v>
      </c>
      <c r="K2190">
        <v>250</v>
      </c>
      <c r="L2190">
        <v>37</v>
      </c>
      <c r="M2190">
        <v>1850</v>
      </c>
      <c r="N2190">
        <v>0</v>
      </c>
      <c r="O2190">
        <v>0</v>
      </c>
      <c r="P2190">
        <v>0</v>
      </c>
      <c r="Q2190">
        <v>37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7" x14ac:dyDescent="0.25">
      <c r="A2191" t="s">
        <v>1137</v>
      </c>
      <c r="B2191" t="s">
        <v>566</v>
      </c>
      <c r="C2191" t="s">
        <v>569</v>
      </c>
      <c r="D2191" t="s">
        <v>569</v>
      </c>
      <c r="E2191" t="s">
        <v>1818</v>
      </c>
      <c r="F2191" t="s">
        <v>571</v>
      </c>
      <c r="G2191" s="204"/>
      <c r="H2191">
        <v>1</v>
      </c>
      <c r="I2191">
        <v>88000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7" x14ac:dyDescent="0.25">
      <c r="A2192" t="s">
        <v>1137</v>
      </c>
      <c r="B2192" t="s">
        <v>566</v>
      </c>
      <c r="C2192" t="s">
        <v>569</v>
      </c>
      <c r="D2192" t="s">
        <v>569</v>
      </c>
      <c r="E2192" t="s">
        <v>1440</v>
      </c>
      <c r="F2192" t="s">
        <v>571</v>
      </c>
      <c r="G2192" s="204"/>
      <c r="J2192">
        <v>2</v>
      </c>
      <c r="K2192">
        <v>15000</v>
      </c>
      <c r="L2192">
        <v>2</v>
      </c>
      <c r="M2192">
        <v>23500</v>
      </c>
      <c r="N2192">
        <v>0</v>
      </c>
      <c r="O2192">
        <v>0</v>
      </c>
      <c r="P2192">
        <v>0</v>
      </c>
      <c r="Q2192">
        <v>2</v>
      </c>
      <c r="R2192">
        <v>23500</v>
      </c>
      <c r="S2192">
        <v>11750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7" x14ac:dyDescent="0.25">
      <c r="A2193" t="s">
        <v>1137</v>
      </c>
      <c r="B2193" t="s">
        <v>566</v>
      </c>
      <c r="C2193" t="s">
        <v>569</v>
      </c>
      <c r="D2193" t="s">
        <v>569</v>
      </c>
      <c r="E2193" t="s">
        <v>1466</v>
      </c>
      <c r="F2193" t="s">
        <v>571</v>
      </c>
      <c r="G2193" s="204"/>
      <c r="K2193">
        <v>1000</v>
      </c>
      <c r="L2193">
        <v>1</v>
      </c>
      <c r="M2193">
        <v>750</v>
      </c>
      <c r="N2193">
        <v>0</v>
      </c>
      <c r="O2193">
        <v>0</v>
      </c>
      <c r="P2193">
        <v>0</v>
      </c>
      <c r="Q2193">
        <v>1</v>
      </c>
      <c r="R2193">
        <v>750</v>
      </c>
      <c r="S2193">
        <v>750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7" x14ac:dyDescent="0.25">
      <c r="A2194" t="s">
        <v>1137</v>
      </c>
      <c r="B2194" t="s">
        <v>566</v>
      </c>
      <c r="C2194" t="s">
        <v>569</v>
      </c>
      <c r="D2194" t="s">
        <v>569</v>
      </c>
      <c r="E2194" t="s">
        <v>1293</v>
      </c>
      <c r="F2194" t="s">
        <v>571</v>
      </c>
      <c r="G2194" s="204"/>
      <c r="J2194">
        <v>1</v>
      </c>
      <c r="K2194">
        <v>7000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7" x14ac:dyDescent="0.25">
      <c r="A2195" t="s">
        <v>1137</v>
      </c>
      <c r="B2195" t="s">
        <v>566</v>
      </c>
      <c r="C2195" t="s">
        <v>569</v>
      </c>
      <c r="D2195" t="s">
        <v>569</v>
      </c>
      <c r="E2195" t="s">
        <v>1167</v>
      </c>
      <c r="F2195" t="s">
        <v>571</v>
      </c>
      <c r="G2195" s="204"/>
      <c r="I2195">
        <v>186930</v>
      </c>
      <c r="J2195">
        <v>1</v>
      </c>
      <c r="K2195">
        <v>6000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7" x14ac:dyDescent="0.25">
      <c r="A2196" t="s">
        <v>1137</v>
      </c>
      <c r="B2196" t="s">
        <v>566</v>
      </c>
      <c r="C2196" t="s">
        <v>569</v>
      </c>
      <c r="D2196" t="s">
        <v>569</v>
      </c>
      <c r="E2196" t="s">
        <v>1320</v>
      </c>
      <c r="F2196" t="s">
        <v>571</v>
      </c>
      <c r="G2196" s="204"/>
      <c r="L2196">
        <v>1</v>
      </c>
      <c r="M2196">
        <v>1250</v>
      </c>
      <c r="N2196">
        <v>0</v>
      </c>
      <c r="O2196">
        <v>0</v>
      </c>
      <c r="P2196">
        <v>0</v>
      </c>
      <c r="Q2196">
        <v>1</v>
      </c>
      <c r="R2196">
        <v>1250</v>
      </c>
      <c r="S2196">
        <v>1250</v>
      </c>
      <c r="T2196">
        <v>0</v>
      </c>
      <c r="U2196">
        <v>0</v>
      </c>
      <c r="V2196">
        <v>1</v>
      </c>
      <c r="W2196">
        <v>1250</v>
      </c>
      <c r="X2196">
        <v>1</v>
      </c>
      <c r="Y2196">
        <v>1</v>
      </c>
      <c r="Z2196">
        <v>1250</v>
      </c>
      <c r="AA2196">
        <v>1250</v>
      </c>
    </row>
    <row r="2197" spans="1:27" x14ac:dyDescent="0.25">
      <c r="A2197" t="s">
        <v>1137</v>
      </c>
      <c r="B2197" t="s">
        <v>566</v>
      </c>
      <c r="C2197" t="s">
        <v>569</v>
      </c>
      <c r="D2197" t="s">
        <v>569</v>
      </c>
      <c r="E2197" t="s">
        <v>1232</v>
      </c>
      <c r="F2197" t="s">
        <v>571</v>
      </c>
      <c r="G2197" s="204"/>
      <c r="L2197">
        <v>2</v>
      </c>
      <c r="M2197">
        <v>1000</v>
      </c>
      <c r="N2197">
        <v>0</v>
      </c>
      <c r="O2197">
        <v>0</v>
      </c>
      <c r="P2197">
        <v>0</v>
      </c>
      <c r="Q2197">
        <v>2</v>
      </c>
      <c r="R2197">
        <v>1000</v>
      </c>
      <c r="S2197">
        <v>500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7" x14ac:dyDescent="0.25">
      <c r="A2198" t="s">
        <v>1137</v>
      </c>
      <c r="B2198" t="s">
        <v>566</v>
      </c>
      <c r="C2198" t="s">
        <v>569</v>
      </c>
      <c r="D2198" t="s">
        <v>569</v>
      </c>
      <c r="E2198" t="s">
        <v>1233</v>
      </c>
      <c r="F2198" t="s">
        <v>571</v>
      </c>
      <c r="G2198" s="204"/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T2198">
        <v>0</v>
      </c>
      <c r="U2198">
        <v>0</v>
      </c>
      <c r="V2198">
        <v>6</v>
      </c>
      <c r="W2198">
        <v>6100</v>
      </c>
      <c r="X2198">
        <v>6</v>
      </c>
      <c r="Y2198">
        <v>6</v>
      </c>
      <c r="Z2198">
        <v>6100</v>
      </c>
      <c r="AA2198">
        <v>1016.6666666666666</v>
      </c>
    </row>
    <row r="2199" spans="1:27" x14ac:dyDescent="0.25">
      <c r="A2199" t="s">
        <v>1137</v>
      </c>
      <c r="B2199" t="s">
        <v>566</v>
      </c>
      <c r="C2199" t="s">
        <v>569</v>
      </c>
      <c r="D2199" t="s">
        <v>569</v>
      </c>
      <c r="E2199" t="s">
        <v>1210</v>
      </c>
      <c r="F2199" t="s">
        <v>571</v>
      </c>
      <c r="G2199" s="204"/>
      <c r="L2199">
        <v>1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7" x14ac:dyDescent="0.25">
      <c r="A2200" t="s">
        <v>1137</v>
      </c>
      <c r="B2200" t="s">
        <v>566</v>
      </c>
      <c r="C2200" t="s">
        <v>569</v>
      </c>
      <c r="D2200" t="s">
        <v>569</v>
      </c>
      <c r="E2200" t="s">
        <v>1463</v>
      </c>
      <c r="F2200" t="s">
        <v>571</v>
      </c>
      <c r="G2200" s="204"/>
      <c r="H2200">
        <v>1</v>
      </c>
      <c r="I2200">
        <v>250</v>
      </c>
      <c r="L2200">
        <v>2</v>
      </c>
      <c r="M2200">
        <v>3801.96</v>
      </c>
      <c r="N2200">
        <v>0</v>
      </c>
      <c r="O2200">
        <v>0</v>
      </c>
      <c r="P2200">
        <v>0</v>
      </c>
      <c r="Q2200">
        <v>2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7" x14ac:dyDescent="0.25">
      <c r="A2201" t="s">
        <v>1137</v>
      </c>
      <c r="B2201" t="s">
        <v>566</v>
      </c>
      <c r="C2201" t="s">
        <v>569</v>
      </c>
      <c r="D2201" t="s">
        <v>569</v>
      </c>
      <c r="E2201" t="s">
        <v>1420</v>
      </c>
      <c r="F2201" t="s">
        <v>571</v>
      </c>
      <c r="G2201" s="204"/>
      <c r="L2201">
        <v>1</v>
      </c>
      <c r="M2201">
        <v>16000</v>
      </c>
      <c r="N2201">
        <v>0</v>
      </c>
      <c r="O2201">
        <v>0</v>
      </c>
      <c r="P2201">
        <v>0</v>
      </c>
      <c r="Q2201">
        <v>1</v>
      </c>
      <c r="R2201">
        <v>16000</v>
      </c>
      <c r="S2201">
        <v>16000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7" x14ac:dyDescent="0.25">
      <c r="A2202" t="s">
        <v>1137</v>
      </c>
      <c r="B2202" t="s">
        <v>566</v>
      </c>
      <c r="C2202" t="s">
        <v>569</v>
      </c>
      <c r="D2202" t="s">
        <v>569</v>
      </c>
      <c r="E2202" t="s">
        <v>1248</v>
      </c>
      <c r="F2202" t="s">
        <v>571</v>
      </c>
      <c r="G2202" s="204"/>
      <c r="K2202">
        <v>315000</v>
      </c>
      <c r="L2202">
        <v>4</v>
      </c>
      <c r="M2202">
        <v>78464</v>
      </c>
      <c r="N2202">
        <v>0</v>
      </c>
      <c r="O2202">
        <v>0</v>
      </c>
      <c r="P2202">
        <v>0</v>
      </c>
      <c r="Q2202">
        <v>4</v>
      </c>
      <c r="R2202">
        <v>78464</v>
      </c>
      <c r="S2202">
        <v>19616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7" x14ac:dyDescent="0.25">
      <c r="A2203" t="s">
        <v>1137</v>
      </c>
      <c r="B2203" t="s">
        <v>566</v>
      </c>
      <c r="C2203" t="s">
        <v>569</v>
      </c>
      <c r="D2203" t="s">
        <v>569</v>
      </c>
      <c r="E2203" t="s">
        <v>1456</v>
      </c>
      <c r="F2203" t="s">
        <v>571</v>
      </c>
      <c r="G2203" s="204"/>
      <c r="H2203">
        <v>3</v>
      </c>
      <c r="I2203">
        <v>12000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7" x14ac:dyDescent="0.25">
      <c r="A2204" t="s">
        <v>1137</v>
      </c>
      <c r="B2204" t="s">
        <v>566</v>
      </c>
      <c r="C2204" t="s">
        <v>569</v>
      </c>
      <c r="D2204" t="s">
        <v>569</v>
      </c>
      <c r="E2204" t="s">
        <v>1252</v>
      </c>
      <c r="F2204" t="s">
        <v>571</v>
      </c>
      <c r="G2204" s="204"/>
      <c r="H2204">
        <v>6</v>
      </c>
      <c r="I2204">
        <v>156187.4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7" x14ac:dyDescent="0.25">
      <c r="A2205" t="s">
        <v>1137</v>
      </c>
      <c r="B2205" t="s">
        <v>566</v>
      </c>
      <c r="C2205" t="s">
        <v>569</v>
      </c>
      <c r="D2205" t="s">
        <v>569</v>
      </c>
      <c r="E2205" t="s">
        <v>1188</v>
      </c>
      <c r="F2205" t="s">
        <v>571</v>
      </c>
      <c r="G2205" s="204"/>
      <c r="L2205">
        <v>1</v>
      </c>
      <c r="M2205">
        <v>0.18</v>
      </c>
      <c r="N2205">
        <v>0</v>
      </c>
      <c r="O2205">
        <v>0</v>
      </c>
      <c r="P2205">
        <v>0</v>
      </c>
      <c r="Q2205">
        <v>1</v>
      </c>
      <c r="R2205">
        <v>0.18</v>
      </c>
      <c r="S2205">
        <v>0.18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7" x14ac:dyDescent="0.25">
      <c r="A2206" t="s">
        <v>1137</v>
      </c>
      <c r="B2206" t="s">
        <v>566</v>
      </c>
      <c r="C2206" t="s">
        <v>569</v>
      </c>
      <c r="D2206" t="s">
        <v>569</v>
      </c>
      <c r="E2206" t="s">
        <v>1287</v>
      </c>
      <c r="F2206" t="s">
        <v>571</v>
      </c>
      <c r="G2206" s="204"/>
      <c r="J2206">
        <v>2</v>
      </c>
      <c r="K2206">
        <v>3207.23</v>
      </c>
      <c r="L2206">
        <v>0</v>
      </c>
      <c r="M2206">
        <v>0</v>
      </c>
      <c r="N2206">
        <v>2</v>
      </c>
      <c r="O2206">
        <v>14500</v>
      </c>
      <c r="P2206">
        <v>2</v>
      </c>
      <c r="Q2206">
        <v>2</v>
      </c>
      <c r="R2206">
        <v>14500</v>
      </c>
      <c r="S2206">
        <v>7250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7" x14ac:dyDescent="0.25">
      <c r="A2207" t="s">
        <v>1137</v>
      </c>
      <c r="B2207" t="s">
        <v>566</v>
      </c>
      <c r="C2207" t="s">
        <v>569</v>
      </c>
      <c r="D2207" t="s">
        <v>569</v>
      </c>
      <c r="E2207" t="s">
        <v>1370</v>
      </c>
      <c r="F2207" t="s">
        <v>571</v>
      </c>
      <c r="G2207" s="204"/>
      <c r="H2207">
        <v>1</v>
      </c>
      <c r="I2207">
        <v>10000</v>
      </c>
      <c r="L2207">
        <v>6</v>
      </c>
      <c r="M2207">
        <v>63500</v>
      </c>
      <c r="N2207">
        <v>0</v>
      </c>
      <c r="O2207">
        <v>0</v>
      </c>
      <c r="P2207">
        <v>0</v>
      </c>
      <c r="Q2207">
        <v>6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7" x14ac:dyDescent="0.25">
      <c r="A2208" t="s">
        <v>1137</v>
      </c>
      <c r="B2208" t="s">
        <v>566</v>
      </c>
      <c r="C2208" t="s">
        <v>569</v>
      </c>
      <c r="D2208" t="s">
        <v>569</v>
      </c>
      <c r="E2208" t="s">
        <v>1849</v>
      </c>
      <c r="F2208" t="s">
        <v>571</v>
      </c>
      <c r="G2208" s="204"/>
      <c r="J2208">
        <v>1</v>
      </c>
      <c r="K2208">
        <v>1655.73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7" x14ac:dyDescent="0.25">
      <c r="A2209" t="s">
        <v>1137</v>
      </c>
      <c r="B2209" t="s">
        <v>566</v>
      </c>
      <c r="C2209" t="s">
        <v>569</v>
      </c>
      <c r="D2209" t="s">
        <v>569</v>
      </c>
      <c r="E2209" t="s">
        <v>1266</v>
      </c>
      <c r="F2209" t="s">
        <v>571</v>
      </c>
      <c r="G2209" s="204"/>
      <c r="J2209">
        <v>1</v>
      </c>
      <c r="K2209">
        <v>1500</v>
      </c>
      <c r="L2209">
        <v>2</v>
      </c>
      <c r="M2209">
        <v>2572.5</v>
      </c>
      <c r="N2209">
        <v>0</v>
      </c>
      <c r="O2209">
        <v>0</v>
      </c>
      <c r="P2209">
        <v>0</v>
      </c>
      <c r="Q2209">
        <v>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7" x14ac:dyDescent="0.25">
      <c r="A2210" t="s">
        <v>1137</v>
      </c>
      <c r="B2210" t="s">
        <v>566</v>
      </c>
      <c r="C2210" t="s">
        <v>569</v>
      </c>
      <c r="D2210" t="s">
        <v>569</v>
      </c>
      <c r="E2210" t="s">
        <v>1444</v>
      </c>
      <c r="F2210" t="s">
        <v>571</v>
      </c>
      <c r="G2210" s="204"/>
      <c r="J2210">
        <v>2</v>
      </c>
      <c r="K2210">
        <v>2000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7" x14ac:dyDescent="0.25">
      <c r="A2211" t="s">
        <v>1137</v>
      </c>
      <c r="B2211" t="s">
        <v>566</v>
      </c>
      <c r="C2211" t="s">
        <v>569</v>
      </c>
      <c r="D2211" t="s">
        <v>569</v>
      </c>
      <c r="E2211" t="s">
        <v>1336</v>
      </c>
      <c r="F2211" t="s">
        <v>571</v>
      </c>
      <c r="G2211" s="204"/>
      <c r="L2211">
        <v>1</v>
      </c>
      <c r="M2211">
        <v>11181.24</v>
      </c>
      <c r="N2211">
        <v>0</v>
      </c>
      <c r="O2211">
        <v>0</v>
      </c>
      <c r="P2211">
        <v>0</v>
      </c>
      <c r="Q2211">
        <v>1</v>
      </c>
      <c r="R2211">
        <v>11181.24</v>
      </c>
      <c r="S2211">
        <v>11181.24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7" x14ac:dyDescent="0.25">
      <c r="A2212" t="s">
        <v>1137</v>
      </c>
      <c r="B2212" t="s">
        <v>566</v>
      </c>
      <c r="C2212" t="s">
        <v>569</v>
      </c>
      <c r="D2212" t="s">
        <v>569</v>
      </c>
      <c r="E2212" t="s">
        <v>1295</v>
      </c>
      <c r="F2212" t="s">
        <v>571</v>
      </c>
      <c r="G2212" s="204"/>
      <c r="H2212">
        <v>3</v>
      </c>
      <c r="K2212">
        <v>16916.93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7" x14ac:dyDescent="0.25">
      <c r="A2213" t="s">
        <v>1137</v>
      </c>
      <c r="B2213" t="s">
        <v>566</v>
      </c>
      <c r="C2213" t="s">
        <v>569</v>
      </c>
      <c r="D2213" t="s">
        <v>569</v>
      </c>
      <c r="E2213" t="s">
        <v>1142</v>
      </c>
      <c r="F2213" t="s">
        <v>571</v>
      </c>
      <c r="G2213" s="204"/>
      <c r="H2213">
        <v>2</v>
      </c>
      <c r="I2213">
        <v>27083.570000000003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7" x14ac:dyDescent="0.25">
      <c r="A2214" t="s">
        <v>1137</v>
      </c>
      <c r="B2214" t="s">
        <v>566</v>
      </c>
      <c r="C2214" t="s">
        <v>569</v>
      </c>
      <c r="D2214" t="s">
        <v>569</v>
      </c>
      <c r="E2214" t="s">
        <v>1169</v>
      </c>
      <c r="F2214" t="s">
        <v>571</v>
      </c>
      <c r="G2214" s="204"/>
      <c r="L2214">
        <v>0</v>
      </c>
      <c r="M2214">
        <v>0</v>
      </c>
      <c r="N2214">
        <v>2</v>
      </c>
      <c r="O2214">
        <v>6300</v>
      </c>
      <c r="P2214">
        <v>2</v>
      </c>
      <c r="Q2214">
        <v>2</v>
      </c>
      <c r="R2214">
        <v>6300</v>
      </c>
      <c r="S2214">
        <v>3150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7" x14ac:dyDescent="0.25">
      <c r="A2215" t="s">
        <v>1137</v>
      </c>
      <c r="B2215" t="s">
        <v>566</v>
      </c>
      <c r="C2215" t="s">
        <v>569</v>
      </c>
      <c r="D2215" t="s">
        <v>569</v>
      </c>
      <c r="E2215" t="s">
        <v>1136</v>
      </c>
      <c r="F2215" t="s">
        <v>571</v>
      </c>
      <c r="G2215" s="204"/>
      <c r="L2215">
        <v>0</v>
      </c>
      <c r="M2215">
        <v>0</v>
      </c>
      <c r="N2215">
        <v>1</v>
      </c>
      <c r="O2215">
        <v>2000</v>
      </c>
      <c r="P2215">
        <v>1</v>
      </c>
      <c r="Q2215">
        <v>1</v>
      </c>
      <c r="R2215">
        <v>2000</v>
      </c>
      <c r="S2215">
        <v>2000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7" x14ac:dyDescent="0.25">
      <c r="A2216" t="s">
        <v>1137</v>
      </c>
      <c r="B2216" t="s">
        <v>566</v>
      </c>
      <c r="C2216" t="s">
        <v>569</v>
      </c>
      <c r="D2216" t="s">
        <v>569</v>
      </c>
      <c r="E2216" t="s">
        <v>1373</v>
      </c>
      <c r="F2216" t="s">
        <v>571</v>
      </c>
      <c r="G2216" s="204"/>
      <c r="L2216">
        <v>1</v>
      </c>
      <c r="M2216">
        <v>750</v>
      </c>
      <c r="N2216">
        <v>0</v>
      </c>
      <c r="O2216">
        <v>0</v>
      </c>
      <c r="P2216">
        <v>0</v>
      </c>
      <c r="Q2216">
        <v>1</v>
      </c>
      <c r="R2216">
        <v>750</v>
      </c>
      <c r="S2216">
        <v>750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7" x14ac:dyDescent="0.25">
      <c r="A2217" t="s">
        <v>1137</v>
      </c>
      <c r="B2217" t="s">
        <v>566</v>
      </c>
      <c r="C2217" t="s">
        <v>569</v>
      </c>
      <c r="D2217" t="s">
        <v>569</v>
      </c>
      <c r="E2217" t="s">
        <v>1337</v>
      </c>
      <c r="F2217" t="s">
        <v>571</v>
      </c>
      <c r="G2217" s="204"/>
      <c r="H2217">
        <v>1</v>
      </c>
      <c r="I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7" x14ac:dyDescent="0.25">
      <c r="A2218" t="s">
        <v>1137</v>
      </c>
      <c r="B2218" t="s">
        <v>566</v>
      </c>
      <c r="C2218" t="s">
        <v>569</v>
      </c>
      <c r="D2218" t="s">
        <v>569</v>
      </c>
      <c r="E2218" t="s">
        <v>1255</v>
      </c>
      <c r="F2218" t="s">
        <v>571</v>
      </c>
      <c r="G2218" s="204"/>
      <c r="H2218">
        <v>1</v>
      </c>
      <c r="I2218">
        <v>250</v>
      </c>
      <c r="L2218">
        <v>4</v>
      </c>
      <c r="M2218">
        <v>86000</v>
      </c>
      <c r="N2218">
        <v>0</v>
      </c>
      <c r="O2218">
        <v>0</v>
      </c>
      <c r="P2218">
        <v>0</v>
      </c>
      <c r="Q2218">
        <v>4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7" x14ac:dyDescent="0.25">
      <c r="A2219" t="s">
        <v>1137</v>
      </c>
      <c r="B2219" t="s">
        <v>566</v>
      </c>
      <c r="C2219" t="s">
        <v>569</v>
      </c>
      <c r="D2219" t="s">
        <v>569</v>
      </c>
      <c r="E2219" t="s">
        <v>1256</v>
      </c>
      <c r="F2219" t="s">
        <v>571</v>
      </c>
      <c r="G2219" s="204"/>
      <c r="L2219">
        <v>0</v>
      </c>
      <c r="M2219">
        <v>0</v>
      </c>
      <c r="N2219">
        <v>2</v>
      </c>
      <c r="O2219">
        <v>18275.32</v>
      </c>
      <c r="P2219">
        <v>2</v>
      </c>
      <c r="Q2219">
        <v>2</v>
      </c>
      <c r="R2219">
        <v>18275.32</v>
      </c>
      <c r="S2219">
        <v>9137.66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7" x14ac:dyDescent="0.25">
      <c r="A2220" t="s">
        <v>1137</v>
      </c>
      <c r="B2220" t="s">
        <v>566</v>
      </c>
      <c r="C2220" t="s">
        <v>569</v>
      </c>
      <c r="D2220" t="s">
        <v>569</v>
      </c>
      <c r="E2220" t="s">
        <v>1257</v>
      </c>
      <c r="F2220" t="s">
        <v>571</v>
      </c>
      <c r="G2220" s="204"/>
      <c r="L2220">
        <v>0</v>
      </c>
      <c r="M2220">
        <v>0</v>
      </c>
      <c r="N2220">
        <v>1</v>
      </c>
      <c r="O2220">
        <v>9685</v>
      </c>
      <c r="P2220">
        <v>1</v>
      </c>
      <c r="Q2220">
        <v>1</v>
      </c>
      <c r="R2220">
        <v>9685</v>
      </c>
      <c r="S2220">
        <v>9685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7" x14ac:dyDescent="0.25">
      <c r="A2221" t="s">
        <v>1137</v>
      </c>
      <c r="B2221" t="s">
        <v>566</v>
      </c>
      <c r="C2221" t="s">
        <v>569</v>
      </c>
      <c r="D2221" t="s">
        <v>569</v>
      </c>
      <c r="E2221" t="s">
        <v>1262</v>
      </c>
      <c r="F2221" t="s">
        <v>571</v>
      </c>
      <c r="G2221" s="204"/>
      <c r="L2221">
        <v>2</v>
      </c>
      <c r="M2221">
        <v>500</v>
      </c>
      <c r="N2221">
        <v>0</v>
      </c>
      <c r="O2221">
        <v>0</v>
      </c>
      <c r="P2221">
        <v>0</v>
      </c>
      <c r="Q2221">
        <v>2</v>
      </c>
      <c r="R2221">
        <v>500</v>
      </c>
      <c r="S2221">
        <v>250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7" x14ac:dyDescent="0.25">
      <c r="A2222" t="s">
        <v>1137</v>
      </c>
      <c r="B2222" t="s">
        <v>566</v>
      </c>
      <c r="C2222" t="s">
        <v>569</v>
      </c>
      <c r="D2222" t="s">
        <v>569</v>
      </c>
      <c r="E2222" t="s">
        <v>1138</v>
      </c>
      <c r="F2222" t="s">
        <v>571</v>
      </c>
      <c r="G2222" s="204"/>
      <c r="J2222">
        <v>2</v>
      </c>
      <c r="L2222">
        <v>7</v>
      </c>
      <c r="M2222">
        <v>24162.920000000002</v>
      </c>
      <c r="N2222">
        <v>0</v>
      </c>
      <c r="O2222">
        <v>0</v>
      </c>
      <c r="P2222">
        <v>0</v>
      </c>
      <c r="Q2222">
        <v>7</v>
      </c>
      <c r="T2222">
        <v>0</v>
      </c>
      <c r="U2222">
        <v>0</v>
      </c>
      <c r="V2222">
        <v>1</v>
      </c>
      <c r="W2222">
        <v>7500</v>
      </c>
      <c r="X2222">
        <v>1</v>
      </c>
      <c r="Y2222">
        <v>1</v>
      </c>
      <c r="Z2222">
        <v>7500</v>
      </c>
      <c r="AA2222">
        <v>7500</v>
      </c>
    </row>
    <row r="2223" spans="1:27" x14ac:dyDescent="0.25">
      <c r="A2223" t="s">
        <v>1137</v>
      </c>
      <c r="B2223" t="s">
        <v>566</v>
      </c>
      <c r="C2223" t="s">
        <v>569</v>
      </c>
      <c r="D2223" t="s">
        <v>569</v>
      </c>
      <c r="E2223" t="s">
        <v>1434</v>
      </c>
      <c r="F2223" t="s">
        <v>571</v>
      </c>
      <c r="G2223" s="204"/>
      <c r="I2223">
        <v>1200</v>
      </c>
      <c r="J2223">
        <v>1</v>
      </c>
      <c r="K2223">
        <v>250</v>
      </c>
      <c r="L2223">
        <v>17</v>
      </c>
      <c r="M2223">
        <v>167735.20000000001</v>
      </c>
      <c r="N2223">
        <v>0</v>
      </c>
      <c r="O2223">
        <v>0</v>
      </c>
      <c r="P2223">
        <v>0</v>
      </c>
      <c r="Q2223">
        <v>17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7" x14ac:dyDescent="0.25">
      <c r="A2224" t="s">
        <v>1137</v>
      </c>
      <c r="B2224" t="s">
        <v>566</v>
      </c>
      <c r="C2224" t="s">
        <v>569</v>
      </c>
      <c r="D2224" t="s">
        <v>569</v>
      </c>
      <c r="E2224" t="s">
        <v>1777</v>
      </c>
      <c r="F2224" t="s">
        <v>571</v>
      </c>
      <c r="G2224" s="204"/>
      <c r="H2224">
        <v>1</v>
      </c>
      <c r="I2224">
        <v>10500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6" x14ac:dyDescent="0.25">
      <c r="A2225" t="s">
        <v>1137</v>
      </c>
      <c r="B2225" t="s">
        <v>566</v>
      </c>
      <c r="C2225" t="s">
        <v>569</v>
      </c>
      <c r="D2225" t="s">
        <v>569</v>
      </c>
      <c r="E2225" t="s">
        <v>1338</v>
      </c>
      <c r="F2225" t="s">
        <v>571</v>
      </c>
      <c r="G2225" s="204"/>
      <c r="J2225">
        <v>1</v>
      </c>
      <c r="K2225">
        <v>5660.34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6" x14ac:dyDescent="0.25">
      <c r="A2226" t="s">
        <v>1137</v>
      </c>
      <c r="B2226" t="s">
        <v>566</v>
      </c>
      <c r="C2226" t="s">
        <v>569</v>
      </c>
      <c r="D2226" t="s">
        <v>569</v>
      </c>
      <c r="E2226" t="s">
        <v>1308</v>
      </c>
      <c r="F2226" t="s">
        <v>571</v>
      </c>
      <c r="G2226" s="204"/>
      <c r="J2226">
        <v>1</v>
      </c>
      <c r="K2226">
        <v>361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6" x14ac:dyDescent="0.25">
      <c r="A2227" t="s">
        <v>1137</v>
      </c>
      <c r="B2227" t="s">
        <v>566</v>
      </c>
      <c r="C2227" t="s">
        <v>569</v>
      </c>
      <c r="D2227" t="s">
        <v>569</v>
      </c>
      <c r="E2227" t="s">
        <v>1215</v>
      </c>
      <c r="F2227" t="s">
        <v>571</v>
      </c>
      <c r="G2227" s="204"/>
      <c r="L2227">
        <v>1</v>
      </c>
      <c r="M2227">
        <v>15000</v>
      </c>
      <c r="N2227">
        <v>0</v>
      </c>
      <c r="O2227">
        <v>0</v>
      </c>
      <c r="P2227">
        <v>0</v>
      </c>
      <c r="Q2227">
        <v>1</v>
      </c>
      <c r="R2227">
        <v>15000</v>
      </c>
      <c r="S2227">
        <v>15000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6" x14ac:dyDescent="0.25">
      <c r="A2228" t="s">
        <v>1137</v>
      </c>
      <c r="B2228" t="s">
        <v>566</v>
      </c>
      <c r="C2228" t="s">
        <v>569</v>
      </c>
      <c r="D2228" t="s">
        <v>569</v>
      </c>
      <c r="E2228" t="s">
        <v>1173</v>
      </c>
      <c r="F2228" t="s">
        <v>571</v>
      </c>
      <c r="G2228" s="204"/>
      <c r="I2228">
        <v>6000</v>
      </c>
      <c r="J2228">
        <v>2</v>
      </c>
      <c r="K2228">
        <v>4500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6" x14ac:dyDescent="0.25">
      <c r="A2229" t="s">
        <v>1137</v>
      </c>
      <c r="B2229" t="s">
        <v>566</v>
      </c>
      <c r="C2229" t="s">
        <v>569</v>
      </c>
      <c r="D2229" t="s">
        <v>569</v>
      </c>
      <c r="E2229" t="s">
        <v>1212</v>
      </c>
      <c r="F2229" t="s">
        <v>571</v>
      </c>
      <c r="G2229" s="204"/>
      <c r="H2229">
        <v>17</v>
      </c>
      <c r="I2229">
        <v>9000.1500000000015</v>
      </c>
      <c r="K2229">
        <v>11750.07</v>
      </c>
      <c r="L2229">
        <v>25</v>
      </c>
      <c r="M2229">
        <v>30900.02</v>
      </c>
      <c r="N2229">
        <v>0</v>
      </c>
      <c r="O2229">
        <v>0</v>
      </c>
      <c r="P2229">
        <v>0</v>
      </c>
      <c r="Q2229">
        <v>25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6" x14ac:dyDescent="0.25">
      <c r="A2230" t="s">
        <v>1137</v>
      </c>
      <c r="B2230" t="s">
        <v>566</v>
      </c>
      <c r="C2230" t="s">
        <v>569</v>
      </c>
      <c r="D2230" t="s">
        <v>569</v>
      </c>
      <c r="E2230" t="s">
        <v>1216</v>
      </c>
      <c r="F2230" t="s">
        <v>571</v>
      </c>
      <c r="G2230" s="204"/>
      <c r="J2230">
        <v>4</v>
      </c>
      <c r="K2230">
        <v>3000</v>
      </c>
      <c r="L2230">
        <v>5</v>
      </c>
      <c r="M2230">
        <v>217500</v>
      </c>
      <c r="N2230">
        <v>0</v>
      </c>
      <c r="O2230">
        <v>0</v>
      </c>
      <c r="P2230">
        <v>0</v>
      </c>
      <c r="Q2230">
        <v>5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6" x14ac:dyDescent="0.25">
      <c r="A2231" t="s">
        <v>1137</v>
      </c>
      <c r="B2231" t="s">
        <v>566</v>
      </c>
      <c r="C2231" t="s">
        <v>569</v>
      </c>
      <c r="D2231" t="s">
        <v>569</v>
      </c>
      <c r="E2231" t="s">
        <v>1238</v>
      </c>
      <c r="F2231" t="s">
        <v>571</v>
      </c>
      <c r="G2231" s="204"/>
      <c r="H2231">
        <v>1</v>
      </c>
      <c r="I2231">
        <v>1500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6" x14ac:dyDescent="0.25">
      <c r="A2232" t="s">
        <v>1137</v>
      </c>
      <c r="B2232" t="s">
        <v>566</v>
      </c>
      <c r="C2232" t="s">
        <v>569</v>
      </c>
      <c r="D2232" t="s">
        <v>569</v>
      </c>
      <c r="E2232" t="s">
        <v>1480</v>
      </c>
      <c r="F2232" t="s">
        <v>571</v>
      </c>
      <c r="G2232" s="204"/>
      <c r="J2232">
        <v>1</v>
      </c>
      <c r="K2232">
        <v>5000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6" x14ac:dyDescent="0.25">
      <c r="A2233" t="s">
        <v>1129</v>
      </c>
      <c r="E2233" t="s">
        <v>1111</v>
      </c>
      <c r="F2233" t="s">
        <v>571</v>
      </c>
      <c r="G2233" s="204"/>
      <c r="L2233">
        <v>0</v>
      </c>
      <c r="M2233">
        <v>0</v>
      </c>
      <c r="N2233">
        <v>250</v>
      </c>
      <c r="O2233">
        <v>0</v>
      </c>
      <c r="P2233">
        <v>0</v>
      </c>
      <c r="Q2233">
        <v>0</v>
      </c>
      <c r="R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6" x14ac:dyDescent="0.25">
      <c r="A2234" t="s">
        <v>1114</v>
      </c>
      <c r="B2234" t="s">
        <v>554</v>
      </c>
      <c r="E2234" t="s">
        <v>1111</v>
      </c>
      <c r="F2234" t="s">
        <v>571</v>
      </c>
      <c r="G2234" s="204"/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T2234">
        <v>0</v>
      </c>
      <c r="U2234">
        <v>0</v>
      </c>
      <c r="V2234">
        <v>6</v>
      </c>
      <c r="W2234">
        <v>0</v>
      </c>
      <c r="X2234">
        <v>0</v>
      </c>
      <c r="Y2234">
        <v>0</v>
      </c>
      <c r="Z2234">
        <v>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C95C9-8DB7-4F3C-A70C-6200C4F4BE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FY27 PN FCST - Special</vt:lpstr>
      <vt:lpstr>FY27 PN FCST - MS</vt:lpstr>
      <vt:lpstr>OPDO + OPSR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Marquess</dc:creator>
  <cp:lastModifiedBy>Alex Nguyen</cp:lastModifiedBy>
  <dcterms:created xsi:type="dcterms:W3CDTF">2025-03-14T23:56:46Z</dcterms:created>
  <dcterms:modified xsi:type="dcterms:W3CDTF">2026-01-09T16:10:30Z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d89af8-a616-445f-9514-221e7a97bae0_Enabled">
    <vt:lpwstr>true</vt:lpwstr>
  </property>
  <property fmtid="{D5CDD505-2E9C-101B-9397-08002B2CF9AE}" pid="3" name="MSIP_Label_e8d89af8-a616-445f-9514-221e7a97bae0_SetDate">
    <vt:lpwstr>2025-03-15T00:00:00Z</vt:lpwstr>
  </property>
  <property fmtid="{D5CDD505-2E9C-101B-9397-08002B2CF9AE}" pid="4" name="MSIP_Label_e8d89af8-a616-445f-9514-221e7a97bae0_Method">
    <vt:lpwstr>Standard</vt:lpwstr>
  </property>
  <property fmtid="{D5CDD505-2E9C-101B-9397-08002B2CF9AE}" pid="5" name="MSIP_Label_e8d89af8-a616-445f-9514-221e7a97bae0_Name">
    <vt:lpwstr>defa4170-0d19-0005-0004-bc88714345d2</vt:lpwstr>
  </property>
  <property fmtid="{D5CDD505-2E9C-101B-9397-08002B2CF9AE}" pid="6" name="MSIP_Label_e8d89af8-a616-445f-9514-221e7a97bae0_SiteId">
    <vt:lpwstr>b62ae4e2-d68f-4f11-9643-f9ccf49460e5</vt:lpwstr>
  </property>
  <property fmtid="{D5CDD505-2E9C-101B-9397-08002B2CF9AE}" pid="7" name="MSIP_Label_e8d89af8-a616-445f-9514-221e7a97bae0_ActionId">
    <vt:lpwstr>c5ec4f0d-6c44-4eb2-b7d7-7db113e8e4eb</vt:lpwstr>
  </property>
  <property fmtid="{D5CDD505-2E9C-101B-9397-08002B2CF9AE}" pid="8" name="MSIP_Label_e8d89af8-a616-445f-9514-221e7a97bae0_ContentBits">
    <vt:lpwstr>0</vt:lpwstr>
  </property>
  <property fmtid="{D5CDD505-2E9C-101B-9397-08002B2CF9AE}" pid="9" name="MSIP_Label_e8d89af8-a616-445f-9514-221e7a97bae0_Tag">
    <vt:lpwstr>10, 3, 0, 1</vt:lpwstr>
  </property>
</Properties>
</file>